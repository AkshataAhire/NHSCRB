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https://nhs-my.sharepoint.com/personal/oliver_carey1_nhs_net/Documents/Documents/Projects/NHSCRB/Screen_6_NHS_3_Shifts/validation_results/"/>
    </mc:Choice>
  </mc:AlternateContent>
  <xr:revisionPtr revIDLastSave="16" documentId="8_{1FD5076D-EABD-4865-B1AB-3E15D3F75BFB}" xr6:coauthVersionLast="47" xr6:coauthVersionMax="47" xr10:uidLastSave="{8A639F11-F8E0-4C5D-86B9-A04BBD41839A}"/>
  <bookViews>
    <workbookView xWindow="20" yWindow="380" windowWidth="19180" windowHeight="10060" activeTab="4" xr2:uid="{66513E08-89B8-4D61-A86D-819C01466699}"/>
  </bookViews>
  <sheets>
    <sheet name="Stage_6_API_200" sheetId="1" r:id="rId1"/>
    <sheet name="ID_Lookup" sheetId="5" r:id="rId2"/>
    <sheet name="Stage_6_FF_200" sheetId="2" r:id="rId3"/>
    <sheet name="Merged results table" sheetId="3" r:id="rId4"/>
    <sheet name="Evaluating Results" sheetId="4" r:id="rId5"/>
  </sheets>
  <definedNames>
    <definedName name="_xlnm._FilterDatabase" localSheetId="3" hidden="1">'Merged results table'!$A$1:$L$29</definedName>
    <definedName name="_xlnm._FilterDatabase" localSheetId="2" hidden="1">Stage_6_FF_200!$A$1:$H$201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 i="2" l="1"/>
  <c r="H2" i="2"/>
  <c r="G3" i="2"/>
  <c r="H3" i="2"/>
  <c r="G4" i="2"/>
  <c r="H4" i="2"/>
  <c r="G5" i="2"/>
  <c r="H5" i="2"/>
  <c r="G6" i="2"/>
  <c r="H6" i="2"/>
  <c r="G7" i="2"/>
  <c r="H7" i="2"/>
  <c r="G8" i="2"/>
  <c r="H8" i="2"/>
  <c r="G9" i="2"/>
  <c r="H9" i="2"/>
  <c r="G10" i="2"/>
  <c r="H10" i="2"/>
  <c r="G11" i="2"/>
  <c r="H11" i="2"/>
  <c r="G12" i="2"/>
  <c r="H12" i="2"/>
  <c r="G13" i="2"/>
  <c r="H13" i="2"/>
  <c r="G14" i="2"/>
  <c r="H14" i="2"/>
  <c r="G15" i="2"/>
  <c r="H15" i="2"/>
  <c r="G16" i="2"/>
  <c r="H16" i="2"/>
  <c r="G17" i="2"/>
  <c r="H17" i="2"/>
  <c r="G18" i="2"/>
  <c r="H18" i="2"/>
  <c r="G19" i="2"/>
  <c r="H19" i="2"/>
  <c r="G20" i="2"/>
  <c r="H20" i="2"/>
  <c r="G21" i="2"/>
  <c r="H21" i="2"/>
  <c r="G22" i="2"/>
  <c r="H22" i="2"/>
  <c r="G23" i="2"/>
  <c r="H23" i="2"/>
  <c r="G24" i="2"/>
  <c r="H24" i="2"/>
  <c r="G25" i="2"/>
  <c r="H25" i="2"/>
  <c r="G26" i="2"/>
  <c r="H26" i="2"/>
  <c r="G27" i="2"/>
  <c r="H27" i="2"/>
  <c r="G28" i="2"/>
  <c r="H28" i="2"/>
  <c r="G29" i="2"/>
  <c r="H29" i="2"/>
  <c r="G30" i="2"/>
  <c r="H30" i="2"/>
  <c r="G31" i="2"/>
  <c r="H31" i="2"/>
  <c r="G32" i="2"/>
  <c r="H32" i="2"/>
  <c r="G33" i="2"/>
  <c r="H33" i="2"/>
  <c r="G34" i="2"/>
  <c r="H34" i="2"/>
  <c r="G35" i="2"/>
  <c r="H35" i="2"/>
  <c r="G36" i="2"/>
  <c r="H36" i="2"/>
  <c r="G37" i="2"/>
  <c r="H37" i="2"/>
  <c r="G38" i="2"/>
  <c r="H38" i="2"/>
  <c r="G39" i="2"/>
  <c r="H39" i="2"/>
  <c r="G40" i="2"/>
  <c r="H40" i="2"/>
  <c r="G41" i="2"/>
  <c r="H41" i="2"/>
  <c r="G42" i="2"/>
  <c r="H42" i="2"/>
  <c r="G43" i="2"/>
  <c r="H43" i="2"/>
  <c r="G44" i="2"/>
  <c r="H44" i="2"/>
  <c r="G45" i="2"/>
  <c r="H45" i="2"/>
  <c r="G46" i="2"/>
  <c r="H46" i="2"/>
  <c r="G47" i="2"/>
  <c r="H47" i="2"/>
  <c r="G48" i="2"/>
  <c r="H48" i="2"/>
  <c r="G49" i="2"/>
  <c r="H49" i="2"/>
  <c r="G50" i="2"/>
  <c r="H50" i="2"/>
  <c r="G51" i="2"/>
  <c r="H51" i="2"/>
  <c r="G52" i="2"/>
  <c r="H52" i="2"/>
  <c r="G53" i="2"/>
  <c r="H53" i="2"/>
  <c r="G54" i="2"/>
  <c r="H54" i="2"/>
  <c r="G55" i="2"/>
  <c r="H55" i="2"/>
  <c r="G56" i="2"/>
  <c r="H56" i="2"/>
  <c r="G57" i="2"/>
  <c r="H57" i="2"/>
  <c r="G58" i="2"/>
  <c r="H58" i="2"/>
  <c r="G59" i="2"/>
  <c r="H59" i="2"/>
  <c r="G60" i="2"/>
  <c r="H60" i="2"/>
  <c r="G61" i="2"/>
  <c r="H61" i="2"/>
  <c r="G62" i="2"/>
  <c r="H62" i="2"/>
  <c r="G63" i="2"/>
  <c r="H63" i="2"/>
  <c r="G64" i="2"/>
  <c r="H64" i="2"/>
  <c r="G65" i="2"/>
  <c r="H65" i="2"/>
  <c r="G66" i="2"/>
  <c r="H66" i="2"/>
  <c r="G67" i="2"/>
  <c r="H67" i="2"/>
  <c r="G68" i="2"/>
  <c r="H68" i="2"/>
  <c r="G69" i="2"/>
  <c r="H69" i="2"/>
  <c r="G70" i="2"/>
  <c r="H70" i="2"/>
  <c r="G71" i="2"/>
  <c r="H71" i="2"/>
  <c r="G72" i="2"/>
  <c r="H72" i="2"/>
  <c r="G73" i="2"/>
  <c r="H73" i="2"/>
  <c r="G74" i="2"/>
  <c r="H74" i="2"/>
  <c r="G75" i="2"/>
  <c r="H75" i="2"/>
  <c r="G76" i="2"/>
  <c r="H76" i="2"/>
  <c r="G77" i="2"/>
  <c r="H77" i="2"/>
  <c r="G78" i="2"/>
  <c r="H78" i="2"/>
  <c r="G79" i="2"/>
  <c r="H79" i="2"/>
  <c r="G80" i="2"/>
  <c r="H80" i="2"/>
  <c r="G81" i="2"/>
  <c r="H81" i="2"/>
  <c r="G82" i="2"/>
  <c r="H82" i="2"/>
  <c r="G83" i="2"/>
  <c r="H83" i="2"/>
  <c r="G84" i="2"/>
  <c r="H84" i="2"/>
  <c r="G85" i="2"/>
  <c r="H85" i="2"/>
  <c r="G86" i="2"/>
  <c r="H86" i="2"/>
  <c r="G87" i="2"/>
  <c r="H87" i="2"/>
  <c r="G88" i="2"/>
  <c r="H88" i="2"/>
  <c r="G89" i="2"/>
  <c r="H89" i="2"/>
  <c r="G90" i="2"/>
  <c r="H90" i="2"/>
  <c r="G91" i="2"/>
  <c r="H91" i="2"/>
  <c r="G92" i="2"/>
  <c r="H92" i="2"/>
  <c r="G93" i="2"/>
  <c r="H93" i="2"/>
  <c r="G94" i="2"/>
  <c r="H94" i="2"/>
  <c r="G95" i="2"/>
  <c r="H95" i="2"/>
  <c r="G96" i="2"/>
  <c r="H96" i="2"/>
  <c r="G97" i="2"/>
  <c r="H97" i="2"/>
  <c r="G98" i="2"/>
  <c r="H98" i="2"/>
  <c r="G99" i="2"/>
  <c r="H99" i="2"/>
  <c r="G100" i="2"/>
  <c r="H100" i="2"/>
  <c r="G101" i="2"/>
  <c r="H101" i="2"/>
  <c r="G102" i="2"/>
  <c r="H102" i="2"/>
  <c r="G103" i="2"/>
  <c r="H103" i="2"/>
  <c r="G104" i="2"/>
  <c r="H104" i="2"/>
  <c r="B3" i="4"/>
  <c r="B6" i="4" s="1"/>
  <c r="C3" i="4"/>
  <c r="B8" i="4" s="1"/>
  <c r="B4" i="4"/>
  <c r="B9" i="4" s="1"/>
  <c r="C4" i="4"/>
  <c r="B7" i="4" s="1"/>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B12" i="4" l="1"/>
  <c r="B11" i="4"/>
</calcChain>
</file>

<file path=xl/sharedStrings.xml><?xml version="1.0" encoding="utf-8"?>
<sst xmlns="http://schemas.openxmlformats.org/spreadsheetml/2006/main" count="2547" uniqueCount="838">
  <si>
    <t>id</t>
  </si>
  <si>
    <t>Year</t>
  </si>
  <si>
    <t>Title</t>
  </si>
  <si>
    <t>Abstract</t>
  </si>
  <si>
    <t>J500</t>
  </si>
  <si>
    <t>The lifetime costs of pediatric abusive head trauma and a cost-effectiveness analysis of the Period of Purple crying program in British Columbia, Canada</t>
  </si>
  <si>
    <t>J501</t>
  </si>
  <si>
    <t>Impact of Weekend Treatment on Short-term and Long-term Survival Following Urgent Repair of Ruptured Aortic Aneurysms in Germany</t>
  </si>
  <si>
    <t>J502</t>
  </si>
  <si>
    <t>Pdb16 Assessment of Cost-Effectiveness of a 0.2 Mcg/Day Fluocinolone Acetonide (Fac) Implant in Patients with Chronic Diabetic Macular Oedema (Dmo) in an Eye with Cataract</t>
  </si>
  <si>
    <t>J503</t>
  </si>
  <si>
    <t>Fluorides for preventing early tooth decay (demineralised lesions) during fixed brace treatment</t>
  </si>
  <si>
    <t>J504</t>
  </si>
  <si>
    <t>Pmh28 Assessing the Life-Cycle Value Added of Second-Generation Antipsychotics in Sweden and the Uk: The Case of Risperidone</t>
  </si>
  <si>
    <t>J505</t>
  </si>
  <si>
    <t>Fetal fibronectin testing for reducing the risk of preterm birth</t>
  </si>
  <si>
    <t>J506</t>
  </si>
  <si>
    <t>Cervical assessment by ultrasound for preventing preterm delivery</t>
  </si>
  <si>
    <t>J507</t>
  </si>
  <si>
    <t>J508</t>
  </si>
  <si>
    <t>Adalimumab for non-infectious uveitis: Is it cost-effective?</t>
  </si>
  <si>
    <t>J509</t>
  </si>
  <si>
    <t>Burden of varicella complications in secondary care, England, 2004 to 2017</t>
  </si>
  <si>
    <t>J510</t>
  </si>
  <si>
    <t>J511</t>
  </si>
  <si>
    <t>Switching from originator infliximab to CT-P13: Single-centre experience from the UK</t>
  </si>
  <si>
    <t>Background: The infliximab biosimilar (CT-P13) received market authorisation for inflammatory bowel disease in late 2016 with the aim of reducing cost and increasing access to therapy. The prospect of 'switching' patients from originator to CT-P13 has concerned clinicians. #8232;We present an experience of 'switching' from originator infliximab (IFX-O) to CT-P13 and present efficacy, safety, and immunogenicity data from our cohort. Method(s): We performed a retrospective review of patients switched from IFX-O to CT-P13. Disease demographics, clinical course and outcomes were analysed from electronic case records at a median of 8 months and at last follow-up at 13 months. Result(s): Ninety-six patients (35 females) were 'switched' from IFX-O to CT-P13. Of these 44 had Ulcerative colitis (UC) and 52 had Crohn's disease (CD) with a mean age at diagnosis of 34.7 years (median = 33, IQR = 24.5). Montreal phenotype for UC was E1 = 1, E2 = 16, E3 = 27 and for CD (L1 = 10, L2 = 12 , L3 = 29, L4 = 1) and (B1 = 27, #8232;B2 = 14 , B3 = 11), 9 patients had perianal disease. Mean duration of IFX-O treatment was 49. 8 months (median = 44, IQR = 52) and on CT-P13 11.5 months (median 13). At switch, 76 patients had a normal CRP (UC = 33, CD = 43), and in 15 patients it was elevated (UC = 10, CD = 5). At 8 months, 80 patients remained in biochemical remission (UC = 35, CD = 45 ) and in 14 patients (UC = 8, CD = 6 ) CRP increased. Seventy-two patients (UC = 34, CD = 38 ) were in clinical remission (pMayo &lt; 2 and HBI &lt; 5). Of 51 patients (UC = 21, CD = 30) undergoing endoscopic assessment, 31 achieved mucosal healing (UC = 13, CD = 18). At 13 months, 69 patients remained on CT-P13. Twenty-seven discontinued the drug due to immunogenicity (n = 10), loss of response (n = 5), surgery (n = 5), remission (n = 5) , side effects (n = 2 ), and 1 patient died of hospital acquired pneumonia. 39 out of 96 patients had therapeutic drug levels checked within 13 months of switch, of whom 27 had sub-therapeutic levels (below 4 mug/ml). Antibodies to Infliximab were seen in 15 of 39 patients (38.5%), of whom 8 were switched to an alternative biologic, 2 had dose escalation (10 mg/kg IFX), 4 patients stopped IFX with no other intervention, and 1 person continued treatment at same dose with low antibody titre of 6. Conclusion(s): Biosimilar IFX (CT-P13) was well tolerated. Clinical efficacy and loss of response rates with CT-P13 appears to be similar to IFX-O. This holds promise for a wider adoption of 'switching' to fulfil the purported aims of wider access to treatment at a lower cost.</t>
  </si>
  <si>
    <t>J512</t>
  </si>
  <si>
    <t>Switching from originator infliximab to CT-P13: A UK single centre experience</t>
  </si>
  <si>
    <t>Introduction and Aims The infliximab biosimilar (CT-P13) received market authorization for inflammatory bowel disease in late 2016 with the aim of reducing cost and increasing access to therapy. The prospect of 'switching' patients from originator to CT-P13 has concerned clinicians.We present an experience of 'switching' from originator infliximab (IFX-O) to CT-P13 and present efficacy, safety and immunogenicity data from our cohort. Methods We performed a retrospective review of patients switched from IFX-O to CT-P13 at our center. Disease demographics, clinical course and outcomes were analysed from electronic case records at 8 months and at last follow-up at 13 months. Results Ninety-six patients (35 female) were 'switched' from IFX-O to CT-P13. Of these 44 had Ulcerative colitis (UC) and 52 had Crohn's disease (CD) with a mean age at diagnosis of 34.7 years (median= 33, IQR = 24.5). Montreal phenotype for UC was Proctitis( E1) = 1, Left sided(E2) = 16,Pancolitis ( E3) = 27 and for CD (L1 = 10,L2 = 12, L3 = 29, L4 = 1) and ( B1 = 27,B2 = 14, B3 = 11), 9 patients had perianal disease. Mean duration of IFX-O treatment before switching was 49.8 months (median = 44, IQR = 52) and on CT-P13 11.5 months (median 13). At switch, 76 patients had a normal CRP (UC = 33, CD = 43), and in 15 patients it was elevated (UC= 10, CD= 5). At 8 months, 72 patients (UC = 34, CD = 38) were in clinical remission (pMayo &lt; 2 and HBI &lt; 5) and 80 patients remained in biochemical remission (UC= 35,CD= 45). In 14 patients (UC= 8,CD= 6 ) CRP increased. Of 51 patients (UC= 21, CD= 30) undergoing endoscopic assessment, 31 achieved mucosal healing (UC =13, CD= 18). At 13 months 69 patients remained on CT-P13. 28% discontinued the drug due to immunogenicity(n=10), loss of response(n=5), surgery(n=5), remission (n=5), side effects (n=2) and 1 patient died of hospital acquired pneumonia. 39 out of 96 patients had therapeutic drug levels checked within a median of 13 months from switch. 27 had sub-therapeutic levels (below 4ug/ml ),11 of which were switched to another biologic, 5 referred for surgery, 4 had dose escalated to 10 mg/kg, 5 continued CT-P13( 4 with no antibodies seen and 1 with antibodies of 127),one had immunomodulator added and another stopped CT-P13 being in remission. Antibodies to Infliximab were seen in 15 of 39 patients (38.5%), of whom 8 were switched to an alternative biologic, 2 had dose escalation (10 mg/kg IFX),4 patients stopped IFX with no other intervention and 1 person continued treatment with low antibody titre of 6. Discussion Biosimilar IFX (CT-P13) was well tolerated. Clinical efficacy and loss of response rates with CT-P13 appears to be similar to IFX-O. This holds promise for a wider adoption of 'switching' to fulfil the purported aims of wider access to treatment at a lower cost.</t>
  </si>
  <si>
    <t>J513</t>
  </si>
  <si>
    <t>J514</t>
  </si>
  <si>
    <t>J515</t>
  </si>
  <si>
    <t>What evidence is available to support the development of a regional specialist neurorehabilitation outreach service</t>
  </si>
  <si>
    <t>J516</t>
  </si>
  <si>
    <t>Mixed exercise training for adults with fibromyalgia</t>
  </si>
  <si>
    <t>J517</t>
  </si>
  <si>
    <t>The health economics of ankle and foot sprains and fractures: A systematic review of English-language published papers. Part 2: The direct and indirect costs of injury</t>
  </si>
  <si>
    <t>J518</t>
  </si>
  <si>
    <t>143. Chiropractors treating patients with acute lower back pain in a spine treatment pathway model: a five-year prospective cohort study</t>
  </si>
  <si>
    <t>J519</t>
  </si>
  <si>
    <t>Lateral flow urine lipoarabinomannan assay for detecting active tuberculosis in people living with HIV</t>
  </si>
  <si>
    <t>J520</t>
  </si>
  <si>
    <t>The budget impact of early dose optimisation with golimumab in ulcerative colitis in the UK</t>
  </si>
  <si>
    <t>Background: The PURSUIT study found that ulcerative colitis patients who were non-responders (based on full Mayo score) to subcutaneous golimumab treatment at Week 6 may benefit from receiving a dose of 100 mg golimumab from Week 6 onwards, with 28% of non-responders at Week 6 becoming responders by Week 14. The aim of this study was to assess the budget implications of optimising a patient's dose at Week 6 compared with other first-line therapies as per current clinical practice Methods: A decision tree model was designed to follow a patient's response to first-line treatment and to track a patient's progression through subsequent line of therapy. The budget impact model only considered drug costs from the perspective of the UK NHS. In total three lines of therapy were covered by the decision tree over a 1 year time horizon. Patients could have first-line treatment with one of the three treatment strategies; golimumab (current treatment practice), golimumab (dose optimisation based on the PURSUIT trial) and adalimumab. Within each of the comparator treatments dose escalation was considered, based on the median time to escalation and proportion of patients receiving dose escalation. Subsequent therapy for golimumab patients was adalimumab and patients who received adalimumab as a first-line therapy received golimumab as a second-line therapy. Response rates, time to loss of response and treatment costs were taken from published data sources. The cost of golimumab was equal between 50 mg pack and 100 mg pack. The model used assumption for second-line response rates; this has been tested in sensitivity analysis. Result(s): The use of dose optimisation for golimumab does not increase expenditure of drug costs compared with golimumab (single dose) with a cost saving of 42 per patient per year. When comparing dose optimisation for golimumab to adalimumab, golimumab was cost saving over 1 year of treatment with cost saving of 2138 per patient. The number of patients in a response health state was similar across all three treatments (47.7%, 47.6% and 45% for golimumab (single dose), golimumab (dose optimisation) and adalimumab, respectively. Conclusion(s): The implementation of dose optimisation at Week 6 for golimumab was cost saving compared with golimumab (current treatment practice) or adalimumab. The analysis highlights the need for immediate implementation of the updated GLM label in clinical practice for potentially more cost savings.</t>
  </si>
  <si>
    <t>J521</t>
  </si>
  <si>
    <t>Pcv98 Pcsk9 Inhibitors: An Analysis of Current Uptake and Potential Opportunities in England</t>
  </si>
  <si>
    <t>J522</t>
  </si>
  <si>
    <t>Continuous subcutaneous insulin infusion versus multiple daily injection regimens in children and young people at diagnosis of type 1 diabetes: Pragmatic randomised controlled trial and economic evaluation</t>
  </si>
  <si>
    <t>J523</t>
  </si>
  <si>
    <t>J524</t>
  </si>
  <si>
    <t>J525</t>
  </si>
  <si>
    <t>Should Balance Screening for Fall Risk Begin Earlier in Life? Evidence from a British Cohort Study</t>
  </si>
  <si>
    <t>Background Falls in older adults precipitate hospitalisation, frailty and premature mortality and are a growing health concern. The standing balance test is a simple, cost effective tool used to screen for fall risk in adults aged 65+, however the association between standing balance and fall risk has not been examined in individuals younger than 65. To assess whether balance tests could be utilised to screen for fall risk at younger ages, we investigated if balance at ages 53 and 60-64 was associated with prevalence and frequency of subsequent falls. Methods Data from the MRC National Survey of Health and Development, a British birth cohort study, were utilised (n=2571). Standing balance time (eyes closed) was assessed at ages 53 and 60-64 (max: 30 seconds). Fall history within the last year was self-reported at ages 60-64 and 68 and categorised to indicate fall prevalence (yes, no) and frequency (0, 1- 2, 3+). Binary and multinomial logistic regressions were used to assess associations of balance time (per 1 second increase) with fall prevalence and frequency, respectively. Adjustments were made for sex, height, BMI, socioeconomic position, physical activity, smoking, knee pain, diabetes, cardiovascular events and respiratory and depressive symptoms. Results Women reported higher prevalence of falls than men at ages 60-64 (23% vs 14%) and 68 (26% vs 18%). Longer balance time at age 53 was associated with reduced odds of falling at age 60-64 [OR: 0.98 (95% CI: 0.97,1.00)]; similar associations were found between balance at age 60-64 and falls at age 68 [0.96 (0.93,0.99)]. Better balance at age 53 was associated with lower risk of 3 or more falls (vs no falls) at ages 60-64 [RRR: 0.88 (0.80,0.98)] and 68 [0.93 (0.88,0.97)]. Better balance at age 60-64 was also associated with lower risk of 3+ falls at age 68 [RRR: 0.92 (0.85,0.98)] and in addition was associated with lower risk of 1-2 falls [0.97 (0.94,1.00)]. These associations remained after adjustments. Discussion Poorer balance at ages 53 and 60-64 was associated with subsequent fall risk. Balance at age 53 was most strongly associated with 3 or more falls, while balance at age 60-64 was associated with both 1-2 and 3+ falls. Whether this is due to stronger associations at age 60-64 or a shorter time between balance and falls assessments requires further investigation. Balance tests in middle age may help identify high risk individuals who would benefit from earlier interventions to prevent future recurrent falls.</t>
  </si>
  <si>
    <t>J526</t>
  </si>
  <si>
    <t>Limitations in health-economic guidance for medical devices</t>
  </si>
  <si>
    <t>Introduction. Health technology assessment (HTA) includes consideration of health and economic factors, playing a key role in optimizing healthcare provision in Europe. Medical devices are an important contributor to both health outcomes and the cost of healthcare provision, yet they are rarely addressed in current guidance for health-economic evaluation. Our aim is to help improve assessment of medical devices via review of European health-economic guidelines and recent research. Methods. Searches for European HTA guidelines were performed and where available were reviewed by two researchers working independently. Additionally, a systematic review of published literature focused on assessment of medical devices was conducted. English, German, or French literature published between 2000 and 2017 was analyzed. The status of HTA guidance to date was subsequently reviewed in light of current research findings and suggestions made to help improve standardization. Results. Of the 41 investigated European countries, 22 had official HTA guidance. Only four of 22 (18 percent) dedicated documentation to guidance specific to medical devices. Where differences between pharmaceuticals and medical devices were highlighted, specifics for health-economic assessment of medical devices were generally absent. The systematic review yielded 472 unique articles, 28 of which underwent full-text review. Issues surrounding medical device value assessment that commonly emerged were: limited evidence base, learning curve effects, organizational impact, incremental innovation, diversity of devices, dynamic pricing, and transferability. While identification of issues was ubiquitous, actionable suggestions on how to overcome them were less common. The most frequent recommendations were use of Bayesian methods, inclusion of realworld data, and modelling the learning curve. Key to implementation is determination of the medical device type and its impact duration. Conclusions. Current guidelines rarely address the needs of medical devices. Practical recommendations for improvements exist and provide opportunity to start discussion on how best to serve the medical devices field and improve the HTA process.</t>
  </si>
  <si>
    <t>J527</t>
  </si>
  <si>
    <t>Botulinum toxin type A in the treatment of lower limb spasticity in children with cerebral palsy</t>
  </si>
  <si>
    <t>J528</t>
  </si>
  <si>
    <t>J529</t>
  </si>
  <si>
    <t>Endometrial resection and ablation techniques for heavy menstrual bleeding</t>
  </si>
  <si>
    <t>J530</t>
  </si>
  <si>
    <t>Cyclical progestogens for heavy menstrual bleeding</t>
  </si>
  <si>
    <t>J531</t>
  </si>
  <si>
    <t>SAT-017 End Stage Renal Disease in Ghana</t>
  </si>
  <si>
    <t>J532</t>
  </si>
  <si>
    <t>'Forming, Storming, Norming and Performing' - Experiences in Clinical Policy (Specialised Commissioning)</t>
  </si>
  <si>
    <t>Specialised Services provide people suffering from a variety of complex and rare conditions with a range of medical and surgical treatments that are directly commissioned by NHS England. The National Clinical Policy Team was a new team set up within Specialised Commissioning in August 2018. Our new team was mandated with improving the efficiency of the policy development, whilst in parallel developing new policies and contributing to the development of our team and its establishment within the wider department. This was a novel opportunity for a junior doctor undertaking an out-of-programme experience to develop leadership and management skills early on in their career. Alongside managing a range of policies across various programmes of care, the role required coordination of policy working groups, chairing teleconferences, attending meetings and contributing to the commissioning of evidence reviews and the writing of policy and commissioning documents. Through becoming increasingly conscious of behaviour and its impact on others to managing conflict and politics between various stakeholders to drive the production of higher quality and more robust work, this opportunity provided a springboard for personal development away from direct clinical contract. Two-way communication, a critical aspect of the doctor-patient relationship, is also required at a system-based level to achieve better patient care. Such experiences should be welcomed amongst the junior doctor community and help contribute to the development of future medical leaders.</t>
  </si>
  <si>
    <t>J533</t>
  </si>
  <si>
    <t>EFFICHRONIC study protocol: A non-controlled, multicentre European prospective study to measure the efficiency of a chronic disease self-management programme in socioeconomically vulnerable populations</t>
  </si>
  <si>
    <t>J534</t>
  </si>
  <si>
    <t>Interventions to manage use of the emergency and urgent care system by people from vulnerable groups: a mapping review</t>
  </si>
  <si>
    <t>&lt;b&gt;BACKGROUND&lt;/b&gt;: The NHS currently faces increasing demands on accident and emergency departments. Concern has been expressed regarding whether the needs of vulnerable groups are being handled appropriately or whether alternative methods of service delivery may provide more appropriate emergency and urgent care services for particular groups._x000D_
&lt;b&gt;OBJECTIVE&lt;/b&gt;: Our objective was to identify what interventions exist to manage use of the emergency and urgent care system by people from a prespecified list of vulnerable groups. We aimed to describe the characteristics of these interventions and examine service delivery outcomes (for patients and the health service) resulting from these interventions._x000D_
&lt;b&gt;REVIEW METHODS&lt;/b&gt;: We conducted an initial mapping review to assess the quantity and nature of the published research evidence relating to seven vulnerable groups (socioeconomically deprived people and families, migrants, ethnic minority groups, the long-term unemployed/inactive, people with unstable housing situations, people living in rural/isolated areas and people with substance abuse disorders). Databases, including MEDLINE and the Cumulative Index to Nursing and Allied Health Literature, and other sources were searched between 2008 and 2018. Quantitative and qualitative systematic reviews and primary studies of any design were eligible for inclusion. In addition, we searched for UK interventions and initiatives by examining press reports, commissioning plans and casebooks of 'good practice'. We carried out a detailed intervention analysis, using an adapted version of the TIDieR (Template for Intervention Description and Replication) framework for describing interventions, and an analysis of current NHS practice initiatives._x000D_
&lt;b&gt;RESULTS&lt;/b&gt;: We identified nine different types of interventions: care navigators [three studies - moderate GRADE (Grading of Recommendations, Assessment, Development and Evaluations)], care planning (three studies - high), case finding (five studies - moderate), case management (four studies - high), front of accident and emergency general practice/front-door streaming model (one study - low), migrant support programme (one study - low), outreach services and teams (two studies - moderate), rapid access doctor/paramedic/urgent visiting services (one study - low) and urgent care clinics (one systematic review - moderate). Few interventions had been targeted at vulnerable populations; instead, they represented general population interventions or were targeted at frequent attenders (who may or may not be from vulnerable groups). Interventions supported by robust evidence (care navigators, care planning, case finding, case management, outreach services and teams, and urgent care clinics) demonstrated an effect on the general population, rather than specific population effects. Many programmes mixed intervention components (e.g. case finding, case management and care navigators), making it difficult to isolate the effect of any single component. Promising UK initiatives (front of accident and emergency general practice/front-door streaming model, migrant support programmes and rapid access doctor/paramedic/urgent visiting services) lacked rigorous evaluation. Evaluation should therefore focus on the clinical effectiveness and cost-effectiveness of these initiatives._x000D_
&lt;b&gt;CONCLUSIONS&lt;/b&gt;: The review identified a limited number of intervention types that may be useful in addressing the needs of specific vulnerable populations, with little evidence specifically relating to these groups. The evidence highlights that vulnerable populations encompass different subgroups with potentially differing needs, and also that interventions seem particularly context sensitive. This indicates a need for a greater understanding of potential drivers for varying groups in specific localities._x000D_
&lt;b&gt;LIMITATIONS&lt;/b&gt;: Resources did not allow exhaustive identification of all UK initiatives; the examples cited are indicative._x000D_
&lt;b&gt;FUTURE WORK&lt;/b&gt;: Research is required to examine how specific vulnerable populations differentially benefit from specific types of alternative service provision. Further exploration, using primary mixed-methods data and potentially realist evaluation, is required to explore what works for whom under what circumstances. Rigorous evaluation of UK initiatives is required, including a specific need for economic evaluations and for studies that incorporate effects on the wider emergency and urgent care system._x000D_
&lt;b&gt;FUNDING&lt;/b&gt;: The National Institute for Health Research Health Services and Delivery Research programme.</t>
  </si>
  <si>
    <t>J535</t>
  </si>
  <si>
    <t>Interventions for prodromal stage of psychosis</t>
  </si>
  <si>
    <t>J536</t>
  </si>
  <si>
    <t>Context-Specific Economic Evaluation for Molecular Pathology Tests: An Application in Colorectal Cancer in the West of Scotland</t>
  </si>
  <si>
    <t>J537</t>
  </si>
  <si>
    <t>Screening Women for Abdominal Aortic Aneurysms: Clinical and Economic Effectiveness Results from a Discrete Event Simulation Model</t>
  </si>
  <si>
    <t>J538</t>
  </si>
  <si>
    <t>Herbal medicinal products or preparations for neuropathic pain</t>
  </si>
  <si>
    <t>J539</t>
  </si>
  <si>
    <t>J540</t>
  </si>
  <si>
    <t>Conservative management following closed reduction of traumatic anterior dislocation of the shoulder</t>
  </si>
  <si>
    <t>J541</t>
  </si>
  <si>
    <t>Surgical treatments for women with stress urinary incontinence: the ESTER systematic review and economic evaluation</t>
  </si>
  <si>
    <t>&lt;b&gt;BACKGROUND&lt;/b&gt;: Urinary incontinence in women is a distressing condition that restricts quality of life and results in a large economic burden to both the NHS and women themselves._x000D_
&lt;b&gt;OBJECTIVE&lt;/b&gt;: To evaluate the clinical effectiveness, safety and cost-effectiveness of surgical treatment for stress urinary incontinence (SUI) in women and explore women's preferences._x000D_
&lt;b&gt;DESIGN&lt;/b&gt;: An evidence synthesis, a discrete choice experiment (DCE) and an economic decision model, with a value-of-information (VOI) analysis. Nine surgical interventions were compared. Previous Cochrane reviews for each were identified and updated to include additional studies. Systematic review methods were applied. The outcomes of interest were 'cure' and 'improvement'. Both a pairwise and a network meta-analysis (NMA) were conducted for all available surgical comparisons. A DCE was undertaken to assess the preferences of women for treatment outcomes. An economic model assessed the cost-effectiveness of alternative surgeries and a VOI analysis was undertaken._x000D_
&lt;b&gt;RESULTS&lt;/b&gt;: Data from 175 studies were included in the effectiveness review. The majority of included studies were rated as being at high or unclear risk of bias across all risk-of-bias domains. The NMA, which included 120 studies that reported data on 'cure' or 'improvement', showed that retropubic mid-urethral sling (MUS), transobturator MUS, traditional sling and open colposuspension were more effective than other surgical procedures for both primary outcomes. The results for other interventions were variable. In general, rate of tape and mesh exposure was higher after transobturator MUS than after retropubic MUS or single-incision sling, whereas the rate of tape or mesh erosion/extrusion was similar between transobturator MUS and retropubic MUS. The results of the DCE, in which 789 women completed an anonymous online questionnaire, indicate that women tend to prefer surgical treatments associated with no pain or mild chronic pain and shorter length of hospital stay as well as those treatments that have a smaller risk for urinary symptoms to reoccur after surgery. The cost-effectiveness results suggest that, over a lifetime, retropubic MUS is, on average, the least costly and most effective surgery. However, the high level of uncertainty makes robust estimates difficult to ascertain. The VOI analysis highlighted that further research around the incidence rates of complications would be of most value._x000D_
&lt;b&gt;LIMITATIONS&lt;/b&gt;: Overall, the quality of the clinical evidence was low, with limited data available for the assessment of complications. Furthermore, there is a lack of robust evidence and significant uncertainty around some parameters in the economic modelling._x000D_
&lt;b&gt;CONCLUSIONS&lt;/b&gt;: To our knowledge, this is the most comprehensive assessment of published evidence for the treatment of SUI. There is some evidence that retropubic MUS, transobturator MUS and traditional sling are effective in the short to medium term and that retropubic MUS is cost-effective in the medium to long term. The VOI analysis highlights the value of further research to reduce the uncertainty around the incidence rates of complications. There is a need to obtain robust clinical data in future work, particularly around long-term complication rates._x000D_
&lt;b&gt;STUDY REGISTRATION&lt;/b&gt;: This study is registered as PROSPERO CRD42016049339._x000D_
&lt;b&gt;FUNDING&lt;/b&gt;: The National Institute for Health Research Health Technology Assessment programme.</t>
  </si>
  <si>
    <t>J542</t>
  </si>
  <si>
    <t>J543</t>
  </si>
  <si>
    <t>Laparoscopically assisted versus open oesophagectomy for patients with oesophageal cancer - The Randomised Oesophagectomy: Minimally Invasive or Open (ROMIO) study: Protocol for a randomised controlled trial (RCT)</t>
  </si>
  <si>
    <t>J544</t>
  </si>
  <si>
    <t>PRIMEtime CE: a multistate life table model for estimating the cost-effectiveness of interventions affecting diet and physical activity</t>
  </si>
  <si>
    <t>BACKGROUND: Non-communicable diseases are the leading cause of death in England, and poor diet and physical inactivity are two of the principle behavioural risk factors. In the context of increasingly constrained financial resources, decision makers in England need to be able to compare the potential costs and health outcomes of different public health policies aimed at improving these risk factors in order to know where to invest so that they can maximise population health. This paper describes PRIMEtime CE, a multistate life table cost-effectiveness model that can directly compare interventions affecting multiple disease outcomes. METHOD(S): The multistate life table model, PRIMEtime Cost Effectiveness (PRIMEtime CE), is developed from the Preventable Risk Integrated ModEl (PRIME) and the PRIMEtime model. PRIMEtime CE uses routinely available data to estimate how changing diet and physical activity in England affects morbidity and mortality from heart disease, stroke, diabetes, liver disease, and cancers either directly or via raised blood pressure, cholesterol, and body weight. RESULT(S): Model outcomes are change in quality adjusted life years, and change in English National Health Service and social care costs. CONCLUSION(S): This paper describes PRIMEtime CE and highlights its main strengths and limitations. The model can be used to compare any number of public policies affecting diet and physical activity, allowing decision makers to understand how they can maximise population health with limited financial resources.</t>
  </si>
  <si>
    <t>J545</t>
  </si>
  <si>
    <t>Estimating the cost-effectiveness of salt reformulation and increasing access to leisure centres in England, with PRIMEtime CE model validation using the AdViSHE tool</t>
  </si>
  <si>
    <t>BACKGROUND: PRIMEtime CE is a multistate life table model that can directly compare the cost effectiveness of public health interventions affecting diet and physical activity levels, helping to inform decisions about how to spend finite resources. This paper estimates the costs and health outcomes in England of two scenarios: reformulating salt and expanding subsidised access to leisure centres. The results are used to help validate PRIMEtime CE, following the steps outlined in the Assessment of the Validation Status of Health-Economic decision models (AdViSHE) tool. METHOD(S): The PRIMEtime CE model estimates the difference in quality adjusted life years (QALYs) and difference in NHS and social care costs of modelled interventions compared with doing nothing. The salt reformulation scenario models how salt consumption would change if food producers met the 2017 UK Food Standards Agency salt reformulation targets. The leisure centre scenario models change in physical activity levels if the Birmingham Be Active scheme (where swimming pools and gym access is free to residents during defined periods) was rolled out across England. The AdViSHE tool was developed by health economic modellers and divides model validation into five parts: validation of the conceptual model, input data validation, validation of computerised model, operational validation, and other validation techniques. PRIMEtime CE is discussed in relation to each part. RESULT(S): Salt reformulation was dominant compared with doing nothing, and had a 10-year return on investment of 1.44 (0.50 to 2.94) for every 1 spent. By contrast, over 10 years the Be Active expansion would cost 727,000 (514,000 to 1,064,000) per QALY. PRIMEtime CE has good face validity of its conceptual model and has robust input data. Cross-validation produces mixed results and shows the impact of model scope, input parameters, and model structure on cost-per-QALY estimates. CONCLUSION(S): This paper illustrates how PRIMEtime CE can be used to compare the cost-effectiveness of two different public health measures affecting diet and physical activity levels. The AdViSHE tool helps to validate PRIMEtime CE, identifies some of the key drivers of model estimates, and highlights the challenges of externally validating public health economic models against independent data.</t>
  </si>
  <si>
    <t>J546</t>
  </si>
  <si>
    <t>Individualised screening for diabetic retinopathy: The ISDR study - Rationale, design and methodology for a randomised controlled trial comparing annual and individualised risk-based variable-interval screening</t>
  </si>
  <si>
    <t>J547</t>
  </si>
  <si>
    <t>Individualised screening for diabetic retinopathy: The ISDR study-a randomised controlled trial of safety, efficacy, and cost-effectiveness</t>
  </si>
  <si>
    <t>Background: Varying the intervals in retinopathy screening informed by personal risk offers reallocation of resources to better target high risk groups and address the increasing prevalence of diabetes. However, safety data especially on extended intervals is minimal. Aim(s): To evaluate the safety, efficacy and cost effectiveness (CE) of individualized variable-interval risk-based screening in a population setting compared to usual care. Method(s): Masked 2 arm, parallel assignment, equivalence RCT (largest to date in screening) with independent trials unit monitoring in people with diabetes aged &gt;=12 years attending screening in a single English program. Randomization was 1:1 to individualized screening (active group; 6, 12 or 24 months for high, medium and low risk) determined by a risk calculation engine using real-time local demographic, retinal and clinical data, compared with annual screening (control). CE analysis measuring NHS and societal costs took a 2-year time horizon. Finding(s): 4534 participants entered the study-after withdrawals/loss to follow-up: active 2097; control 2224. Attendance rates at first follow-up visit (primary outcome, safety) were equivalent (per protocol analysis, 5% margin): active 83.6% control 84.7% (difference 1.0, 90% CI-0.8, 2.9). STDR detection rates were non-inferior (1.5% margin): active 1.43% control 1.71% (difference-0.28, CI-0.93, 0.36). Quality of life (EQ5D5L, HUI3) was not significantly different between the groups. Incremental cost saving per person was 18.75 (NHS cost) rising to 49.96 with societal costs. A 39.3% reduction in number of appointments was seen. Conclusion(s): All parties involved in diabetes care can be reassured that extended and personalized screening intervals can safely be introduced in established screening program. Scale-up with further validation outside a research setting is recommended. Views expressed are solely those of the authors.</t>
  </si>
  <si>
    <t>J548</t>
  </si>
  <si>
    <t>J549</t>
  </si>
  <si>
    <t>Assessing the early impact of enhanced NHS england (NHSE) funding on footcare services</t>
  </si>
  <si>
    <t>Background: A key aim of the National Diabetes Treatment and Care Programme is to improve footcare services. In Sheffield, this investment was used primarily to expand the foot protection team (FPT) and in prevention strategies. Aim(s): To assess if there has been a benefit for patients and if the spending has been cost-effective. Method(s): Ulcer severity in patients presenting to the Multi-Disciplinary Foot Team (MDFT) (SINBAD score &gt;3 = severe, &lt;3 = mild) was tracked between 2013 and 2018, to determine whether the proportion of severe ulcers had declined. Cost calculations were based on the 'Economic Case for Change' paper (Marion Kerr, 2017); weekly cost of a mild ulcer-77, severe ulcer-359. Result(s): The percentage of ulcers presenting as severe from 2013-2017 (prior to additional investment) was 27%, 32%, 43%, 47% and 46% respectively. In 2018, to date, this has fallen to 36%. Our mean healing time for a mild ulcer is 12.6 weeks (974) vs a severe ulcer at 16.3 weeks (5,847). This represents an approximate reduction in the costs of managing foot ulcers from 326,000/100 patients (pre-investment) to 273,000/100 patients (post-investment), a saving of 53,000/100 patients. Approximately 500 patients with new ulcers are seen by our MDFT each year, giving a total estimated saving of 268,000. If the percentage of severe ulcers returned to the baseline of 2013 (27%), savings would total around 487,000/100 patients. Conclusion(s): These data show that, within a very short timescale, the enhanced NHSE funding and added investment in prevention strategies reduced severe ulcers, giving patients' better quality of life, shorter healing times, and is cost-effective.</t>
  </si>
  <si>
    <t>J550</t>
  </si>
  <si>
    <t>Characteristics of successful interventions to reduce turnover and increase retention of early career nurses: A systematic review</t>
  </si>
  <si>
    <t>Unique ID</t>
  </si>
  <si>
    <t>FF screen</t>
  </si>
  <si>
    <t>FF reason</t>
  </si>
  <si>
    <t>Background: Abusive head trauma (AHT) is a severe form of child abuse causing devastating outcomes for children and families, but its economic costs in Canada has yet to be determined. The Period of PURPLE crying program (PURPLE) is an AHT prevention program implemented in British Columbia for which success in reducing AHT events was recently reported. Objective(s): This study estimated the lifetime costs to society of incidental AHT events and compared the benefits and associated costs of AHT before and after the implementation of the PURPLE program. Participants and Setting: Children aged 0-24 months old with a definite diagnosis of AHT between 2002 and 2014 in British Columbia were included in this study. Method(s): An incidence-based cost-of-illness analysis, using the human capital approach was used to quantify the lifetime costs of AHT events according to their severity (least severe, severe and fatal). A cost-effectiveness analysis of the PURPLE program was conducted from both a societal and a health services' perspectives using decision tree models. Result(s): There were sixty-four AHT events between 2002-2014, resulting in a total cost of $354,359,080 to society. The costs associated with fatal, severe and least severe AHT averaged $7,147,548, $6,057,761 and $1,675,099, respectively. The investment of $5 per newborn through the PURPLE program resulted in a $273.52 and $14.49 per child cost avoidance by society and by the healthcare system. Conclusion(s): This study provides evidence to policymakers and health practitioners that investing upstream in well-developed AHT prevention programs, such as PURPLE, not only promote child safety and health, but also translates into avoided costs to society. Copyright © 2019 Elsevier Ltd</t>
  </si>
  <si>
    <t>Include</t>
  </si>
  <si>
    <t>Introduction - There is some evidence that weekend admission to hospital is associated with worse outcomes compared to weekday admission. However only a few studies focused on weekend versus weekday surgery. This study aims to determine if there is a weekend effect in the treatment of ruptured aortic aneurysms in Germany. Methods - Health insurance claims of Germany's third largest insurance provider, DAK-Gesundheit, was used to investigate short-term and long-term mortality after weekend versus weekday treatment for ruptured aortic aneurysm (rAA). Patients undergoing endovascular (ER) or open-surgical (OR) repair between January 2008 and December 2016 were included in the study. A one-to-one propensity score matching was used to address selection bias. Results - There were 1,477 patients in the cohort of which 517 (35.0%) underwent ER and 960 (65.0%) OR. Overall, 987 (66.8%) patients were operated on weekdays (Monday to Thursday) and 490 (33.2%) patients were operated on a weekend (Friday to Sunday). In multivariable models, patients operated on weekend were at higher risk of in-hospital death within both ER (Odds Ratio 1.62, p=0.038) and OR (Odds Ratio 1.68, p=0.001) groups. Furthermore, OR conducted on weekends was associated with lower long-term survival (Hazard Ratio 1.23, p=0.014). Finally, OR of thoracic or abdominal aorta was associated with significantly lower in-hospital mortality and higher long-term survival when compared to thoracic-abdominal aortic repair. Conclusion - Weekend repairs of ruptured aortic aneurysms are associated with worse in-hospital and long-term survival when compared to weekday surgery. Negative effect of weekend surgery was strongest for thoracic-abdominal aneurysms. References 1. Wise J. The weekend effect-how strong is the evidence? BMJ 2016;353:i2781. 2. Metcalfe D, Perry DC, Bouamra O, Salim A, Lecky FE, Woodford M, et al. Is there a 'weekend effect' in major trauma? Emergency medicine journal. Emerg Med J 2016;33:836-842. 3. Groves EM, Khoshchehreh M, Le C, Malik S. Effects of weekend admission on the outcomes and management of ruptured aortic aneurysms. J Vasc Surg 2014;60:318-24. 4. Glance LG, Osler T, Li Y, Lustik SJ, Eaton MP, Dutton RP, et al. Outcomes are Worse in US Patients Undergoing Surgery on Weekends Compared With Weekdays. Med Care 2016;54:608-15. 5. Gallerani M, Volpato S, Boari B, Pala M, De Giorgi A, Fabbian F, et al. Outcomes of weekend versus weekday admission for acute aortic dissection or rupture: a retrospective study on the Italian National Hospital Database. Int J Cardiol 2013;168:3117-9. 6. Kumar N, Venkatraman A, Pandey A, Khera R, Garg N. Weekend hospitalizations for acute aortic dissection have a higher risk of in-hospital mortality compared to weekday hospitalizations. Int J Cardiol 2016;214:448-50. 7. Kostis WJ, Demissie K, Marcella SW, Shao YH, Wilson AC, Moreyra AE, et al. Weekend versus weekday admission and mortality from myocardial infarction. N Engl J Med 2007;356:1099-109. 8. Orandi BJ, Selvarajah S, Orion KC, Lum YW, Perler BA, Abularrage CJ. Outcomes of nonelective weekend admissions for lower extremity ischemia. J Vasc Surg 2014;60:1572-9 e1. 9. Aujesky D, Jimenez D, Mor MK, Geng M, Fine MJ, Ibrahim SA. Weekend versus weekday admission and mortality after acute pulmonary embolism. Circulation 2009;119:962-8. 10. Nanchal R, Kumar G, Taneja A, Patel J, Deshmukh A, Tarima S, et al. Pulmonary embolism: the weekend effect. Chest 2012;142:690-6. 11. Bell CM, Redelmeier DA. Mortality among Patients Admitted to Hospitals on Weekends as Compared with Weekdays. N Engl J Med 2001;345:663-668. 12. Mohammed MA, Sidhu KS, Rudge G, Stevens AJ. Weekend admission to hospital has a higher risk of death in the elective setting than in the emergency setting: a retrospective database study of national health service hospitals in England. BMC Health Serv Res 2012;12:87. 13. Zhou Y, Li W, Herath C, Xia J, Hu B, Song F, et al. Off-Hour Admission and Mortality Risk for 28 Specific Diseases: A Systematic Review and Meta-Analysis of 251 Cohorts. J Am Heart Assoc 2 16;5:e003102. 14. Ozdemir BA, Sinha S, Karthikesalingam A, Poloniecki JD, Pearse RM, Grocott MP, Thompson MM, Holt PJ. Mortality of emergency general surgical patients and associations with hospital structures and processes. Br J Anaesth 2016;116:54-62. 15. Behrendt CA, Sedrakyan A, Riess HC, Heidemann F, Kolbel T, Petersen J, et al. Short-term and long-term results of endovascular and open repair of abdominal aortic aneurysms in Germany. J Vasc Surg 2017;66:1704-1711.e3. 16. Muller I, Freitag MH, Poggensee G, Scharnetzky E, Straube E, Schoerner C, et al. Evaluating Frequency, Diagnostic Quality, and Cost of Lyme Borreliosis Testing in Germany: A Retrospective Model Analysis. Clin Dev Immunol 2012;2012:1-13. 17. Augustin M, Anastasiadou Z, Schaarschmidt ML, Krensel M, Schafer I, Reusch M. Versorgung des Hautkrebses in Deutschland. Hautarzt 2016;67:544-548. 18. Fischer F, Hoffmann K, Monter N, Walle M, Beneke R, Negenborn S, et al. Kostenevaluation eines Modells der Integrierten Versorgung fur schwer psychisch Kranke. Gesundheitswesen 2013;76:86-95. 19. Debus ES, Nullen H, Torsello G, Lang W, Flessenkamper I, Hupp T, et al. Zur Behandlung des abdominellen Aortenaneurysmas in Deutschland. Gefasschirurgie 2014;19:412-421. 20. Grundmann RT. Versorgung des abdominellen Aortenaneurysmas (AAA) 2014. Gefasschirurgie 2015;20:376-384. 21. Debus ES, Torsello G, Behrendt CA, Petersen J, Grundmann RT. [Perioperative mortality following repair for abdominal aortic aneurysm in Germany : Comparison of administrative data of the DAK health insurance and clinical registry data of the German Vascular Society]. Chirurg 2015;86:1041-50. 22. Elixhauser A, Steiner C, Harris DR, Coffey RM. Comorbidity measures for use with administrative data. Med Care 1998;36:8-27. 23. Quan H, Sundararajan V, Halfon P, Fong A, Burnand B, Luthi JC, et al. Coding algorithms for defining comorbidities in ICD-9-CM and ICD-10 administrative data. Med Care 2005;43:1130-9. 24. van Walraven C, Austin PC, Jennings A, Quan H, Forster AJ. A modification of the Elixhauser comorbidity measures into a point system for hospital death using administrative data. Med Care 2009;47:626-33. 25. Rosenbaum PR, Rubin DB. The central role of the propensity score in observational studies for causal effects. Biometrika 1983;70:41-55. 26. Gallerani M, Imberti D, Bossone E, Eagle KA, Manfredini R. Higher mortality in patients hospitalized for acute aortic rupture or dissection during weekends. J Vasc Surg 2012;55:1247-54. 27. Cram P, Hillis SL, Barnett M, Rosenthal GE. Effects of weekend admission and hospital teaching status on in-hospital mortality. Am J Med 2004;117:151-7. 28. Investigators IT. Comparative clinical effectiveness and cost effectiveness of endovascular strategy v open repair for ruptured abdominal aortic aneurysm: three year results of the IMPROVE randomised trial. BMJ 2017;359:j4859. 29. Patel R, Sweeting MJ, Powell JT, Greenhalgh RM. Endovascular versus open repair of abdominal aortic aneurysm in 15-years' follow-up of the UK endovascular aneurysm repair trial 1 (EVAR trial 1): a randomised controlled trial. Lancet 2016;388:2366-2374. 30. Thorpe KE. House Staff Supervision and Working Hours. JAMA 1990;263:3177. 31. McKee M, Black N. Does the current use of junior doctors in the United Kingdom affect the quality of medical care? Soc Sci Med 1992;34:549-58. 32. Tarnow-Mordi WO, Hau C, Warden A, Shearer AJ. Hospital mortality in relation to staff workload: a 4-year study in an adult intensive-care unit. Lancet 2000;356:185-9. 33. Beck AW, Sedrakyan A, Mao J, Venermo M, Faizer R, Debus S, et al. Variations in Abdominal Aortic Aneurysm Care: A Report From the International Consortium of Vascular Registries. Circulation 2016;134:1948-1958. 34. Budtz-Lilly J, Bjorck M, Venermo M, Debus S, Behrendt C-A, Altreuther M, et al. The Impact of Centralisation and Endovascular Aneurysm Repair on Treatment of Ruptured Abdominal Aortic Aneurysms Based on International Registries. Eur J Vasc Endovasc Surg. Article in Press. Doi: 10.1016/j.ejvs.2018.01.014. 35. Behrendt CA, Heidemann F, R ess HC, Stoberock K, Debus SE. Registry and health insurance claims data in vascular research and quality improvement. Vasa 2017;46:11-15. Copyright © 2019</t>
  </si>
  <si>
    <t>Objectives: The fluocinolone acetonide 0.2 mug/day implant (FAc) is effective in improving visual acuity in patients with chronic diabetic macular oedema (cDMO) but is associated with worsening of cataract. A model previously suggested that FAc is cost-effective in patients with cDMO, who have undergone cataract surgery or not. The aim of this study was to update this model and assess the cost-effectiveness of FAc in the subgroup of patients with symptomatic cataract. Method(s): The existing Markov model was designed to assess costs and QALYs over lifetime in patients treated with FAc implant, compared to usual care (UC), consisting of laser photocoagulation and anti-VEGFs from the UK NHS perspective. Unit costs and health state utility values (HSUVs) were updated. The FAc price was NHS list price. HSUVs were obtained from the FAME trial using the VFQ-UI utility index. Best-Corrected Visual Acuity (BCVA) with UC was supposed to be stable. Additional scenarios were considered, with BCVA decreasing over time in UC arm, according to real-world data, and with possibility of administering FAc after cataract surgery in the UC arm. Result(s): New HSUVs ranged from 0.48 for blind patients to 0.91 for patients with perfect vision in both eyes. The FAc strategy was more expensive compared to usual care, by 3,445 per patients over lifetime, and produced more QALYs (+0.247). The incremental cost-effectiveness ratio (ICER) was estimated at 13,932 per QALY gained. The ICER was sensitive to the baseline visual acuity, patients' age and the probability of cataract surgery. The probability of FAc being cost-effective was 66.1% at a threshold of 20,000 per QALY gained. Scenario analyses showed that the efficacy of UC had a strong influence on results, and ICER decreased to 1,686 per QALY gained when BCVA decreased under UC Conclusion(s): The FAc implant is a cost-effective treatment for cDMO in patients with symptomatic cataract. Copyright © 2019</t>
  </si>
  <si>
    <t>- Background Early dental decay or demineralised lesions (DLs, also known as white spot lesions) can appear on teeth during fixed orthodontic (brace) treatment. Fluoride reduces decay in susceptible individuals, including orthodontic patients. This review compared various forms of topical fluoride to prevent the development of DLs during orthodontic treatment. This is the second update of the Cochrane Review first published in 2004 and previously updated in 2013. Objectives The primary objective was to evaluate whether topical fluoride reduces the proportion of orthodontic patients with new DLs after fixed appliances. The secondary objectives were to examine the effectiveness of different modes of topical fluoride delivery in reducing the proportions of orthodontic patients with new DLs, as well as the severity of lesions, in terms of number, size and colour. Participant‐assessed outcomes, such as perception of DLs, and oral health‐related quality of life data were to be included, as would reports of adverse effects. Search methods Cochrane Oral Health's Information Specialist searched the following databases: Cochrane Oral Health's Trials Register (to 1 February 2019), the Cochrane Central Register of Controlled Trials (CENTRAL; 2019, Issue 1) in the Cochrane Library (searched 1 February 2019), MEDLINE Ovid (1946 to 1 February 2019), and Embase Ovid (1980 to 1 February 2019). The US National Institutes of Health Ongoing Trials Register (ClinicalTrials.gov) and the World Health Organization International Clinical Trials Registry Platform were searched for ongoing trials. No restrictions were placed on the language or date of publication when searching the electronic databases. Selection criteria Parallel‐group, randomised controlled trials comparing the use of a fluoride‐containing product versus a placebo, no treatment or a different type of fluoride treatment, in which the outcome of enamel demineralisation was assessed at the start and at the end of orthodontic treatment. Data collection and analysis At least two review authors independently, in duplicate, conducted risk of bias assessments and extracted data. Authors of trials were contacted to obtain missing data or to ask for clarification of aspects of trial methodology. Cochrane's statistical guidelines were followed. Main results This update includes 10 studies and contains data from nine studies, comparing eight interventions, involving 1798 randomised participants (1580 analysed). One report contained insufficient information and the authors have been contacted. We assessed two studies as at low risk of bias, six at unclear risk of bias, and two at high risk of bias. Two placebo (non‐fluoride) controlled studies, at low risk of bias, investigated the professional application of varnish (7700 or 10,000 parts per million (ppm) fluoride (F)), every six weeks and found insufficient evidence of a difference regarding its effectiveness in preventing new DLs (risk ratio (RR) 0.52, 95% confidence interval (CI) 0.14 to 1.93; 405 participants; low‐certainty evidence). One placebo (non‐fluoride) controlled study, at unclear risk of bias, provides a low level of certainty that fluoride foam (12,300 ppm F), professionally applied every two months, may reduce the incidence of new DLs (12% versus 49%) after fixed orthodontic treatment (RR 0.26, 95% CI 0.11 to 0.57; 95 participants). One study, at unclear risk of bias, also provides a low level of certainty that use of a high‐concentration fluoride toothpaste (5000 ppm F) by patients may reduce the incidence of new DLs (18% versus 27%) compared with a conventional fluoride toothpaste (1450 ppm F) (RR 0.68, 95% CI 0.46 to 1.00; 380 participants). There was no evidence for a difference in the proportions of orthodontic patients with new DLs on the teeth after treatment with fixed orthodontic appliances for the following comparisons:  ‐ an amine fluoride and stannous fluoride toothpaste/mouthrinse combination versus a sodium fluoride toothpaste/mouthrinse,  ‐ an amine fluoride gel versus a non‐fluoride placebo applied by participants at home once a week and by professional application every three months,  ‐ resin‐modified glass ionomer cement versus light‐cured composite resin for bonding orthodontic brackets,  ‐ a 250 ppm F mouthrinse versus 0 ppm F placebo mouthrinse,  ‐ the use of an intraoral fluoride‐releasing glass bead device attached to the brace versus a daily fluoride mouthrinse. The last two comparisons involved studies that were assessed at high risk of bias, because a substantial number of participants were lost to follow‐up. Unfortunately, although the internal validity and hence the quality of the studies has improved since the first version of the review, they have compared different interventions; therefore, the findings are only considered to provide low level of certainty, because none has been replicated by follow‐up studies, in different settings, to confirm external validity. A patient‐reported outcome, such as concern about the aesthetics of any DLs, was still not included as an outcome in any study. Reports of adverse effects from topical fluoride applications were rare and unlikely to be significant. One study involving fluoride‐containing glass beads reported numerous breakages. Authors' conclusions This review found a low level of certainty that 12,300 ppm F foam applied by a professional every 6 to 8 weeks throughout fixed orthodontic treatment, might be effective in reducing the proportion of orthodontic patients with new DLs. In addition, there is a low level of certainty that the patient use of a high fluoride toothpaste (5000 ppm F) throughout orthodontic treatment, might be more effective than a conventional fluoride toothpaste. These two comparisons were based on single studies. There was insufficient evidence of a difference regarding the professional application of fluoride varnish (7700 or 10,000 ppm F). Further adequately powered, randomised controlled trials are required to increase the certainty of these findings and to determine the best means of preventing DLs in patients undergoing fixed orthodontic treatment. The most accurate means of assessing adherence with the use of fluoride products by patients and any possible adverse effects also need to be considered. Future studies should follow up participants beyond the end of orthodontic treatment to determine the effect of DLs on patient satisfaction with treatment. Plain language summary Fluorides for preventing early tooth decay (demineralised lesions) during fixed brace treatment Review question   Ugly white or brown marks sometimes appear on the teeth during treatment with braces to straighten teeth. These are due to early tooth decay and usually occur with fixed, glued‐on 'train track', braces, which make it more difficult to clean the teeth. We know that fluoride in toothpaste helps to prevent tooth decay and think that if extra fluoride is given to people wearing fixed braces, it will protect them from getting these marks. The aim of this Cochrane Oral Health's review was to look at how well fluorides help to prevent early tooth decay during fixed brace treatment and to find out the best way to get fluoride to the teeth. Background   Wearing a fixed brace makes it harder for people to keep their teeth clean and may also cause pain. Pain can make it more difficult for people to brush their teeth. This can lead to a build‐up of dental plaque around the brackets that attach the fixed brace to the teeth, and if the plaque stays on the tooth for long enough, it will cause early tooth decay, which looks like white or brown marks (demineralised lesions, also known as white spot lesions). People often wear braces for 18 months or longer and if the decay is left to progress, it can cause holes, which are sometimes bad enough to need fillings to be done in the teeth. Fluoride helps the tooth to heal, reducing tooth decay in people who are at risk of developing it. People receiving fixed brace treatment may be given different forms of fluoride treatment. It is important to think about how the fluoride gets to the teeth. Does the fluoride need to be placed by a dentist or dental nurse, or can people having treatment with braces apply the fluoride to their own teeth? Study characteristics   This review is up‐to‐date as of 1 February 2019. The review includes 10 studies but we could only use the information from nine studies involving 1798 randomised people. We have asked for more information about one study. The review looks at eight different ways of applying fluoride to the teeth. People taking part in the studies were all having treatment with fixed braces. The number of people with new decay on the teeth at end of fixed brace treatment, as well as the amount of decay in each person, were measured and counted. We compared the following treatments:  ‐ dentist or nurse‐applied fluoride e.g. varnish, gel or foam,  ‐ patient‐applied/used fluoride e.g. toothpaste, mouthwash, gel or foam, and  ‐ materials that release fluoride over time e.g. glues, elastic bands. Key results   One study showed that when the dentist applies a foam with a high level of fluoride in it onto the teeth every time the patient is seen, this might reduce the risk of new decay. Another study found that if patients use a toothpaste with a higher level of fluoride than normal, then this might also reduce the risk of new marks on their teeth. No studies have shown that other ways of giving the teeth extra fluoride reduced the number and/or size of new decay on teeth in people wearing fixed braces. Harmful effects of the different ways of giving the teeth more fluoride were not reported in any of the included studies. Certainty of the evidence   The level of belief we have in these findings is low, due to the lack of studies testing the same fluorides and showing the same results. We suggest that more, well‐conducted studies should be done in this area.</t>
  </si>
  <si>
    <t>To estimate the life-cycle value of risperidone - representative of Second-Generation Antipsychotics- relative to First Generation Antipsychotics to balance the view that cost per Quality-Adjusted Life Year (QALY) at launch are enough to guide access decisions. Study aims to drive the discussion on access and price, through recognition of the dynamic nature of value added by pharmaceutical innovation over the long-run. We estimated the number of patients with schizophrenia treated with risperidone in Sweden and the UK (1994-2017). We collected cost-effectiveness data from the literature of risperidone and haloperidol - representative of First-Generation Antipsychotics. We modelled the life-cycle uptake of risperidone to estimate the life-cycle incremental cost, incremental QALYs and Net monetary Benefit (NMB). We also assessed the life-cycle distribution of the consumer (the payer) and the producer (innovator) surpluses. For the UK, the producer surplus represents around 28% of the total surplus before patent expiration and around 5% after patent expiration. Life-cycle NMB for the health system is estimated at 1,116m. During the life-cycle, the NMB significantly increased in response to two events: (i) the launch of Risperidone Long-Acting Injectable (RLAI); and (ii) generic entry. The ICER was negative (dominant) for the whole period. For Sweden, the producer surplus represents around 6% of the total surplus before patent expiration and around 1% after generic competition. Life-cycle NMB is estimated at 803m, and both NMB and ICER follow the same pattern as in the UK. Analysis shows that health systems appropriated most of the life-cycle value (surplus) generated. This suggests that, considering the entire life-cycle, the value added by SGAs to the system is higher than the value estimated using cost-effectiveness analysis at launch. Pricing and reimbursement decisions should take into account the dynamic nature of pharmaceutical markets and the value added by innovative medicines over the long-run. Copyright © 2019</t>
  </si>
  <si>
    <t>- Background Fetal fibronectin (FFN) is an extracellular matrix glycoprotein localized at the maternal‐fetal interface of the amniotic membranes, between chorion and decidua, where it is concentrated in this area between decidua and trophoblast. In normal conditions, FFN is found at very low levels in cervicovaginal secretions. Levels greater than or equal to 50 ng/mL at or after 22 weeks have been associated with an increased risk of spontaneous preterm birth. In fact, FFN is one of the best predictors of preterm birth in all populations studied so far, and can help in selecting which women are at significant risk for preterm birth. This is an update of a review first published in 2008. Objectives To assess the effectiveness of management based on knowledge of FFN testing results for preventing preterm birth. Search methods For this update, we searched Cochrane Pregnancy and Childbirth’s Trials Register (7 September 2018), ClinicalTrials.gov , the WHO International Clinical Trials Registry Platform ( ICTRP ) (7 September 2018), and reference lists of retrieved studies. Selection criteria Randomized controlled trials of pregnant women screened with FFN for risk of preterm birth. Studies included are based exclusively on knowledge of FFN results versus no such knowledge, and we have excluded studies including women with only positive or only negative FFN results. Data collection and analysis Two review authors independently assessed trials for inclusion and risk of bias, extracted data, and checked them for accuracy. The quality of the evidence was assessed using the GRADE approach. Main results We identified 16 trials, of which six were eligible for inclusion. The six included studies randomized 546 women with singleton gestations and threatened preterm labor (PTL) at 23 0/7 to 34 6/7 weeks. A total of 277 women were randomized to knowledge and 269 to no knowledge of FFN. No trials were identified on asymptomatic women or multiple gestations. The risk of bias of included studies was mixed. For selected important outcomes, preterm birth before 37, 34, and 32 weeks, and maternal hospitalization, we graded the quality of the evidence and created a 'Summary of findings' table. For these outcomes, the evidence was graded as mainly low quality due to the imprecision of effect estimates. Management based on knowledge of FFN results may reduce preterm birth before 37 weeks (20.7%) versus controls without such knowledge (29.2%) (risk ratio (RR) 0.72, 95% confidence interval (CI) 0.52 to 1.01; 5 trials; 434 women; low‐quality evidence). However, management based on knowledge of FFN results may make little or no difference to preterm birth before 34 (RR 1.09, 95% CI 0.54 to 2.18; 4 trials; 357 women; low‐quality evidence) or maternal hospitalization (RR 1.06, 95% CI 0.79 to 1.43; 5 trials; 441 women; low‐quality evidence). The evidence for preterm birth before 32 weeks is uncertain because the quality was found to be very low (average RR 0.79, 95% CI 0.16 to 3.96; 4 trials; 357 women; very low‐quality evidence). For all other outcomes, for which there were available data (preterm birth less than 28 weeks; gestational age at delivery (weeks); birthweight less than 2500 g; perinatal death; tocolysis; steroids for fetal lung maturity; time to evaluate; respiratory distress syndrome; neonatal intensive care unit (NICU) admission; and NICU days), knowledge of FFN results may make little or no difference to the outcomes. Authors' conclusions The evidence from this review suggests that management based on knowledge of FFN results may reduce preterm birth before 37 weeks. However, our confidence in this result is limited as the evidence was found to be of low quality. Effects on other substantive outcomes are uncertain due to serious concerns in study design, inconsistency, and imprecision of effect estimates. No trials were identified on asymptomatic women, or multiple gestations. Future studies are needed that include specific populations (e.g. singleton gestations with symptoms of preterm labor), a study gro p managed with a protocol based on the FFN results, and that report not only maternal but also important perinatal outcomes. Cost‐effectiveness analyses are also needed. Plain language summary Fetal fibronectin testing for reducing the risk of preterm birth What is the issue? To assess the effectiveness of management of pregnant women based on a knowledge of fetal fibronectin test results for preventing preterm birth, compared with not having that knowledge. Fetal fibronectin (FFN) acts as a ‘glue’ between the pregnancy and the uterus. Normally very low levels of FFN can be found in secretions of the vagina and cervix. Raised levels at or after 22 weeks have been associated with an increased risk of spontaneous preterm birth. Why is this important? Preterm birth before 37 weeks is the main cause of sickness and death for newborn infants. Most women who give birth preterm have preterm labor symptoms such as contractions but many of the women with symptoms go on to deliver at term (37 weeks or more). Fetal fibronectin (FFN) is a test that can identify the women with symptoms of preterm labor who are most at risk for preterm birth. The level of FFN is measured in secretions from the vagina or cervix. What evidence did we find? We found six randomised controlled studies involving 546 women who were pregnant with one baby and were showing signs of preterm labor at between 23 to 34 weeks' gestation. We graded the following evidence as mainly low quality because of the low number of women in the studies and a wide variation in findings. We found that the number of births before 37 weeks may be slightly reduced when women and their doctors know the results of the FFN test (20.7% versus 29.2%; 5 trials; 434 women). However, knowledge of FFN results may make little or no difference for the other outcomes with available data, including: maternal hospitalization (5 trials; 441 women); use of uterine relaxants (tocolysis) to try to prevent labor; earlier preterm births; women’s gestational age at delivery; babies with a birthweight less than 2500 g; newborn deaths; the number of babies with respiratory distress syndrome; giving steroids to mature the unborn babies’ lungs; and number of days in a neonatal intensive care unit (NICU). What does this mean? This review of six studies did not find enough evidence to say whether or not the FFN test should be used in the management of women showing signs of preterm labor. A screening test such as FFN can only be considered effective if interventions based on the screening results, such as giving drugs to relax the uterus, reduce the number of preterm births. Further research should be encouraged.</t>
  </si>
  <si>
    <t>- Background Measurement of cervical length by ultrasound is predictive of preterm birth (PTB). There are three methods of ultrasound cervical assessment: transvaginal (TVU), transabdominal (TAU), and transperineal (TPU, also called translabial). Cervical length measured by TVU is a relatively new screening test, and has been associated with better prediction of PTB than previously available tests. It is unclear if cervical length measured by ultrasound is effective for preventing PTB. This is an update of a review last published in 2013. Objectives To assess the effectiveness of antenatal management based on transvaginal, transabdominal, and transperineal (also called translabial) ultrasound screening of cervical length for preventing preterm birth. Search methods For this update, we searched the Cochrane Pregnancy and Childbirth’s Trials Register, ClinicalTrials.gov , and the WHO International Clinical Trials Registry Platform ( ICTRP ) to 30 August 2018; reviewed the reference lists of all articles, and contacted experts in the field for additional and ongoing trials. Selection criteria We included published and unpublished randomised controlled trials (RCT) including pregnant women between the gestational ages of 14 to 32 weeks, for whom the cervical length was screened for risk of PTB with TVU, TAU, or TPU. This review focused on studies based on knowledge versus no knowledge of cervical length results, or ultrasound versus no ultrasound for cervical length. We excluded studies based on interventions (e.g. progesterone, cerclage) for short cervical length. Data collection and analysis We followed standard Cochrane methods. Main results We included seven RCTs (N = 923): one examined asymptomatic women with twin pregnancies; four included women with singleton pregnancies and symptoms of preterm labour (PTL); one included women with singleton pregnancies and symptoms of preterm premature rupture of membranes (PPROM); and one included asymptomatic singletons. All trials used TVU for screening. We assessed the risk of bias of the included studies as mixed, and the quality of the evidence for primary outcomes as very low for all populations. For asymptomatic women with twin pregnancies, it is uncertain whether knowledge of TVU‐measured cervical length compared to no knowledge reduces PTB at less than 34 weeks (risk ratio (RR) 0.62, 95% confidence intervals (CI) 0.30 to 1.25; 1 study, 125 participants) because the quality of the evidence is very low. The results were also inconclusive for preterm birth at 36, 32, or 30 weeks; gestational age at birth, and other maternal and perinatal outcomes. Four trials examined knowledge of TVU‐measured cervical length of singletons with symptoms of PTL versus no knowledge. We are uncertain of the effects because of inconclusive results and very low‐quality evidence for: preterm births at less than 37 weeks (average RR 0.59, 95% CI 0.26 to 1.32; 2 studies, 242 participants; I² = 66%; Tau² = 0.23). Birth occurred about four days later in the knowledge groups (mean difference (MD) 0.64 weeks, 95% CI 0.03 to 1.25; 3 trials, 290 women). The results were inconclusive for the other outcomes for which there were available data: PTB at less than 34 or 28 weeks; birthweight less than 2500 g; perinatal death; maternal hospitalisation; tocolysis; and steroids for fetal lung maturity. The trial of singletons with PPROM (N = 92) evaluated safety of using TVU to measure cervical length in this population as its primary outcome, not its effect on management. The results were inconclusive for incidence of maternal and neonatal infections between the TVU and no ultrasound groups. In the trial of asymptomatic singletons (N = 296), in which women either received TVU or not, the results were inconclusive for preterm birth at less than 37 weeks (RR 1.27, 95% CI 0.61 to 2.61; I² = 0%), gestational age at birth, and other perinatal and maternal outcomes. We downgraded evidence for limitations in study design, inconsistency between the trials, and imprecision, due to small sample si e and wide confidence intervals crossing the line of no effect. No trial compared the effect of knowledge of the CL with no knowledge of CL in other populations, such as asymptomatic women with singleton pregnancies, or symptomatic women with twin pregnancies. Authors' conclusions There are limited data on the effects of knowing the cervical length, measured by ultrasound, for preventing preterm births, which preclude us from drawing any conclusions for women with asymptomatic twin or singleton pregnancies, singleton pregnancies with PPROM, or other populations and clinical scenarios. Limited evidence suggests that knowledge of transvaginal ultrasound‐measured cervical length, used to inform the management of women with singleton pregnancies and symptoms of preterm labour, appears to prolong pregnancy by about four days over women in the no knowledge groups. Future studies could look at specific populations separately (e.g. singleton versus twins; symptoms versus no symptoms of PTL), report on all pertinent maternal and perinatal outcomes, and include cost‐effectiveness analyses. Most importantly, future studies should include a clear protocol for management of women based on TVU‐measured cervical length. Plain language summary Cervical assessment by ultrasound for preventing preterm delivery We set out to assess the effectiveness of knowing the cervical length, measured with ultrasound, for preventing preterm birth compared with not knowing the cervical length. What is the issue? The cervix is the lower part of the uterus that connects to the vagina. When women are not pregnant, it is normally at least 3 cm long. During pregnancy, a short cervical length is associated with a risk of spontaneous preterm birth. The shorter the cervical length, the greater the risk. Therefore, measuring cervical length by ultrasound can help predict spontaneous preterm birth. The cervical length is measured by an ultrasound scan through the vagina (transvaginal or TVU), abdomen (transabdominal), or the perineum (transperineal). The most common causes of spontaneous preterm birth are preterm labour or preterm premature rupture of the membranes. Many of the interventions used to prevent preterm birth are used once symptoms develop. Why is this important? Preterm birth before 37 weeks is the main cause of a newborn baby being sick and disabled, or dying. The cervix is the opening or passage through which the baby must pass before being born vaginally. Ultrasound can detect early changes of the cervix, such as shortening of the cervical length, to predict preterm birth. On identifying a short cervical length, interventions can be applied to prevent preterm birth. These interventions include giving the expectant mother progesterone to relax the uterus, or applying a stitch, known as a cerclage, to tighten the opening of the cervix. What evidence did we find? This review assessed if knowing the cervical length can prevent preterm birth. We included seven randomised controlled studies, which involved 923 pregnant women at 14 to 32 weeks' gestation. One study included expectant mothers with twins, without any symptoms of preterm birth or labour, and looked at the number of babies born prematurely before 36 weeks. Four studies included expectant mothers of single babies with threatened preterm labour, and one study involving women with premature rupture of the membranes looked at the safety of transvaginal ultrasound. One trial included expectant mothers with singleton pregnancies who did not have any symptoms of preterm birth or labour to look at the efficacy of transvaginal ultrasound cervical length screening. All studies used transvaginal ultrasound to assess cervical length. For women with twin pregnancies and not showing symptoms of preterm birth, we are unclear of the impact of knowing the cervical length on whether babies are born before 34 weeks' gestation, or their gestational age at birth (1 study, 125 women), because we assessed the quality of the evidence to be very low. For women with a single baby and threatened preterm labour, knowledge of their cervical length may have led to a longer pregnancy by about four days (4 studies, 410 women), but the evidence on the number of babies born before 37 weeks was unclear (2 studies, 242 women). For women whose waters had broken, it is unclear whether healthcare provider knowledge makes any difference to whether the women gave birth preterm, or on the number of infections, again because we judged the quality of evidence as very low. For women with singleton pregnancies not showing symptoms of preterm birth, it is unclear whether an ultrasound to measure cervical length made any difference to whether their babies were born before 37 weeks' gestation (1 study, 296 women; very low‐quality evidence). What does this mean? We found a limited number of studies including small numbers of women. The studies varied in their design and had a broad spread of results. Women were not blinded to whether they had an ultrasound or not. Currently, there is not enough high quality research to show if knowledge of cervical length in women with twin or singleton pregnancies has any effect. Future studies could include ways of managing women as a result of the cervical length results, and it would be useful to look at specific populations separately, such as single babies versus twins and women with and without symptoms of preterm labour. They could also report on all important maternal and perinatal outcomes, and include cost‐effectiveness analyses.</t>
  </si>
  <si>
    <t>Comparison of different human papillomavirus (HPV) vaccine types and dose schedules for prevention of HPV‐related disease in females and males</t>
  </si>
  <si>
    <t>- Background Uptake of human papillomavirus (HPV) vaccine remains low in many countries, although the bivalent and quadrivalent HPV vaccines given as a three‐dose schedule are effective in the prevention of precancerous lesions of the cervix in women. Simpler immunisation schedules, such as those with fewer doses, might reduce barriers to vaccination, as may programmes that include males. Objectives To evaluate the efficacy, immunogenicity, and harms of different dose schedules and different types of HPV vaccines in females and males. Search methods We conducted electronic searches on 27 September 2018 in Ovid MEDLINE, the Cochrane Central Register of Controlled Trials (CENTRAL) (in the Cochrane Library), and Ovid Embase. We also searched the WHO International Clinical Trials Registry Platform, and ClinicalTrials.gov (both 27 September 2018), vaccine manufacturer websites, and checked reference lists from an index of HPV studies and other relevant systematic reviews. Selection criteria We included randomised controlled trials (RCTs) with no language restriction. We considered studies if they enrolled HIV‐negative males or females aged 9 to 26 years, or HIV‐positive males or females of any age. Data collection and analysis We used methods recommended by Cochrane. We use the term 'control' to refer to comparator products containing an adjuvant or active vaccine and 'placebo' to refer to products that contain no adjuvant or active vaccine. Most primary outcomes in this review were clinical outcomes. However, for comparisons comparing dose schedules, the included RCTs were designed to measure antibody responses (i.e. immunogenicity) as the primary outcome, rather than clinical outcomes, since it is unethical to collect cervical samples from girls under 16 years of age. We analysed immunogenicity outcomes (i.e. geometric mean titres) with ratios of means, clinical outcomes (e.g. cancer and intraepithelial neoplasia) with risk ratios or rate ratios and, for serious adverse events and deaths, we calculated odds ratios. We rated the certainty of evidence with GRADE. Main results We included 20 RCTs with 31,940 participants. The length of follow‐up in the included studies ranged from seven months to five years. Two doses versus three doses of HPV vaccine in 9‐ to 15‐year‐old females Antibody responses after two‐dose and three‐dose HPV vaccine schedules were similar after up to five years of follow‐up (4 RCTs, moderate‐ to high‐certainty evidence). No RCTs collected clinical outcome data. Evidence about serious adverse events in studies comparing dose schedules was of very low‐certainty owing to imprecision and indirectness (three doses 35/1159; two doses 36/1158; 4 RCTs). One death was reported in the three‐dose group (1/898) and none in the two‐dose group (0/899) (low‐certainty evidence). Interval between doses of HPV vaccine in 9‐ to 14‐year‐old females and males Antibody responses were stronger with a longer interval (6 or 12 months) between the first two doses of HPV vaccine than a shorter interval (2 or 6 months) at up to three years of follow‐up (4 RCTs, moderate‐ to high‐certainty evidence). No RCTs collected data about clinical outcomes. Evidence about serious adverse events in studies comparing intervals was of very low‐certainty, owing to imprecision and indirectness. No deaths were reported in any of the studies (0/1898, 3 RCTs, low‐certainty evidence). HPV vaccination of 10‐ to 26‐year‐old males In one RCT there was moderate‐certainty evidence that quadrivalent HPV vaccine, compared with control, reduced the incidence of external genital lesions (control 36 per 3081 person‐years; quadrivalent 6 per 3173 person‐years; rate ratio 0.16, 95% CI 0.07 to 0.38; 6254 person‐years) and anogenital warts (control 28 per 2814 person‐years; quadrivalent 3 per 2831 person‐years; rate ratio 0.11, 95% CI 0.03 to 0.38; 5645 person‐years). The quadrivalent vaccine resulted in more injection‐site adverse events, such as pain or redness, than control (5 7 versus 601 per 1000; risk ratio (RR) 1.12, 95% CI 1.06 to 1.18, 3895 participants, high‐certainty evidence). There was very low‐certainty evidence from two RCTs about serious adverse events with quadrivalent vaccine (control 12/2588; quadrivalent 8/2574), and about deaths (control 11/2591; quadrivalent 3/2582), owing to imprecision and indirectness. Nonavalent versus quadrivalent vaccine in 9‐ to 26‐year‐old females and males Three RCTs were included; one in females aged 9‐ to 15‐years (n = 600), one in females aged 16‐ to 26‐years (n = 14,215), and one in males aged 16‐ to 26‐years (n = 500). The RCT in 16‐ to 26‐year‐old females reported clinical outcomes. There was little to no difference in the incidence of the combined outcome of high‐grade cervical epithelial neoplasia, adenocarcinoma in situ, or cervical cancer between the HPV vaccines (quadrivalent 325/6882, nonavalent 326/6871; OR 1.00, 95% CI 0.85 to 1.16; 13,753 participants; high‐certainty evidence). The other two RCTs did not collect data about clinical outcomes. There were slightly more local adverse events with the nonavalent vaccine (905 per 1000) than the quadrivalent vaccine (846 per 1000) (RR 1.07, 95% CI 1.05 to 1.08; 3 RCTs, 15,863 participants; high‐certainty evidence). Comparative evidence about serious adverse events in the three RCTs (nonavalent 243/8234, quadrivalent 192/7629; OR 0.60, 95% CI 0.14 to 2.61) was of low certainty, owing to imprecision and indirectness. HPV vaccination for people living with HIV Seven RCTs reported on HPV vaccines in people with HIV, with two small trials that collected data about clinical outcomes. Antibody responses were higher following vaccination with either bivalent or quadrivalent HPV vaccine than with control, and these responses could be demonstrated to have been maintained for up to 24 months in children living with HIV (low‐certainty evidence). The evidence about clinical outcomes and harms for HPV vaccines in people with HIV is very uncertain (low‐ to very low‐certainty evidence), owing to imprecision and indirectness. Authors' conclusions The immunogenicity of two‐dose and three‐dose HPV vaccine schedules, measured using antibody responses in young females, is comparable. The quadrivalent vaccine probably reduces external genital lesions and anogenital warts in males compared with control. The nonavalent and quadrivalent vaccines offer similar protection against a combined outcome of cervical, vaginal, and vulval precancer lesions or cancer. In people living with HIV, both the bivalent and quadrivalent HPV vaccines result in high antibody responses. For all comparisons of alternative HPV vaccine schedules, the certainty of the body of evidence about serious adverse events reported during the study periods was low or very low, either because the number of events was low, or the evidence was indirect, or both. Post‐marketing surveillance is needed to continue monitoring harms that might be associated with HPV vaccines in the population, and this evidence will be incorporated in future updates of this review. Long‐term observational studies are needed to determine the effectiveness of reduced‐dose schedules against HPV‐related cancer endpoints, and whether adopting these schedules improves vaccine coverage rates. Plain language summary Comparison of different human papillomavirus (HPV) vaccines and the number of doses administered to prevent HPV‐related disease in females and males Human papillomaviruses (HPV) are a group of viruses that infect the skin and mucous membranes. Some types of HPV are sexually transmitted and are common in young people. Most infections will be cleared by the immune system, but some people will experience persistent infection with certain HPV types that go on to cause abnormalities in infected cells. These changes are called 'precancerous' because they can develop into cancers of the cervix, vagina, vulva, anal canal, penis, and head and neck. Infection with other HPV types causes warts in the genital area or around the anu . Vaccination aims to prevent future HPV infections. Three HPV vaccines are in use – a bivalent one (protects against two HPV types), a quadrivalent one (protects against four HPV types), and a nonavalent one (protects against nine HPV types). In women, three doses of the bivalent or the quadrivalent HPV vaccines protect against precancer of the cervix caused by the HPV types contained in the vaccine. Evidence about the nonavalent vaccine, about the effects of the quadrivalent vaccine in males, and about the effects of HPV vaccines in people with HIV infection, has not yet been reviewed thoroughly. Uptake of HPV vaccines remains low in many countries. Simpler vaccine schedules, or giving the vaccine to both girls and boys, could increase the number of people being vaccinated. Trials of HPV vaccines are not always designed to collect data about precancer and cancer, for several reasons. Firstly, HPV vaccine is routinely given before girls become sexually active, and it is not ethical to take specimens from the cervix of girls who have not had sex. Secondly, HPV‐related precancer and cancer are rare and do not develop until years after HPV infection has occurred. Thirdly, participants in a trial will be offered treatment if precancer develops, so progression to cervical cancer would be even rarer, even without vaccination. An international committee of experts states that, in some circumstances, antibody levels (i.e. showing a strong immune system response), can be used to demonstrate protection against cervical and anal cancer. The antibody levels following vaccination in a trial should not be lower than those found in other studies on adults in whom the vaccine has been shown to protect against severe HPV‐related cervical or anal disease. Review question(s) How effective or harmful are different HPV vaccine schedules (i.e. number and timing of doses) and different HPV vaccines in females and males? Main results These results are based on research evidence to 27 September 2018. We analysed 20 studies involving 31,940 people. Studies comparing two doses of HPV vaccine to three doses, or comparing the time interval between doses, focus on immune system responses rather than infection or disease outcomes. Two doses of HPV vaccine result in similar immune system responses to three doses, and a longer interval (up to 12 months) between doses gives a stronger immune system response than a shorter interval. There is insufficient evidence to determine whether there was a difference between the vaccine schedules for serious adverse events and death. In 16‐ to 26‐year‐old men, one study showed evidence of moderate certainty that a quadrivalent HPV vaccine provides better protection against external genital lesions and genital warts than a dummy treatment (control). In 16‐ to 26‐year‐old women, one study showed that the nonavalent and quadrivalent vaccines provide the same levels of protection against cervical, vaginal, and vulval precancer lesions and cancer (high‐certainty evidence). There was evidence that the quadrivalent vaccine resulted in more local adverse events (such as pain, swelling, and redness at the injection site) than a control treatment in males, and that the nonavalent vaccine resulted in more local adverse events than the quadrivalent vaccine in males and females. Evidence about serious adverse events and deaths from studies comparing different HPV vaccine types or dose schedules was of low or very low‐certainty. In people living with HIV, HPV vaccines result in reasonable levels of immune system response, but evidence about their effects on persistent HPV infection or HPV‐related disease outcomes and harms is limited. Certainty of the evidence No major issues were identified with the methodological quality of the studies for the measurements of infection and disease outcomes, or for immune system responses. Our certainty in the evidence about serious harms and deaths across all the studies comparing different HPV vaccines and vaccine schedules is low, either because of their low frequency or because the evidence is indirect, or both. Evidence graded as high certainty means that we were confident that further research is unlikely to change our findings. Moderate‐certainty evidence means that there is a possibility that further research may have an important effect on our findings, whilst low‐certainty evidence means that our confidence was limited and further research may have an important impact on our findings. Very low‐certainty evidence means that we were uncertain about the result. Conclusion A two‐dose schedule of HPV vaccines in young females results in immune system responses that are comparable with a three‐dose schedule. In males, the quadrivalent HPV vaccine appears to be effective in the prevention of external genital lesions and genital warts. Quadrivalent and nonavalent HPV vaccines in young women result in similar levels of protection against cervical, vaginal, and vulval precancer lesions and cancer. Evidence about the efficacy and harms in people living with HIV is limited. Further long‐term population‐level studies are needed to continue monitoring safety of these vaccines, to determine for how long two doses of vaccine can provide protection against HPV‐related disease, the effect against HPV‐related cancer, and whether a two‐dose immunisation schedule will increase vaccine coverage.</t>
  </si>
  <si>
    <t>Background/Aims: Uveitis is inflammation inside the eye. Our objective was to assess the cost-effectiveness of adalimumab compared with current practice (immunosuppressants and systemic corticosteroids) in patients with non-infectious intermediate, posterior or panuveitis and to identify areas for future research. Method(s): A Markov model was built to estimate costs and benefits of the interventions. Systematic reviews were performed to identify the available relevant clinical and cost-effectiveness evidence. Data collected in two key randomised controlled trials (VISUAL I and VISUAL II) were used to estimate the interventions' effectiveness compared with the trials' comparator arms (placebo plus limited current practice (LCP)). The analysis was performed from the National Health Service and Personal Social Services perspective. Costs were calculated based on standard UK sources. Result(s): The estimated incremental cost-effectiveness ratios (ICERs) of adalimumab versus LCP for the base case are 92 600 and 318 075 per quality-adjusted life year (QALY) gained for active and inactive uveitis, respectively. In sensitivity analyses, the ICER varied from 15 579 to 120 653 and 35 642 to 800 775 per QALY for active and inactive uveitis. Conclusion(s): The estimated ICERs of adalimumab versus LCP are above generally accepted thresholds for cost-effectiveness in the UK. Adalimumab may be more cost-effective in patients with active uveitis at greater risk of blindness. However, there is an unmet need for additional primary data to provide more reliable estimates in several important areas, including effectiveness of adalimumab versus current practice (instead of LCP), incidence of long-term blindness, adalimumab effectiveness in avoiding blindness, and rates and time to remission while on adalimumab. Copyright © 2019 Author(s).</t>
  </si>
  <si>
    <t>Background: Strategies to control varicella vary across Europe. Evidence from established programmes has prompted the United Kingdom to re-evaluate the need for universal vaccination. The burden of complicated varicella is a key parameter in the cost-effectiveness analysis. Aim(s): Our objective was to estimate the burden of complicated varicella in England. Method(s): This electronic health record surveillance study used data from all NHS hospitals in England to identify varicella admissions between 2004 and 2017. The incidence of pre-defined complications of varicella was estimated using ICD-10 codes. Inpatient costs were calculated based on the payment rules for providers of NHS services. Result(s): There were 61,024 admissions with varicella between 2004 and 2017 and 38.1% had a recognised varicella complication. Incidence of hospitalisation increased by 25% and the proportion with complicated varicella by 24% from 2004/05 to 2016/17. The most common complications were bacterial skin infections (11.25%), pneumonia (4.82%), febrile convulsions (3.39%) and encephalitis (2.44%). Complication rates were higher in older age groups and the type of complications more severe. Length of stay for complicated varicella was 3.1 times longer than for uncomplicated varicella and inpatient costs were 72% greater. Conclusion(s): Complicated varicella has a substantial health and economic burden. These data together with data on impact on quality of life are important in informing the cost-effectiveness analysis of universal varicella vaccination. Copyright © 2019 European Centre for Disease Prevention and Control (ECDC). All rights reserved.</t>
  </si>
  <si>
    <t>Treatment for hepatorenal syndrome in people with decompensated liver cirrhosis: a network meta‐analysis</t>
  </si>
  <si>
    <t>- Background Hepatorenal syndrome is defined as renal failure in people with cirrhosis in the absence of other causes. In addition to supportive treatment such as albumin to restore fluid balance, the other potential treatments include systemic vasoconstrictor drugs (such as vasopressin analogues or noradrenaline), renal vasodilator drugs (such as dopamine), transjugular intrahepatic portosystemic shunt (TIPS), and liver support with molecular adsorbent recirculating system (MARS). There is uncertainty over the best treatment regimen for hepatorenal syndrome. Objectives To compare the benefits and harms of different treatments for hepatorenal syndrome in people with decompensated liver cirrhosis. Search methods We searched CENTRAL, MEDLINE, Embase, Science Citation Index Expanded, World Health Organization International Clinical Trials Registry Platform, and trial registers until December 2018 to identify randomised clinical trials on hepatorenal syndrome in people with cirrhosis. Selection criteria We included only randomised clinical trials (irrespective of language, blinding, or publication status) in adults with cirrhosis and hepatorenal syndrome. We excluded randomised clinical trials in which participants had previously undergone liver transplantation. Data collection and analysis Two authors independently identified eligible trials and collected data. The outcomes for this review included mortality, serious adverse events, any adverse events, resolution of hepatorenal syndrome, liver transplantation, and other decompensation events. We performed a network meta‐analysis with OpenBUGS using Bayesian methods and calculated the odds ratio (OR), rate ratio, hazard ratio (HR), and mean difference (MD) with 95% credible intervals (CrI) based on an available‐case analysis, according to National Institute of Health and Care Excellence Decision Support Unit guidance. Main results We included a total of 25 trials (1263 participants; 12 interventions) in the review. Twenty‐three trials (1185 participants) were included in one or more outcomes. All the trials but two were at high risk of bias, and all the evidence was of low or very low certainty. The trials included participants with liver cirrhosis of varied aetiologies as well as a mixture of type I hepatorenal syndrome only, type II hepatorenal syndrome only, or people with both type I and type II hepatorenal syndrome. Participant age ranged from 42 to 60 years, and the proportion of females ranged from 5.8% to 61.5% in the trials that reported this information. The follow‐up in the trials ranged from one week to six months. Overall, 59% of participants died during this period and about 35% of participants recovered from hepatorenal syndrome. The most common interventions compared were albumin plus terlipressin, albumin plus noradrenaline, and albumin alone. There was no evidence of a difference in mortality (22 trials; 1153 participants) at maximal follow‐up between the different interventions. None of the trials reported health‐related quality of life. There was no evidence of differences in the proportion of people with serious adverse events (three trials; 428 participants), number of participants with serious adverse events per participant (two trials; 166 participants), proportion of participants with any adverse events (four trials; 402 participants), the proportion of people who underwent liver transplantation at maximal follow‐up (four trials; 342 participants), or other features of decompensation at maximal follow‐up (one trial; 466 participants). Five trials (293 participants) reported number of any adverse events, and five trials (219 participants) reported treatment costs. Albumin plus noradrenaline had fewer numbers of adverse events per participant (rate ratio 0.51, 95% CrI 0.28 to 0.87). Eighteen trials (1047 participants) reported recovery from hepatorenal syndrome (as per definition of hepatorenal syndrome). In terms of recovery from hepatorenal syndrome, in the direct comparisons, albumin plus midodrine plus octreotide and albumin plus octreotide had lower recovery from hepatorenal syndrome than albumin plus terlipressin (HR 0.04; 95% CrI 0.00 to 0.25 and HR 0.26, 95% CrI 0.07 to 0.80 respectively). There was no evidence of differences between the groups in any of the other direct comparisons. In the network meta‐analysis, albumin and albumin plus midodrine plus octreotide had lower recovery from hepatorenal syndrome compared with albumin plus terlipressin. Funding: two trials were funded by pharmaceutical companies; five trials were funded by parties who had no vested interest in the results of the trial; and 18 trials did not report the source of funding. Authors' conclusions Based on very low‐certainty evidence, there is no evidence of benefit or harm of any of the interventions for hepatorenal syndrome with regards to the following outcomes: all‐cause mortality, serious adverse events (proportion), number of serious adverse events per participant, any adverse events (proportion), liver transplantation, or other decompensation events. Low‐certainty evidence suggests that albumin plus noradrenaline had fewer 'any adverse events per participant' than albumin plus terlipressin. Low‐ or very low‐certainty evidence also found that albumin plus midodrine plus octreotide and albumin alone had lower recovery from hepatorenal syndrome compared with albumin plus terlipressin. Future randomised clinical trials should be adequately powered; employ blinding, avoid post‐randomisation dropouts or planned cross‐overs (or perform an intention‐to‐treat analysis); and report clinically important outcomes such as mortality, health‐related quality of life, adverse events, and recovery from hepatorenal syndrome. Albumin plus noradrenaline and albumin plus terlipressin appear to be the interventions that should be compared in future trials. Plain language summary Treatment of hepatorenal syndrome What is the aim of this Cochrane review? To find out the best treatment for decreased kidney function (hepatorenal syndrome) in people with liver cirrhosis (a form of advanced liver disease with scarring of the liver) with complications. The authors collected and analysed all relevant studies to answer this question and found 25 randomised controlled trials (participants receive the treatment based on method similar to coin toss or lottery; this is to ensure that the people who receive the different treatments are similar in all aspects except the treatment, so that any differences in the results between the treatments can be attributed to the treatment rather than differences in the type of people who received the treatment). During analysis of data, authors used standard Cochrane techniques, which allows comparison of two treatments at a time. Authors also used advanced techniques, that allow comparison of many treatments at the same time (usually referred as 'network meta‐analysis' or 'multiple treatment comparisons'). The aim is to gather reliable evidence on the relative benefits and harms of the different treatments. Date of literature search   December 2018 Key messages   Only two studies were conducted well. The remaining studies had one or more flaws. Therefore, there is high uncertainty in the results of the analysis. The authors could not recommend one treatment over another on the basis of risk of death, serious complications, percentage of people who developed any complication, percentage of participants who underwent liver transplantation (replacement of a diseased liver with a healthy one), or the number of other liver failure events. Health‐related quality of life was not reported in any of the trials. The number of complications of any severity was lower with albumin plus noradrenaline than albumin plus terlipressin. Recovery from hepatorenal syndrome may be lower with albumin plus midodrine plus octreotide and albumin alone than albumin plus terlipressin and albumin plus noradrenaline. Funding source was unclear in 18 studies. Industrial organisations funded two studies and the remaining five studies did not receive any funding from industrial organisations. What was studied in the review? This review studied people of any sex, age, and origin, having advanced liver disease due to various causes, and who had developed hepatorenal syndrome. People were administered different treatments. The review authors excluded studies with liver‐transplanted participants. Participants age, when reported, ranged from 42 to 60 years. The number of females ranged from 6 to 62 out of 100 in the studies that reported this information. The main treatments compared were albumin alone, albumin plus terlipressin, and albumin plus noradrenaline. The authors gathered and analysed data on death, quality of life, serious and non‐serious complications, time to liver transplantation, recovery from hepatorenal syndrome, and disappearance of symptoms. What were the main results of the review? The 25 studies included a small number of participants (1263 participants). Study data were sparse. Twenty‐three studies with 1185 participants provided data for analyses. The follow‐up in the trials ranged from one week to six months. The review shows that: ‐ About 60 out of every 100 people died within three months, and 35 out of every 100 people recovered from hepatorenal syndrome. ‐ The provided treatment may make no difference to the percentage of people who died or developed serious complications, number of serious complications per person, percentage of people who developed complications of any severity, or the percentage of people undergoing liver transplantation. ‐ None of the trials reported health‐related quality of life. ‐ The number of complications of any severity was lower with albumin plus noradrenaline than albumin plus terlipressin. ‐ Recovery from hepatorenal syndrome may be lower with albumin plus midodrine plus octreotide and albumin alone than albumin plus terlipressin and albumin plus noradrenaline. ‐ We have very low confidence in the overall results. ‐ Future trials with proper design and quality are needed to clarify the best treatment for people with advanced liver disease having hepatorenal syndrome.</t>
  </si>
  <si>
    <t>Once‐daily versus multiple‐daily dosing with intravenous aminoglycosides for cystic fibrosis</t>
  </si>
  <si>
    <t>- Background People with cystic fibrosis, who are chronically colonised with the organism Pseudomonas aeruginosa , often require multiple courses of intravenous aminoglycoside antibiotics for the management of pulmonary exacerbations. The properties of aminoglycosides suggest that they could be given in higher doses less often. This is an update of a previously published review. Objectives To assess the effectiveness and safety of once‐daily versus multiple‐daily dosing of intravenous aminoglycoside antibiotics for the management of pulmonary exacerbations in cystic fibrosis. Search methods We searched the Cystic Fibrosis Specialist Register held at the Cochrane Cystic Fibrosis and Genetic Disorders Group's editorial base, comprising references identified from comprehensive electronic database searches, handsearching relevant journals and handsearching abstract books of conference proceedings. Date of the most recent search: 31 January 2019. We also searched online trial registries. Date of latest search: 25 February 2019. Selection criteria All randomised controlled trials, whether published or unpublished, in which once‐daily dosing of aminoglycosides has been compared with multiple‐daily dosing in terms of efficacy or toxicity or both, in people with cystic fibrosis. Data collection and analysis The two authors independently selected the studies to be included in the review and assessed the risk of bias of each study; authors also assessed the quality of the evidence using the GRADE criteria. Data were independently extracted by each author. Authors of the included studies were contacted for further information. As yet unpublished data were obtained for one of the included studies. Main results We identified 15 studies for possible inclusion in the review. Five studies reporting results from a total of 354 participants (aged 5 to 50 years) were included in this review. All studies compared once‐daily dosing with thrice‐daily dosing. One cross‐over trial had 26 participants who received the first‐arm treatment but only 15 received the second arm. One study had a low risk of bias for all criteria assessed; the remaining included studies had a high risk of bias from blinding, but for other criteria were judged to have either an unclear or a low risk of bias. There was little or no difference between treatment groups in: forced expiratory volume in one second, mean difference (MD) 0.33 (95% confidence interval (CI) ‐2.81 to 3.48, moderate‐quality evidence); forced vital capacity, MD 0.29 (95% CI ‐6.58 to 7.16, low‐quality evidence); % weight for height, MD ‐0.82 (95% CI ‐3.77 to 2.13, low‐quality evidence); body mass index, MD 0.00 (95% CI ‐0.42 to 0.42, low‐quality evidence); or in the incidence of ototoxicity, relative risk 0.56 (95% CI 0.04 to 7.96, moderate‐quality evidence). Once‐daily treatment in children probably improved the percentage change in creatinine, MD ‐8.20 (95% CI ‐15.32 to ‐1.08, moderate‐quality evidence), but showed no difference in adults, MD 3.25 (95% CI ‐1.82 to 8.33, moderate‐quality evidence). The included trials did not report antibiotic resistance patterns or quality of life. Authors' conclusions Once‐ and three‐times daily aminoglycoside antibiotics appear to be equally effective in the treatment of pulmonary exacerbations of cystic fibrosis. There is evidence of less nephrotoxicity in children. Plain language summary Giving aminoglycoside antibiotics intravenously once daily compared to giving them several times per day in people with cystic fibrosis Review question We looked for evidence to show the differences between giving intravenous antibiotics once daily compared to giving them several times a day when treating flare ups of disease (pulmonary exacerbations) in people with cystic fibrosis. This is an update of an earlier review. Background Most people with cystic fibrosis develop persistent lung infections and they may receive frequent courses of intravenous antibiotics to treat pulmonary exacerbations. Giving the a tibiotics just once per day rather than several doses per day reduces the cost of treatment and the time involved. Search date The evidence is current to 31 January 2019. Study characteristics This review includes five studies with a total of 354 children and adults. All the trials compared once‐a‐day dosing with three times‐a‐day dosing. Key results The review found that when treating people with cystic fibrosis for pulmonary exacerbations, giving the antibiotics once per day was just as good at as giving them more frequently in terms of lung function and body mass index. The review also found that giving the antibiotics once per day appeared to be less toxic to the kidneys in children. There were no differences between the different treatment schedules for other outcomes that the studies measured. While once‐daily treatment can be just as effective and more convenient than three‐times daily treatment, we recommend further studies to look at the long‐term safety of this treatment schedule. Quality of the evidence We judged that just one of the five studies carried a low risk that any design factors might affect the outcome results. In the remaining four studies, we thought that the fact that it was obvious whether the antibiotics were given once or three times a day could affect some outcome measures (e.g. lung function). Other risk factors were unclear or at low risk of bias. We assessed the evidence for lung function, body mass index and the evidence for side effects (e.g. toxicity) to be moderate to low quality.</t>
  </si>
  <si>
    <t>​Primary closure versus delayed or no closure for traumatic wounds due to mammalian bite</t>
  </si>
  <si>
    <t>- Background Mammalian bites are a common presentation in emergency and primary healthcare facilities across the world. The World Health Organization recommends postponing the suturing of a bite wound but this has not been evaluated through a systematic review. Objectives To assess the effects of primary closure compared with delayed closure or no closure for mammalian bite wounds. Search methods In July 2019 we searched the Cochrane Wounds Specialised Register; the Cochrane Central Register of Controlled Trials (CENTRAL); Ovid MEDLINE (including In‐Process &amp; Other Non‐Indexed Citations); Ovid Embase and EBSCO CINAHL Plus. We also searched clinical trials registries for ongoing and unpublished studies, and scanned reference lists of relevant included studies as well as reviews, meta‐analyses and health technology reports to identify additional studies. There were no restrictions with respect to language, date of publication or study setting. Selection criteria We included randomised controlled trials which compared primary closure with delayed or no closure for traumatic wounds due to mammalian bite. Data collection and analysis Two review authors independently screened titles, abstracts and full‐text publications, applied the inclusion criteria, and extracted data. We pooled data using a random‐effects model, as appropriate. We used the Cochrane 'Risk of bias' tool and assessed the certainty of the evidence using the GRADE approach. Main results We found three trials (878 participants) that compared primary closure with no closure for dog bites and one trial (120 participants) that compared primary closure with delayed closure. No other mammalian bite studies were identified. The trials were from the UK (one trial), Greece (one trial) and China (two trials). Overall, participants from both sexes and all age groups were represented. We are uncertain whether primary closure improves the proportion of wounds which are infection‐free compared with no closure, as the certainty of evidence for this outcome was judged to be very low (risk ratio (RR) 1.01, 95% confidence interval (CI) 0.97 to 1.05; 2 studies, 782 participants; I 2 = 0%). We downgraded the evidence by one level for high risk of bias and two levels for imprecision. There is no clinically important difference in cosmesis (acceptable physical/cosmetic appearance) of dog bite wounds when primary closure is compared with no closure (mean difference (MD) ‐1.31, 95% CI ‐2.03 to ‐0.59; 1 study, 182 participants). The certainty of evidence for this outcome was judged to be moderate (we downgraded our assessment by one level for imprecision). We are uncertain whether primary closure improves the proportion of dog bite wounds that are infection‐free compared with delayed closure, as the evidence for this outcome was judged to be very low (RR 0.98, 95% CI 0.90 to 1.07; 1 study, 120 participants; I 2 = 0%). We downgraded the evidence by one level for high risk of bias and two levels for imprecision. None of the four trials reported any adverse outcomes such as death or rabies but they were, in any case, unlikely to have been large enough to have satisfactory power to provide precise estimates for these. Important outcomes like time to complete wound healing, proportion of wounds healed, and length of hospital stay were not evaluated. Authors' conclusions All the studies we identified concerned dog bites. There is no high‐certainty evidence to support or refute existing recommendations concerning primary closure for dog bites. The potential benefits and harms of primary closure compared with delayed or no closure for mammalian bites remain uncertain and more robust trials are needed. Plain language summary Primary closure (immediate stitches) versus delayed closure (delayed stitches) or no closure (no stitches) for traumatic wounds due to mammalian bite What is the aim of this review? The aim of this review was to find out whether animal bite wounds heal better when they are closed with stitches straight away (primary closure), or if th wounds are left open to heal for a short time before closure (delayed closure) or not stitched at all (no closure). We wanted to find out which wounds healed fastest, and if the method of closure affected the likelihood of wound infection, the appearance of the scar, the length of time patients were in hospital, and more serious side effects such as death. To answer this question, we collected and analysed all relevant studies (randomised controlled trials). Randomised controlled trials are medical studies where people are chosen at random to receive different treatments. This type of trial provides the most reliable health evidence. We found four relevant studies. Key messages All the studies we found concerned dog bites. In terms of wound infection, we cannot be certain whether it is better to close dog bite wounds straight away, or wait a while before stitching, or leave them with no stitches. There was little difference in the appearance of the bite scar. Most of the evidence we found was of low certainty due to the size of the studies and the methods used. What was studied in the review? Mammalian bite wounds from animals such as dogs, cats and monkeys are a common problem throughout the world. In developed countries, many bite wounds are caused by domestic pets. In lower‐income countries bites can also be caused by wild animals. Dogs are generally responsible for the majority of bites. Bite wounds are at high risk of infection as microbes are transmitted into the wound from the animal's mouth. In lower‐income countries these wound infections can lead to serious complications and in some cases death. The first priorities when treating an animal bite are to stop the flow of blood from the wound, provide pain relief, and prevent infection. This can include appropriate vaccination against tetanus and rabies. It is often recommended that bite wounds are not stitched straight away if infection is suspected, as closing an infected wound could delay healing and be potentially fatal. What are the main results of the review? In July 2019 we searched for randomised controlled trials comparing primary closure versus delayed or no closure for mammalian bite wounds. We found four relevant studies on dog bites. They were carried out in the UK, Greece and China. No other mammalian bite studies were identified. Three of the studies we included compared primary closure with sutures (immediate stitches) with no closure for dog bite wounds. One study compared primary closure with delayed closure for dog bites. The people in the studies were followed, where stated, from 14 days to three months. Overall, participants from both sexes and all age groups were represented. We are uncertain whether primary closure of dog bite wounds increases the proportion of wounds which are infection‐free compared with no closure (very low‐certainty evidence from two studies including a total of 782 people) and compared with delayed closure (very low‐certainty evidence from one study with a total of 120 people). There is little difference in the appearance of dog bite wounds when primary closure is compared with no closure (moderate‐certainty evidence from one study with a total of 182 participants). None of the included studies reported proportion of wounds healed, the time to complete wound healing, length of hospital stay or adverse events. The number of people in the included studies was small, and the people who assessed the outcomes were aware of which treatment had been given. Both of these are reasons why the results are uncertain. How up to date is this review? We searched for studies that had been published up to July 2019.</t>
  </si>
  <si>
    <t>Background The WHO recognises several specialist rehabilitation provision models; in-patient, outpatient and outreach. Intensive early neurorehabilitation is required after severe Acquired Brain Injury (ABI), usually necessitating in-patient care. In the UK, children receiving specialist neurorehabilitation often remain in-patients for long periods because of the lack of appropriate out-of-hospital provision. Aims To explore feasibility and funding implications of developing a regional specialist neurorehabilitation outreach service to facilitate earlier discharge. Methods Analysis of data on children receiving in-patient neurorehabilitation at a paediatric Regional Neuroscience Centre (RNSC), 2014-2018. Information concerning therapy provision was obtained from Trust Clinical Information System Suite (CISS). Patient dependency and rehabilitation complexity was assessed by Rehabilitation Complexity Scale-Extended (RCS-E), scored by multi-disciplinary team (MDT) at weekly meetings over 15 months. For modelling purposes, a specialist neurorehabilitation outreach tariff equating to 50% in-patient tariff was assumed. Data analysis was undertaken by linear programming model (XpressIve©) and Discrete-Even Simulation (Simul8 ©).Various eligibility criteria for outreach provision were modelled: 1) needing &gt;=1 therapies&lt;3 times/week; 2) Total RCS-E score &lt;9,&lt;11 or&lt;13; 3) Therapy Dependency (TD) +Therapy Intensity (TI) components of RCS-E &lt;5. Results 156 children received neurorehabilitation as in-patients over 4 years. Mean age=7.34 years (range 0.1-17). 66 (55%) were male, 53 (45%) female. 84% had ABI, others acquired spinal injury, acute polyneuropathy or somatisation disorders. 52% lived &gt;40 miles from RNSC, 47%&gt;60 min' drive away. 49% were inpatients 1-28 days; 34%, 29-84 days; 18, 85-168 days; 6,&gt;168 days. Patients showed significant functional improvements between admission to neurorehabilitation and discharge (p&lt;0.001). Modelling suggests 14 outreach centres, including RNSC, would be required to permit 78% patients to access specialist neurorehabilitation &lt;30 mins drive from home; 10 centres would permit 92% to access neurorehabilitation &lt;45 min' drive away; 8 centres would permit 96% to access neurorehabilitation &lt;60 min' drive away. Calculations assuming outreach tariff=50% in-patient tariff, and various RCS data models, suggest annual cost savings ranging from 53,424-166,950; calculations based on CISS data, suggest average savings of 1 05 596 per year (range 98,500-113,526). Conclusion Modelling supports the feasibility and affordability of specialist neurorehabilitation outreach provision, although efficacy remains uncertain.</t>
  </si>
  <si>
    <t>- Background Exercise training is commonly recommended for individuals with fibromyalgia. This review is one of a series of reviews about exercise training for fibromyalgia that will replace the review titled Exercise for treating fibromyalgia syndrome", which was first published in 2002. Objectives To evaluate the benefits and harms of mixed exercise training protocols that include two or more types of exercise (aerobic, resistance, flexibility) for adults with fibromyalgia against control (treatment as usual, wait list control), non exercise (e.g. biofeedback), or other exercise (e.g. mixed versus flexibility) interventions.  Specific comparisons involving mixed exercise versus other exercises (e.g. resistance, aquatic, aerobic, flexibility, and whole body vibration exercises) were not assessed. Search methods We searched the Cochrane Library, MEDLINE, Embase, the Cumulative Index to Nursing and Allied Health Literature (CINAHL), Thesis and Dissertations Abstracts, the Allied and Complementary Medicine Database (AMED), the Physiotherapy Evidence Databese (PEDro), Current Controlled Trials (to 2013), WHO ICTRP, and ClinicalTrials.gov up to December 2017, unrestricted by language, to identify all potentially relevant trials. Selection criteria We included randomised controlled trials (RCTs) in adults with a diagnosis of fibromyalgia that compared mixed exercise interventions with other or no exercise interventions. Major outcomes were health‐related quality of life (HRQL), pain, stiffness, fatigue, physical function, withdrawals, and adverse events. Data collection and analysis Two review authors independently selected trials for inclusion, extracted data, and assessed risk of bias and the quality of evidence for major outcomes using the GRADE approach. Main results We included 29 RCTs (2088 participants; 98% female; average age 51 years) that compared mixed exercise interventions (including at least two of the following: aerobic or cardiorespiratory, resistance or muscle strengthening exercise, and flexibility exercise) versus control (e.g. wait list), non‐exercise (e.g. biofeedback), and other exercise interventions. Design flaws across studies led to selection, performance, detection, and selective reporting biases. We prioritised the findings of mixed exercise compared to control and present them fully here. Twenty‐one trials (1253 participants) provided moderate‐quality evidence for all major outcomes but stiffness (low quality). With the exception of withdrawals and adverse events, major outcome measures were self‐reported and expressed on a 0 to 100 scale (lower values are best, negative mean differences (MDs) indicate improvement; we used a clinically important difference between groups of 15% relative difference). Results for mixed exercise versus control show that mean HRQL was 56 and 49 in the control and exercise groups, respectively (13 studies; 610 participants) with absolute improvement of 7% (3% better to 11% better) and relative improvement of 12% (6% better to 18% better). Mean pain was 58.6 and 53 in the control and exercise groups, respectively (15 studies; 832 participants) with absolute improvement of 5% (1% better to 9% better) and relative improvement of 9% (3% better to 15% better). Mean fatigue was 72 and 59 points in the control and exercise groups, respectively (1 study; 493 participants) with absolute improvement of 13% (8% better to 18% better) and relative improvement of 18% (11% better to 24% better). Mean stiffness was 68 and 61 in the control and exercise groups, respectively (5 studies; 261 participants) with absolute improvement of 7% (1% better to 12% better) and relative improvement of 9% (1% better to 17% better). Mean physical function was 49 and 38 in the control and exercise groups, respectively (9 studies; 477 participants) with absolute improvement of 11% (7% better to 15% better) and relative improvement of 22% (14% better to 30% better). Pooled analysis resulted in a moderate‐quality risk ratio for all‐cause withdrawals with similar rates acro s groups (11 per 100 and 12 per 100 in the control and intervention groups, respectively) (19 studies; 1065 participants; risk ratio (RR) 1.02, 95% confidence interval (CI) 0.69 to 1.51) with an absolute change of 1% (3% fewer to 5% more) and a relative change of 11% (28% fewer to 47% more). Across all 21 studies, no injuries or other adverse events were reported; however some participants experienced increased fibromyalgia symptoms (pain, soreness, or tiredness) during or after exercise. However due to low event rates, we are uncertain of the precise risks with exercise. Mixed exercise may improve HRQL and physical function and may decrease pain and fatigue; all‐cause withdrawal was similar across groups, and mixed exercises may slightly reduce stiffness. For fatigue, physical function, HRQL, and stiffness, we cannot rule in or out a clinically relevant change, as the confidence intervals include both clinically important and unimportant effects. We found very low‐quality evidence on long‐term effects. In eight trials, HRQL, fatigue, and physical function improvement persisted at 6 to 52 or more weeks post intervention but improvements in stiffness and pain did not persist. Withdrawals and adverse events were not measured. It is uncertain whether mixed versus other non‐exercise or other exercise interventions improve HRQL and physical function or decrease symptoms because the quality of evidence was very low. The interventions were heterogeneous, and results were often based on small single studies. Adverse events with these interventions were not measured, and thus uncertainty surrounds the risk of adverse events. Authors' conclusions Compared to control, moderate‐quality evidence indicates that mixed exercise probably improves HRQL, physical function, and fatigue, but this improvement may be small and clinically unimportant for some participants; physical function shows improvement in all participants. Withdrawal was similar across groups. Low‐quality evidence suggests that mixed exercise may slightly improve stiffness. Very low‐quality evidence indicates that we are 'uncertain' whether the long‐term effects of mixed exercise are maintained for all outcomes; all‐cause withdrawals and adverse events were not measured. Compared to other exercise or non‐exercise interventions, we are uncertain about the effects of mixed exercise because we found only very low‐quality evidence obtained from small, very heterogeneous trials. Although mixed exercise appears to be well tolerated (similar withdrawal rates across groups), evidence on adverse events is scarce, so we are uncertain about its safety. We downgraded the evidence from these trials due to imprecision (small trials), selection bias (e.g. allocation), blinding of participants and care providers or outcome assessors, and selective reporting. Plain language summary Mixed exercise programmes for adults with fibromyalgia What is fibromyalgia and what is mixed exercise? Fibromyalgia is a condition causing chronic pain and soreness throughout the body. People with this condition often feel depressed, tired, and stiff, and have difficulty sleeping. Mixed exercise is defined as regular sessions of two or more types of exercise including aerobic (walking or cycling), strengthening (lifting weights or pulling against resistance bands), or flexibility (stretching) exercise. Study characteristics Reviewers searched for studies until December 2017, and found 29 studies (2088 people) conducted in 12 different countries. The average age of study participants was 51 years, and 98% were female. The average exercise programme was 14 weeks long with three sessions of 50 to 60 minutes per week. All exercise programmes were fully or partially supervised. Reviewers were most interested in comparing mixed exercise groups to control groups (19 studies; 1065 people). People in control groups either received no treatment or continued their usual care. Key results – mixed exercise vs control Each outcome below is measured on a scale that goes from 0 to 100, where lower sco es are better. Health‐related quality of life (HRQL) After 5 to 26 weeks, people who exercised were 7% better (3% better to 11% better) or improved by 7 points on a 100 point scale. People who exercised rated their HRQL at 49 points. People in the control group rated their HRQL at 56 points. Pain After 5 to 26 weeks, people who exercised had 5% less pain (1% better to 9% better) or improved by 5 points on a 100 point scale. People who exercised rated their pain at 53 points. People in the control group rated their pain at 58.6 points. Tiredness After 14 to 24 weeks, people who exercised were 13% less tired (8% better to 18% better) or improved by 13 points on a 100 point scale People who exercised rated their tiredness at 59 points. People in the control group rated their tiredness at 72 points. Stiffness After 16 weeks, people who exercised were 7% less stiff (1% better 1 to 12% better) or improved by 7 points on a 100 point scale. People who exercised rated their stiffness at 61 points. People in the control group rated their stiffness at 68 points. Ability to do daily activities (physical function) After 8 to 24 weeks, people who exercised were 11% better (7% to 15%) or improved by 11 points on a 100 point scale. People who exercised rated their physical function at 38 points. People in the control group rated their physical function at 49 points. Harms ‐ Some participants experienced increased pain, soreness, or tiredness during or after exercise. Studies reported no injuries or other harms. However, reporting of harms was missing or incomplete in many studies. We are uncertain whether risk is increased with exercise. Leaving the study early – 11% of control participants left the study early compared with 12% of exercisers. Long‐term effects ‐ Analysis of long‐term effects of HRQL showed maintenance of mixed exercise effects at 6 to 12 weeks and at 13 to 26 weeks but not at 27 to 52 weeks. Very low‐quality evidence suggests that it is uncertain whether mixed exercises improve HRQL in the long term. Withdrawals and adverse events were not measured. Other ‐ Reviewers found no evidence that the benefits and harms of mixed exercise were any different from education programmes, cognitive‐behavioural training, biofeedback, medication, or other types of exercise. Conclusions and quality of evidence Mixed exercise may improve HRQL and the ability to do daily activities, may decrease pain and tiredness, and may be acceptable to individuals with fibromyalgia. Low‐quality evidence suggests that mixed exercise may slightly improve stiffness. When compared to other exercise or non‐exercise interventions, we are uncertain about the effects of mixed exercise. Although mixed exercise appears to be well tolerated (similar numbers of people leaving the study across groups), evidence on harms was scarce, so we are uncertain about its safety. Reviewers considered the quality of evidence to be low to moderate because of small numbers of people in the studies, some issues involving study design, and the low quality of results."</t>
  </si>
  <si>
    <t>Background: Ankle and foot sprains and fractures are prevalent injuries, which may result in substantial physical and economic consequences for the patient and place a financial burden on the health care system. Therefore, the objectives of this paper are to examine the direct and indirect costs of treating ankle and foot injuries (sprains, dislocations, fractures), as well as to provide an overview of the outcomes of full economic analyses of different treatment strategies. Method(s): A systematic review was carried out among seven databases to identify English language publications on the health economics of ankle and foot injury treatment published between 1980 and 2014. The direct and indirect costs were abstracted by two independent reviewers. All costs were adjusted for inflation and reported in 2016 US dollars (USD). Result(s): Among 2047 identified studies, 32 were selected for analysis. The direct costs of ankle sprain management ranged from $292 to $2268 per patient (2016 USD), depending on the injury severity and treatment strategy. The direct costs of managing ankle fractures were higher ($1908-$19,555). Foot fracture treatment had similar direct costs ranging from $998 to $21,801. The economic evaluations were conducted from the societal or payer's perspectives. Conclusion(s): The costs of treating ankle and foot sprains and fractures varied among the studies, mostly due to differences in injury type and study characteristics, which impacted the ability of directly comparing the financial burden of treatment. Nonetheless, the review showed that the costs experienced by the patient and the health care system increased with injury complexity. Copyright © 2017 Elsevier Ltd</t>
  </si>
  <si>
    <t>BACKGROUND CONTEXT: Patient access to current best evidence primary care treatment for acute lower back remains highly problematic. Treatment pathway models have the potential to improve patient access to care, provide seamless transitions from one form of treatment to another, optimize clinical outcomes, improve cost-effectiveness and reduce progression to chronic illness /pain. A standardized protocol of hospital-based outpatient clinic chiropractic lumbar spinal manipulative therapy (CSMT) as a component of care for patients with acute lower back pain (ALBP) has been previously validated. PURPOSE: To determine the feasibility and patient satisfaction of a community-based standardized chiropractic treatment protocol as a component of a primary care spine treatment pathway in the treatment of patients with ALBP. STUDY DESIGN/SETTING: Feasibility prospective cohort study. PATIENT SAMPLE: Inclusion: Patients with ALBP without radiculopathy of less than 24 weeks; Exclusion: Red flag conditions; SPECT scan positive facet arthropathy; &gt; Grade IV Thompson lumbar disc degeneration at one or more levels; relevant DSM 5 diagnoses; third-party insurer involvement. OUTCOME MEASURES: Willingness to participate of ALBP patients and community chiropractors. Rate of compliance with a standardized treatment protocol in community-based chiropractors. Patient wait times, satisfaction scores, pre- and post-VAS and ODI scores, need for additional imaging, rate of discharge from hospital outpatient clinic. METHOD(S): Community-based chiropractors from three British Columbia Provincial Health Regions agreed to accept referrals from a hospital-supervised primary care spine program to treat ALBP patients with a standardized protocol comprised of a maximum four-week course of lumbar spine CSMT only and a lumbar spine flexibility instruction exercise program. Participating patients were seen for follow-up in the hospital spine outpatient clinic at four and eight weeks post-treatment. RESULT(S): Over the five-year duration of the study, 368/380 (97%) of eligible patients and 21/26 (81%) of community-based chiropractors agreed to participate. Seventeen of 21 chiropractors (81%) consistently administered treatment within the boundaries of the standardized research study protocol. VAS and ODI scores improved significantly in 320/368 (87%) patients. The average wait time for access to treatment was 7.4 days. Eighty-two percent of patients reported high satisfaction scores. The rate of required additional diagnostic imaging was 3%. Rates of discharge from the hospital spine program outpatient clinic with no requested follow-up by six months was 86%. CONCLUSION(S): A standardized protocol of CSMT and flexibility exercise instruction administered by community-based chiropractors to a specific cohort of patients with ALBP is a feasible component of a primary care spine treatment pathway. FDA DEVICE/DRUG STATUS: This abstract does not discuss or include any applicable devices or drugs. Copyright © 2019</t>
  </si>
  <si>
    <t>- Background The lateral flow urine lipoarabinomannan (LF‐LAM) assay Alere Determine™ TB LAM Ag is recommended by the World Health Organization (WHO) to help detect active tuberculosis in HIV‐positive people with severe HIV disease. This review update asks the question, does new evidence justify the use of LF‐LAM in a broader group of people?”, and is part of the WHO process for updating guidance on the use of LF‐LAM. Objectives To assess the accuracy of LF‐LAM for the diagnosis of active tuberculosis among HIV‐positive adults with signs and symptoms of tuberculosis (symptomatic participants) and among HIV‐positive adults irrespective of signs and symptoms of tuberculosis (unselected participants not assessed for tuberculosis signs and symptoms). The proposed role for LF‐LAM is as an add on to clinical judgement and with other tests to assist in diagnosing tuberculosis. Search methods We searched the Cochrane Infectious Diseases Group Specialized Register; MEDLINE, Embase, Science Citation Index, Web of Science, Latin American Caribbean Health Sciences Literature, Scopus, the WHO International Clinical Trials Registry Platform, the International Standard Randomized Controlled Trial Number Registry, and ProQuest, without language restriction to 11 May 2018. Selection criteria Randomized trials, cross‐sectional, and observational cohort studies that evaluated LF‐LAM for active tuberculosis (pulmonary and extrapulmonary) in HIV‐positive adults. We included studies that used the manufacturer's recommended threshold for test positivity, either the updated reference card with four bands (grade 1 of 4) or the corresponding prior reference card grade with five bands (grade 2 of 5). The reference standard was culture or nucleic acid amplification test from any body site (microbiological). We considered a higher quality reference standard to be one in which two or more specimen types were evaluated for tuberculosis diagnosis and a lower quality reference standard to be one in which only one specimen type was evaluated. Data collection and analysis Two review authors independently extracted data using a standardized form and REDCap electronic data capture tools. We appraised the quality of studies using the Quality Assessment of Diagnostic Accuracy Studies‐2 (QUADAS‐2) tool and performed meta‐analyses to estimate pooled sensitivity and specificity using a bivariate random‐effects model and a Bayesian approach. We analyzed studies enrolling strictly symptomatic participants separately from those enrolling unselected participants. We investigated pre‐defined sources of heterogeneity including the influence of CD4 count and clinical setting on the accuracy estimates. We assessed the certainty of the evidence using the GRADE approach. Main results We included 15 unique studies (nine new studies and six studies from the original review that met the inclusion criteria): eight studies among symptomatic adults and seven studies among unselected adults. All studies were conducted in low‐ or middle‐income countries. Risk of bias was high in the patient selection and reference standard domains, mainly because studies excluded participants unable to produce sputum and used a lower quality reference standard. Participants with tuberculosis symptoms LF‐LAM pooled sensitivity (95% credible interval (CrI) ) was 42% (31% to 55%) (moderate‐certainty evidence) and pooled specificity was 91% (85% to 95%) (very low‐certainty evidence), (8 studies, 3449 participants, 37% with tuberculosis). For a population of 1000 people where 300 have microbiologically‐confirmed tuberculosis, the utilization of LF‐LAM would result in: 189 to be LF‐LAM positive: of these, 63 (33%) would not have tuberculosis (false‐positives); and 811 to be LF‐LAM negative: of these, 174 (21%) would have tuberculosis (false‐negatives). By clinical setting, pooled sensitivity was 52% (40% to 64%) among inpatients versus 29% (17% to 47%) among outpatients; and pooled specificity was 87% (78% to 93%) among inpatien s versus 96% (91% to 99%) among outpatients. Stratified by CD4 cell count, pooled sensitivity increased, and specificity decreased with lower CD4 cell count. Unselected participants not assessed for signs and symptoms of tuberculosis LF‐LAM pooled sensitivity was 35% (22% to 50%), (moderate‐certainty evidence) and pooled specificity was 95% (89% to 96%), (low‐certainty evidence), (7 studies, 3365 participants, 13% with tuberculosis). For a population of 1000 people where 100 have microbiologically‐confirmed tuberculosis, the utilization of LF‐LAM would result in: 80 to be LF‐LAM positive: of these, 45 (56%) would not have tuberculosis (false‐positives); and 920 to be LF‐LAM negative: of these, 65 (7%) would have tuberculosis (false‐negatives). By clinical setting, pooled sensitivity was 62% (41% to 83%) among inpatients versus 31% (18% to 47%) among outpatients; pooled specificity was 84% (48% to 96%) among inpatients versus 95% (87% to 99%) among outpatients. Stratified by CD4 cell count, pooled sensitivity increased, and specificity decreased with lower CD4 cell count. Authors' conclusions We found that LF‐LAM has a sensitivity of 42% to diagnose tuberculosis in HIV‐positive individuals with tuberculosis symptoms and 35% in HIV‐positive individuals not assessed for tuberculosis symptoms, consistent with findings reported previously. Regardless of how people are enrolled, sensitivity is higher in inpatients and those with lower CD4 cell, but a concomitant lower specificity. As a simple point‐of‐care test that does not depend upon sputum evaluation, LF‐LAM may assist with the diagnosis of tuberculosis, particularly when a sputum specimen cannot be produced. 17 October 2019 Up to date All studies incorporated from most recent search All studies identified during the most recent search (11 May, 2018) have been incorporated in the review, and no ongoing studies identified. Plain language summary Lateral flow urine lipoarabinomannan assay for detecting active tuberculosis in people living with HIV Why is improving the diagnosis of tuberculosis important? Tuberculosis causes more deaths in people living with HIV than any other disease. The lateral flow urine lipoarabinomannan assay (LF‐LAM, Alere Determine™ TB LAM Ag assay) is a World Health Organization‐recommended rapid test to assist in detection of active tuberculosis in HIV‐positive people with severe HIV disease. Rapid and early tuberculosis diagnosis may allow for prompt treatment and alleviate severe illness and death. An incorrect tuberculosis diagnosis may result in anxiety and unnecessary treatment. What is the aim of this review? To find out how accurate LF‐LAM is for diagnosing tuberculosis in HIV‐positive people with tuberculosis symptoms (symptomatic participants) and those not assessed for tuberculosis symptoms (unselected participants). This is an update of the 2016 Cochrane Review. What was studied in this review? LF‐LAM is a commercially available point‐of‐care test that detects lipoarabinomannan (LAM), a component of the bacterial cell walls, present in some people with active tuberculosis. The test is simple and shows results in 25 minutes. LF‐LAM results were measured against culture or molecular tests (benchmark). What are the main results of this review? Fifteen studies: eight studies evaluated LF‐LAM for tuberculosis among symptomatic participants and seven studies among unselected participants. All studies were conducted in low‐ or middle‐income countries. Tuberculosis diagnosis among symptomatic participants: LF‐LAM registered positive in 42% (sensitivity) of people who actually had tuberculosis and did not register positive in 91% of people who were actually negative (specificity). Tuberculosis diagnosis among unselected participants: LF‐LAM sensitivity was 35% and specificity 95%. How confident are we in the review’s results? Several studies excluded participants who could not produce sputum and most studies relied on a lower quality benchmark. Few studies and participants were included in some analyses and only one study was conducted outside of sub‐Saharan Africa. Results should be interpreted with caution. What do the results mean? Among symptomatic participants, in theory, for a population of 1000 people where 300 have microbiologically‐confirmed tuberculosis, the utilization of LF‐LAM would result in: 189 to be LF‐LAM positive: of these, 63 (33%) would not have tuberculosis (false‐positives); and 811 to be LF‐LAM negative: of these, 174 (21%) would have tuberculosis (false‐negatives). Among unselected participants, in theory, for a population of 1000 people where 100 have microbiologically‐confirmed tuberculosis, the utilization of LF‐LAM would result in: 80 to be LF‐LAM positive: of these, 45 (56%) would not have tuberculosis (false‐positives); and 920 to be LF‐LAM negative: of these, 65 (7%) would have tuberculosis (false‐negatives). Who do the review’s results apply to? HIV‐positive people with tuberculosis symptoms and those not assessed for tuberculosis symptoms. What are the implications of this review? LF‐LAM has sensitivity around 40% to detect tuberculosis. As the test does not require sputum collection, LF‐LAM may be the only way to diagnose tuberculosis when sputum cannot be produced. How up‐to‐date is this review? To 11 May 2018."</t>
  </si>
  <si>
    <t>Objectives: Cardiovascular disease (CVD) affects approximately 6 million people in England and costs the NHS an estimated 7 billion a year. A key risk factor for CVD is hypercholesterolaemia. PCSK9 inhibitors, such as alirocumab and evolocumab, are a treatment option for patients who, despite taking the maximum tolerated dose of statins, still have cholesterol higher than recommended levels. This study compares actual prescription of PCSK9 inhibitors with expected use and considers opportunities for improved access to these drugs. Method(s): An analysis of the initial uptake estimates from the NICE resource impact report for alirocumab and evolocumab and actual daily dose (ADD) prescribing data from the NICE innovation scorecard for the same drugs in 2018. The study included a review of the NICE technology appraisal guidance (TAG) for alirocumab (TA393) and evolocumab (TA394), and publications from 2016-2019 relating to uptake of, and guidance and initiatives associated with, PCSK9 inhibitors in England. Result(s): On publication of the TAG for alirocumab and evolocumab in 2016, NICE estimated that there would be 11,542 people receiving PCSK9 inhibitors by 2018. However, analysis of data from the NICE innovation scorecard for 2018 shows that 755,806 ADDs of alirocumab and evolocumab were actually prescribed. This is equivalent to approximately 2,069 people receiving treatment and indicates that uptake of PCSK9 inhibitors was 82% lower than expected in 2018. Conclusion(s): While there is considerable potential for PCSK9 inhibitors to alleviate some of the burden of CVD, prescription of these drugs is considerably lower than expected. Despite price reduction, the cost of PCSK9 inhibitors may remain the main barrier to access to these drugs. Further barriers could include a lack of clear guidance for clinicians, patient identification and, until recently, limited clinical trial data regarding CVD outcomes. New initiatives, such as the Accelerated Access Collaborative, may ultimately lead to improved access to PCSK9 inhibitors. Copyright © 2019</t>
  </si>
  <si>
    <t>Objective To compare the efficacy, safety, and cost utility of continuous subcutaneous insulin infusion (CSII) with multiple daily injection (MDI) regimens during the first year following diagnosis of type 1 diabetes in children and young people. Design Pragmatic, multicentre, open label, parallel group, randomised controlled trial and economic evaluation. Setting 15 paediatric National Health Service (NHS) diabetes services in England and Wales. The study opened to recruitment in May 2011 and closed in January 2017. Participants Patients aged between 7 months and 15 years, with a new diagnosis of type 1 diabetes were eligible to participate. Patients who had a sibling with the disease, and those who took drug treatments or had additional diagnoses that could have affected glycaemic control were ineligible. Interventions Participants were randomised, stratified by age and treating centre, to start treatment with CSII or MDI within 14 days of diagnosis. Starting doses of aspart (CSII and MDI) and glargine or detemir (MDI) were calculated according to weight and age, and titrated according to blood glucose measurements and according to local clinical practice. Main outcome measures Primary outcome was glycaemic control (as measured by glycated haemoglobin; HbA1c) at 12 months. Secondary outcomes were percentage of patients in each treatment arm with HbA1c within the national target range, incidence of severe hypoglycaemia and diabetic ketoacidosis, change in height and body mass index (as measured by standard deviation scores), insulin requirements (units/kg/day), partial remission rate (insulin dose adjusted HbA1c &lt;9), paediatric quality of life inventory score, and cost utility based on the incremental cost per quality adjusted life year (QALY) gained from an NHS costing perspective. Results 294 participants were randomised and 293 included in intention to treat analyses (CSI, n=144; MDI, n=149). At 12 months, mean HbA1c was comparable with clinically unimportant differences between CSII and MDI participants (60.9 mmol/mol v 58.5 mmol/mol, mean difference 2.4 mmol/mol (95% confidence interval -0.4 to 5.3), P=0.09). Achievement of HbA1c lower than 58 mmol/mol was low among the two groups (66/143 (46%) CSII participants v 78/142 (55%) MDI participants; relative risk 0.84 (95% confidence interval 0.67 to 1.06)). Incidence of severe hypoglycaemia and diabetic ketoacidosis were low in both groups. Fifty four non-serious and 14 serious adverse events were reported during CSII treatment, and 17 non-serious and eight serious adverse events during MDI treatment. Parents (but not children) reported superior PedsQL scores for those patients treated with CSII compared to those treated with MDI. CSII was more expensive than MDI by 1863 (2179; $2474; 95% confidence interval 1620 to 2137) per patient, with no additional QALY gains (difference -0.006 (95% confidence interval -0.031 to 0.018)). Conclusion During the first year following type 1 diabetes diagnosis, no clinical benefit of CSII over MDI was identified in children and young people in the UK setting, and treatment with either regimen was suboptimal in achieving HbA1c thresholds. CSII was not cost effective. Trial registration Current Controlled Trials ISRCTN29255275; European Clinical Trials Database 2010-023792-25. Copyright © Published by the BMJ Publishing Group Limited.</t>
  </si>
  <si>
    <t>Perioperative beta‐blockers for preventing surgery‐related mortality and morbidity in adults undergoing non‐cardiac surgery</t>
  </si>
  <si>
    <t>- Background Randomized controlled trials (RCTs) have yielded conflicting results regarding the ability of beta‐blockers to influence perioperative cardiovascular morbidity and mortality. Thus routine prescription of these drugs in an unselected population remains a controversial issue. A previous version of this review assessing the effectiveness of perioperative beta‐blockers in cardiac and non‐cardiac surgery was last published in 2018. The previous review has now been split into two reviews according to type of surgery. This is an update, and assesses the evidence in non‐cardiac surgery only. Objectives To assess the effectiveness of perioperatively administered beta‐blockers for the prevention of surgery‐related mortality and morbidity in adults undergoing non‐cardiac surgery. Search methods We searched CENTRAL, MEDLINE, Embase, CINAHL, Biosis Previews and Conference Proceedings Citation Index‐Science on 28 June 2019. We searched clinical trials registers and grey literature, and conducted backward‐ and forward‐citation searching of relevant articles. Selection criteria We included RCTs and quasi‐randomized studies comparing beta‐blockers with a control (placebo or standard care) administered during the perioperative period to adults undergoing non‐cardiac surgery. If studies included surgery with different types of anaesthesia, we included them if 70% participants, or at least 100 participants, received general anaesthesia. We excluded studies in which all participants in the standard care control group were given a pharmacological agent that was not given to participants in the intervention group, studies in which all participants in the control group were given a beta‐blocker, and studies in which beta‐blockers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83 RCTs with 14,967 participants; we found no quasi‐randomized studies. All participants were undergoing non‐cardiac surgery, and types of surgery ranged from low to high risk. Types of beta‐blockers were: propranolol, metoprolol, esmolol, landiolol, nadolol, atenolol, labetalol, oxprenolol, and pindolol. In nine studies, beta‐blockers were titrated according to heart rate or blood pressure. Duration of administration varied between studies, as did the time at which drugs were administered; in most studies, it was intraoperatively, but in 18 studies it was before surgery, in six postoperatively, one multi‐arm study included groups of different timings, and one study did not report timing of drug administration. Overall, we found that more than half of the studies did not sufficiently report methods used for randomization. All studies in which the control was standard care were at high risk of performance bias because of the open‐label study design. Only two studies were prospectively registered with clinical trials registers, which limited the assessment of reporting bias. In six studies, participants in the control group were given beta‐blockers as rescue therapy during the study period. The evidence for all‐cause mortality at 30 days was uncertain; based on the risk of death in the control group of 25 per 1000, the effect with beta‐blockers was between two fewer and 13 more per 1000 (risk ratio (RR) 1.17, 95% confidence interval (CI) 0.89 to 1.54; 16 studies, 11,446 participants; low‐certainty evidence). Beta‐blockers may reduce the incidence of myocardial infarction by 13 fewer incidences per 1000 (RR 0.72, 95% CI 0.60 to 0.87; 12 studies, 10,520 participants; low‐certainty evidence). We found no evidence of a difference in cerebrovascular events (RR 1.65, 95% CI 0.97 to 2.81; 6 studies, 9460 participants; low‐certainty evidence), or in ventricular arrhythmias (RR 0.72, 95% CI 0.35 to 1.47; 5 studies, 47 participants; very low‐certainty evidence). Beta‐blockers may reduce atrial fibrillation or flutter by 26 fewer incidences per 1000 (RR 0.41, 95% CI 0.21 to 0.79; 9 studies, 9080 participants; low‐certainty evidence). However, beta‐blockers may increase bradycardia by 55 more incidences per 1000 (RR 2.49, 95% CI 1.74 to 3.56; 49 studies, 12,239 participants; low‐certainty evidence), and hypotension by 44 more per 1000 (RR 1.40, 95% CI 1.29 to 1.51; 49 studies, 12,304 participants; moderate‐certainty evidence). We downgraded the certainty of the evidence owing to study limitations; some studies had high risks of bias, and the effects were sometimes altered when we excluded studies with a standard care control group (including only placebo‐controlled trials showed an increase in early mortality and cerebrovascular events with beta‐blockers). We also downgraded for inconsistency; one large, well‐conducted, international study found a reduction in myocardial infarction, and an increase in cerebrovascular events and all‐cause mortality, when beta‐blockers were used, but other studies showed no evidence of a difference. We could not explain the reason for the inconsistency in the evidence for ventricular arrhythmias, and we also downgraded this outcome for imprecision because we found few studies with few participants. Authors' conclusions The evidence for early all‐cause mortality with perioperative beta‐blockers was uncertain. We found no evidence of a difference in cerebrovascular events or ventricular arrhythmias, and the certainty of the evidence for these outcomes was low and very low. We found low‐certainty evidence that beta‐blockers may reduce atrial fibrillation and myocardial infarctions. However, beta‐blockers may increase bradycardia (low‐certainty evidence) and probably increase hypotension (moderate‐certainty evidence). Further evidence from large placebo‐controlled trials is likely to increase the certainty of these findings, and we recommend the assessment of impact on quality of life. We found 18 studies awaiting classification; inclusion of these studies in future updates may also increase the certainty of the evidence. Plain language summary Beta‐blockers to prevent death or serious events after surgery not involving the heart This review assessed evidence from randomized controlled trials (RCTs) on whether beta‐blockers reduce deaths or other serious events when given to people undergoing surgery other than heart surgery. The findings for heart surgery are covered in another review. Background Surgery increases stress in the body, which responds by releasing the hormones adrenaline and noradrenaline. Stress from surgery can lead to death or other serious events such as heart attacks, stroke, or an irregular heartbeat. For surgery that does not involve the heart, an estimated 8% of people may have injury to their heart around the time of surgery. Beta‐blockers are drugs that block the action of adrenaline and noradrenaline on the heart. Beta‐blockers can slow down the heart, and reduce blood pressure, and this may reduce the risk of serious events. However, beta‐blockers may lead to a very low heart rate or very low blood pressure which could increase the risk of death or a stroke. Prevention of early complications after surgery is important, but using beta‐blockers to prevent these complications is controversial. Study characteristics The evidence is current to 28 June 2019. We included 83 RCTs with 14,967 adults who were undergoing different types of surgery other than heart surgery. Eighteen studies are awaiting classification (because we did not have enough details to assess them), and three studies are ongoing. The types of beta‐blockers used in the studies were: propranolol, metoprolol, esmolol, landiolol, nadolol, atenolol, labetalol, oxprenolol, and pindolol. Studies compared these beta‐blockers with either a placebo (disguised to look like a beta‐blocker but containing no medicine) or with standard care. Key results Beta‐blockers may make l ttle or no difference to the number of people who die within 30 days of surgery (16 studies, 11,446 participants; low‐certainty evidence), have a stroke (6 studies, 9460 participants; low‐certainty evidence), or experience ventricular arrhythmias (irregular heartbeat rhythms, starting in the main chambers of the heart, that are potentially life‐threatening and may need immediate medical treatment; 5 studies, 476 participants; very low‐certainty evidence). We found that beta‐blockers may reduce atrial fibrillation (an irregular heartbeat, starting in the atrial chambers of the heart, that increases the risk of stroke if untreated; 9 studies, 9080 participants; low certainty‐evidence), and the number of people who have a heart attack (12 studies, 10,520 participants; low‐certainty evidence). However, taking beta‐blockers may increase the number of people who experience a very low heart rate (49 studies, 12,239 participants; low‐certainty evidence), or very low blood pressure (49 studies, 12,304 participants; moderate‐certainty evidence), around the time of surgery. In a few studies, we also found little or no difference in the number of people who died after 30 days, who died because of a heart problem, or had heart failure. We found no evidence of whether beta‐blockers alter the length of time in hospital. No studies assessed whether people who were given beta‐blockers had a better quality of life after heart surgery. Certainty of the evidence The certainty of the evidence in this review was limited by including some studies that were at high risk of bias, and we noticed that some of our findings were different if we only included placebo‐controlled studies or studies that reported how participants were randomized. We also found one large, well‐conducted, international study that had different findings to the smaller studies. It showed a reduction in heart attacks and an increase in stroke and all‐cause mortality when beta‐blockers were used, whilst the other studies did not show a clear effect. We were also less certain of the findings for outcomes with few studies, such as for ventricular arrhythmias. Conclusion Although beta‐blockers may make little or no difference to the number of people who die within 30 days, have a stroke, or have ventricular arrhythmias, they may reduce atrial fibrillation and heart attacks. Taking beta‐blockers may increase the number of people with a very low heart rate or very low blood pressure around the time of surgery. Further evidence from large, placebo‐controlled trials is likely to increase the certainty of these findings, and we recommend the assessment of impact on quality of life.</t>
  </si>
  <si>
    <t>Perioperative beta‐blockers for preventing surgery‐related mortality and morbidity in adults undergoing cardiac surgery</t>
  </si>
  <si>
    <t>- Background Randomized controlled trials (RCTs) have yielded conflicting results regarding the ability of beta‐blockers to influence perioperative cardiovascular morbidity and mortality. Thus routine prescription of these drugs in unselected patients remains a controversial issue. A previous version of this review assessing the effectiveness of perioperative beta‐blockers in cardiac and non‐cardiac surgery was last published in 2018. The previous review has now been split into two reviews according to type of surgery. This is an update and assesses the evidence in cardiac surgery only. Objectives To assess the effectiveness of perioperatively administered beta‐blockers for the prevention of surgery‐related mortality and morbidity in adults undergoing cardiac surgery. Search methods We searched CENTRAL, MEDLINE, Embase, CINAHL, Biosis Previews and Conference Proceedings Citation Index‐Science on 28 June 2019. We searched clinical trials registers and grey literature, and conducted backward‐ and forward‐citation searching of relevant articles. Selection criteria We included RCTs and quasi‐randomized studies comparing beta‐blockers with a control (placebo or standard care) administered during the perioperative period to adults undergoing cardiac surgery. We excluded studies in which all participants in the standard care control group were given a pharmacological agent that was not given to participants in the intervention group, studies in which all participants in the control group were given a beta‐blocker, and studies in which beta‐blockers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63 studies with 7768 participants; six studies were quasi‐randomized and the remaining were RCTs. All participants were undergoing cardiac surgery, and in most studies, at least some of the participants were previously taking beta‐blockers. Types of beta‐blockers were: propranolol, metoprolol, sotalol, esmolol, landiolol, acebutolol, timolol, carvedilol, nadolol, and atenolol. In twelve studies, beta‐blockers were titrated according to heart rate or blood pressure. Duration of administration varied between studies, as did the time at which drugs were administered; in nine studies this was before surgery, in 20 studies during surgery, and in the remaining studies beta‐blockers were started postoperatively. Overall, we found that most studies did not report sufficient details for us to adequately assess risk of bias. In particular, few studies reported methods used to randomize participants to groups. In some studies, participants in the control group were given beta‐blockers as rescue therapy during the study period, and all studies in which the control was standard care were at high risk of performance bias because of the open‐label study design. No studies were prospectively registered with clinical trials registers, which limited the assessment of reporting bias. We judged 68% studies to be at high risk of bias in at least one domain. Study authors reported few deaths (7 per 1000 in both the intervention and control groups), and we found low‐certainty evidence that beta‐blockers may make little or no difference to all‐cause mortality at 30 days (risk ratio (RR) 0.95, 95% confidence interval (CI) 0.47 to 1.90; 29 studies, 4099 participants). For myocardial infarctions, we found no evidence of a difference in events (RR 1.05, 95% CI 0.72 to 1.52; 25 studies, 3946 participants; low‐certainty evidence). Few study authors reported cerebrovascular events, and the evidence was uncertain (RR 1.37, 95% CI 0.51 to 3.67; 5 studies, 1471 participants; very low‐certainty evidence). Based on a control risk of 54 per 1000, we found low‐certainty evidence that beta‐blockers may reduce episodes of ventr cular arrhythmias by 32 episodes per 1000 (RR 0.40, 95% CI 0.25 to 0.63; 12 studies, 2296 participants). For atrial fibrillation or flutter, there may be 163 fewer incidences with beta‐blockers, based on a control risk of 327 incidences per 1000 (RR 0.50, 95% CI 0.42 to 0.59; 40 studies, 5650 participants; low‐certainty evidence). However, the evidence for bradycardia and hypotension was less certain. We found that beta‐blockers may make little or no difference to bradycardia (RR 1.63, 95% CI 0.92 to 2.91; 12 studies, 1640 participants; low‐certainty evidence), or hypotension (RR 1.84, 95% CI 0.89 to 3.80; 10 studies, 1538 participants; low‐certainty evidence). We used GRADE to downgrade the certainty of evidence. Owing to studies at high risk of bias in at least one domain, we downgraded each outcome for study limitations. Based on effect size calculations in the previous review, we found an insufficient number of participants in all outcomes (except atrial fibrillation) and, for some outcomes, we noted a wide confidence interval; therefore, we also downgraded outcomes owing to imprecision. The evidence for atrial fibrillation and length of hospital stay had a moderate level of statistical heterogeneity which we could not explain, and we, therefore, downgraded these outcomes for inconsistency. Authors' conclusions We found no evidence of a difference in early all‐cause mortality, myocardial infarction, cerebrovascular events, hypotension and bradycardia. However, there may be a reduction in atrial fibrillation and ventricular arrhythmias when beta‐blockers are used. A larger sample size is likely to increase the certainty of this evidence. Four studies awaiting classification may alter the conclusions of this review. Plain language summary Beta‐blockers to prevent death or serious events after heart surgery This review assessed evidence of whether beta‐blockers given around the time of surgery can reduce death or other serious events for people undergoing heart surgery. Background People undergoing heart surgery are at greater risk of complications and death. Heart surgery increases the amount of stress in the body, causing the release of the hormones adrenaline and noradrenaline. This stress can lead to serious events including death, heart attacks, stroke, or an irregular heartbeat. Beta‐blockers are drugs that block the action of adrenaline and noradrenaline on the heart. Beta‐blockers can slow down the heart and reduce blood pressure, and this effect may reduce the risk of serious events. However, they can also lead to a very low heart rate or very low blood pressure, and this effect may increase the risk of death or a stroke. Prevention of complications around the time of surgery is an important safety consideration for people undergoing heart surgery. Study characteristics The evidence is current to 28 June 2019. We included 63 studies with 7768 adults who were undergoing heart surgery, including coronary artery bypass graft and valve replacement surgery. Studies were mostly randomized controlled studies, and six were quasi‐randomized (participants were allocated to groups by methods such as using hospital record numbers or dates of birth). The types of beta‐blockers were: propranolol, metoprolol, sotalol, esmolol, landiolol, acebutolol, timolol, carvedilol, nadolol, and atenolol. These beta‐blockers were compared with either a placebo (disguised to look like a beta‐blocker but containing no medicine) or with standard care. Beta‐blockers were started before surgery, during surgery or at the latest by the end of the first day after surgery. The length of time beta‐blockers were given varied between studies. In most studies, at least some of the people were already taking beta‐blockers, which would be expected for people who had conditions that needed heart surgery. Key results Beta‐blockers probably make little or no difference to the number of people who die (29 studies, 4099 participants) or have a heart attack (25 studies, 3946 participants) within 30 days of surgery. This w s supported by low‐certainty evidence. Few studies reported on people who had a stroke, and we were uncertain whether or not beta‐blockers reduced strokes because the certainty of the evidence was very low (5 studies, 1471 participants). Beta‐blockers may reduce atrial fibrillation, which is an irregular heartbeat starting in the atrial chambers of the heart that increases the risk of stroke if untreated (40 studies, 5650 participants; low‐certainty evidence). Beta‐blockers may also reduce ventricular arrhythmias, which are potentially life‐threatening irregular heartbeat rhythms originating in the main chambers of the heart, and which may need immediate medical treatment (12 studies, 2296 participants). We found that beta‐blockers may make little or no difference to whether people experience a very low heart rate or very low blood pressure. We were uncertain whether beta‐blockers made a difference to the number of deaths up to a year after surgery (3 studies, 511 participants), to death because of the heart (4 studies, 320 participants), or to people who had heart failure (3 studies, 311 participants). The certainty of this evidence was very low. People who took beta‐blockers had a shorter hospital stay by about half a day (14 studies, 2450 participants; low‐certainty evidence). No studies assessed whether people on beta‐blockers had a better quality of life after heart surgery. Certainty of the evidence The certainty of the evidence in this review was mostly low. We found that many studies reported methods that we believed could influence the results. For example, many studies did not use a placebo‐control and the doctors might, therefore, have treated people differently in each group. We were unable to explain some of the differences that we found in the data for atrial fibrillation. We also needed to have evidence from a larger number of participants to be very confident in our findings. Conclusion Beta‐blockers may be beneficial for people who are undergoing cardiac surgery because they may reduce the number of people who experience atrial fibrillation and ventricular arrhythmias. Beta‐blockers may make little or no difference to the other outcomes in this review, including death, heart attacks or stroke.</t>
  </si>
  <si>
    <t>- Background Cerebral palsy (CP) is the most common cause of physical disabilities in children in high‐income countries. Spasticity is the most common motor disturbance in CP. Botulinum toxin type A (BoNT‐A) is considered the first‐line treatment for focal spasticity in people with CP. Objectives To evaluate the effectiveness and safety of BoNT‐A compared to other treatments used in the management of lower limb spasticity in children with CP. Search methods We searched CENTRAL, PubMed, four other databases, and two trial registers in October 2018. We also searched the reference lists of relevant studies and reviews and contacted experts in the field. We did not apply any date or language restrictions. Selection criteria Randomised controlled trials of children with CP, aged between birth and 19 years, treated with BoNT‐A injections in the lower limb muscles compared to other interventions. The primary outcomes were gait analysis and function. The secondary outcomes were joint range of motion, quality of life, satisfaction, spasticity, and adverse events. Data collection and analysis Two review authors independently selected studies, extracted data, assessed risk of bias, and rated the quality of the evidence using GRADE. A third review author arbitrated in case of disagreements. We conducted meta‐analyses of available data whenever possible, analysing dichotomous data with risk ratios (RR), and continuous data with mean differences (MD) or standardised mean differences (SMD), with 95% confidence intervals (CI). We considered a 5% significance level for all analyses. Whenever possible, we analysed outcomes at the time points at which they were assessed: short term (2 to 8 weeks); medium term (12 to 16 weeks); and long term (&gt; 24 weeks). Main results We included 31 randomised controlled trials assessing 1508 participants. Most studies included ambulatory patients with more than one motor type of CP, and with a mean age of between three and seven years. There was a slight predominance of males. Studies compared BoNT‐A in the lower limb muscles to usual care or physiotherapy (14 studies), placebo or sham (12 studies), serial casting (4 studies), or orthoses (1 study). We rated studies as at high or unclear risk of bias mainly due to random sequence generation, allocation concealment, blinding of participants and personnel, and blinding of outcome assessment. BoNT‐A versus usual care or physiotherapy BoNT‐A might improve overall gait scores at medium‐term follow‐up (MD 2.80, 95% CI 1.55 to 4.05; 1 study, 40 children; very low‐quality evidence) and is moderately effective at improving function at short‐term (SMD 0.59, 95% CI 0.23 to 0.95; 2 studies, 123 children) and medium‐term (SMD 1.04, 95% CI 0.16 to 1.91; 4 studies, 191 children) follow‐up (all very low‐quality evidence). BoNT‐A improves ankle range of motion, satisfaction, and ankle plantarflexors spasticity at one or more time points (very low‐quality evidence). The proportion of adverse events in the BoNT‐A group was 0.37 (95% CI 0.08 to 0.66; I 2 = 95%; very low‐quality evidence). No adverse events were reported in the control group. BoNT‐A versus placebo or sham BoNT‐A improves overall gait scores at short‐term (RR 1.66, 95% CI 1.16 to 2.37, P = 0.006; 4 studies, 261 assessments) and medium‐term (RR 1.90, 95% CI 1.32 to 2.74, P &lt; 0.001; 3 studies, 248 assessments) follow‐up, and may improve peak ankle dorsiflexion in stance (MD 15.90 degrees, 95% CI 4.87 to 26.93, P = 0.005; 1 study, 19 children) and in swing (MD 10.20 degrees, 95% CI 4.01 to 16.39, P = 0.001; 1 study, 19 children) at short‐term follow‐up (all moderate‐quality evidence). BoNT‐A is not more effective than placebo or sham at improving function at short‐term (SMD 0.24, 95% CI −0.35 to 0.83, P = 0.42; 4 studies, 305 children) or long‐term (SMD −0.07, 95% CI −0.48 to 0.35, P = 0.76; 2 studies, 91 children) follow‐up, but has a small positive effect at medium‐term follow‐up (SMD 0.28, 95% CI 0.06 to 0.49, P = 0.01; 5 studies, 327 children) (all moderate‐quality evidence). BoNT‐A improves passive ankle range of motion, satisfaction, and ankle plantarflexors spasticity at one or more time points (moderate‐quality evidence). There was no difference between groups in the rate of adverse events at short‐term follow‐up (RR 1.29, 95% CI 0.87 to 1.93, P = 0.21; 12 studies, 918 children; moderate‐quality evidence). BoNT‐A versus serial casting There was no difference between groups for overall gait scores at short‐term (MD 0.00, 95% CI −1.66 to 1.66); medium‐term (MD 0.65, 95% CI −1.21 to 2.51); or long‐term (MD 0.46, 95% CI −1.33 to 2.25) follow‐up in one study with 18 children (moderate‐quality evidence). BoNT‐A improved instrumented gait analysis only in terms of ankle dorsiflexion at initial contact (MD 6.59 degrees, 95% CI 1.39 to 11.78, P = 0.01; 2 studies, 47 children). There was no difference between groups for peak ankle dorsiflexion in stance and swing, and gait speed at any time point (moderate‐ and low‐quality evidence). BoNT‐A is not more effective than serial casting at improving function, ankle range of motion, and spasticity at any time point (moderate‐ and low‐quality evidence). BoNT‐A is not associated with a higher risk of adverse events than serial casting (RR 0.59, 95% CI 0.03 to 11.03; 3 studies, 64 children; low‐quality evidence). BoNT‐A versus orthoses There was no difference between groups for function at medium‐term follow‐up (MD 11.14, 95% CI −0.05 to 22.33; 1 study, 43 children), but BoNT‐A is more effective than orthoses at improving hip range of motion and hip adductors spasticity (all very low‐quality evidence). Authors' conclusions The quality of the evidence was low or very low for most of the outcomes analysed. We found limited evidence that BoNT‐A is more effective than placebo or a non‐placebo control at improving gait, joint range of motion, satisfaction, and lower limb spasticity in children with CP, whereas the results for function were contradictory. The rate of adverse events with BoNT‐A is similar to placebo. BoNT‐A is not more effective than ankle serial casting to treat ankle contractures for any of the assessed outcomes, but is more effective than orthotics at improving range of motion and spasticity. Plain language summary Botulinum toxin type A injections for the treatment of lower limb spasticity in cerebral palsy Background Cerebral palsy (CP) is a non‐progressive, lifelong condition resulting from damage to the developing brain. Over time, most children with CP will develop abnormal muscle activity and stiffness/overactivity (spasticity) that affects at least one limb and interferes with their normal movement. Treatments for spasticity include physiotherapy, oral antispasticity drugs (a type of medication that works to relax the muscles and relieve spasticity), casts, splints, orthopaedic surgery, and botulinum toxin A (BoNT‐A; a poisonous biological substance that is thought to relieve spasticity by reducing muscle overactivity when injected into the muscle). This review looked at the effects of BoNT‐A. Review question The aim of this review was to assess and summarise scientific studies comparing BoNT‐A injections to other treatments for lower limb spasticity in children with CP. Study characteristics We found 31 studies assessing 1508 participants. The use of BoNT‐A in the lower limb muscles was compared to: (1) children's regular care or physiotherapy, (2) placebo (fake injections), (3) a series of below‐knee plaster casts, and (4) leg splints. Key results Children receiving BoNT‐A injections tended to have improved walking pattern (gait), joint range of motion, satisfaction with outcome of treatment, and muscle spasms compared with their usual programme of care or physiotherapy, or placebo. Measures of function tended to show only modest improvements in children receiving BoNT‐A injections. The rate of side effects was similar when comparing BoNT‐A injections to placebo. BoNT‐A injections and plaster cas s below the knee produced similar benefits in walking and joint motion and relieving spasms. In addition, BoNT‐A provided better results in terms of joint range of motion compared to a specific type of splinting (Johnstone pressure splints). Quality of the evidence We considered the quality of the evidence as very low for the comparison BoNT‐A versus usual care or physiotherapy; moderate for the comparison BoNT‐A versus placebo; moderate and low for the comparison BoNT‐A versus plaster casts; and very low for the comparison BoNT‐A versus splints. Conclusion There is limited evidence that, compared to placebo or regular care, BoNT‐A improves walking, joint motion, satisfaction with the outcome of treatment, and muscle spasticity in children with CP. The rate of side effects with BoNT‐A was similar to placebo. BoNT‐A was no better than plaster casts in any of our analyses, but was better than splints at improving range of motion and spasticity.</t>
  </si>
  <si>
    <t>Non‐steroidal anti‐inflammatory drugs for heavy menstrual bleeding</t>
  </si>
  <si>
    <t>- Background Heavy menstrual bleeding (HMB) is an important cause of ill health in premenopausal women. Although surgery is often used as a treatment, a range of medical therapies are also available. Non‐steroidal anti‐inflammatory drugs (NSAIDs) reduce prostaglandin levels, which are elevated in women with excessive menstrual bleeding and also may have a beneficial effect on dysmenorrhoea. Objectives To determine the effectiveness, safety and tolerability of NSAIDs in achieving a reduction in menstrual blood loss (MBL) in women of reproductive years with HMB. Search methods We searched, in April 2019, the Cochrane Gynaecology and Fertility specialised register, Cochrane Central Register of Studies Online (CENTRAL CRSO), MEDLINE, Embase, PsycINFO, the clinical trial registries and reference lists of articles. Selection criteria The inclusion criteria were randomised comparisons of individual NSAIDs or combined with other medical therapy with each other, placebo or other medical treatments in women with regular heavy periods measured either objectively or subjectively and with no pathological or iatrogenic (treatment‐induced) causes for their HMB. Data collection and analysis We identified 19 randomised controlled trials (RCTs) (759 women) that fulfilled the inclusion criteria for this review and two review authors independently extracted data. We estimated odds ratios (ORs) for dichotomous outcomes and mean differences (MDs) for continuous outcomes from the data of nine trials. We described in data tables the results of the remaining seven cross‐over trials with data unsuitable for pooling, one trial with skewed data, and one trial with missing variances. One trial had no data available for analysis. Main results As a group, NSAIDs were more effective than placebo at reducing HMB but less effective than tranexamic acid, danazol or the levonorgestrel‐releasing intrauterine system (LNG IUS). Treatment with danazol caused a shorter duration of menstruation and more adverse events than NSAIDs, but this did not appear to affect the acceptability of treatment, based on trials from 1980 to 1990. However, currently danazol is not a usual or recommended treatment for HMB. There was no clear evidence of difference between NSAIDs and the other treatments (oral luteal progestogen, ethamsylate, an older progesterone‐releasing intrauterine system and the oral contraceptive pill (OCP), but most studies were underpowered. There was no evidence of a difference between the individual NSAIDs (naproxen and mefenamic acid) in reducing HMB. The evidence quality ranged from low to moderate, the main limitations being risk of bias and imprecision. Authors' conclusions NSAIDs reduce HMB when compared with placebo, but are less effective than tranexamic acid, danazol or LNG IUS. However, adverse events are more severe with danazol therapy. In the limited number of small studies suitable for evaluation, there was no clear evidence of a difference in efficacy between NSAIDs and other medical treatments such as oral luteal progestogen, ethamsylate, OCP or the older progesterone‐releasing intrauterine system. Plain language summary Are non‐steroidal anti‐inflammatory drugs safe and effective for treating heavy menstrual bleeding? Review question Cochrane authors investigated whether non‐steroidal anti‐inflammatory drugs (NSAIDs) helped reduce heavy menstrual bleeding (HMB) in women before they reach the menopause. Background NSAIDs reduce prostaglandin levels, which are elevated in women with excessive menstrual bleeding. It was suggested that they might help with heavy bleeding and may have a beneficial effect on painful menstrual periods. Study characteristics Authors search medical databases and identified 19 randomised controlled trials (RCTs; clinical studies where people are randomly put into one of two or more treatment groups) with 759 women that could be included in the review, but data from only nine trials were suitable for analyses. Key results Women sought help for HMB when it affected their quality f life. Levels of prostaglandin (a naturally occurring hormone) are higher in women with HMB and are reduced by NSAIDs. The review of trials found that NSAIDs were modestly effective in reducing HMB, but other medicines, such as danazol, tranexamic acid and levonorgestrel‐releasing intrauterine system (LNG IUS), are more effective. These results were based on a small number of low‐ to moderate‐quality trials. Quality of the evidence The evidence quality ranged from low to moderate, the main limitations being poor reporting of study methods and imprecision resulting from small study numbers.</t>
  </si>
  <si>
    <t>- Background Heavy menstrual bleeding (HMB) is a significant health problem in premenopausal women; it can reduce their quality of life and can cause social disruption and physical problems such as iron deficiency anaemia. First‐line treatment has traditionally consisted of medical therapy (hormonal and non‐hormonal), but this is not always successful in reducing menstrual bleeding to acceptable levels. Hysterectomy is a definitive treatment, but it is more costly and carries some risk. Endometrial ablation may be an alternative to hysterectomy that preserves the uterus. Many techniques have been developed to 'ablate' (remove) the lining of the endometrium. First‐generation techniques require visualisation of the uterus with a hysteroscope during the procedure; although it is safe, this procedure requires specific technical skills. Newer techniques for endometrial ablation (second‐ and third‐generation techniques) have been developed that are quicker than previous approaches because they do not require hysteroscopic visualisation during the procedure. Objectives To compare the efficacy, safety, and acceptability of endometrial destruction techniques to reduce heavy menstrual bleeding (HMB) in premenopausal women. Search methods We searched the Cochrane Gynaecology and Fertility Group Specialised Register of controlled trials, the Cochrane Central Register of Controlled Trials (CENTRAL) in the Cochrane Library, MEDLINE, Embase, CINAHL, and PsycInfo (from inception to May 2018). We also searched trials registers, other sources of unpublished or grey literature, and reference lists of retrieved studies, and we made contact with experts in the field and with pharmaceutical companies that manufacture ablation devices. Selection criteria Randomised controlled trials (RCTs) comparing different endometrial ablation or resection techniques for women reporting HMB without known uterine pathology, other than fibroids outside the uterine cavity and smaller than 3 centimetres, were eligible. Outcomes included improvement in HMB and in quality of life, patient satisfaction, operative outcomes, complications, and the need for further surgery, including hysterectomy. Data collection and analysis Two review authors independently selected trials for inclusion, assessed trials for risk of bias, and extracted data. We contacted study authors for clarification of methods or for additional data. We assessed adverse events only if they were separately measured in the included trials. We undertook comparisons with individual techniques as well as an overall comparison of first‐ and second‐generation ablation methods. Main results We included in this update 28 studies (4287 women) with sample sizes ranging from 20 to 372. Most studies had low risk of bias for randomisation, attrition, and selective reporting. Less than half of these studies had adequate allocation concealment, and most were unblinded. Using GRADE, we determined that the quality of evidence ranged from moderate to very low. We downgraded evidence for risk of bias, imprecision, and inconsistency. Overall comparison of second‐generation versus first‐generation (i.e. gold standard hysteroscopic ablative) techniques revealed no evidence of differences in amenorrhoea at 1 year and 2 to 5 years' follow‐up (risk ratio (RR) 0.99, 95% confidence interval (CI) 0.78 to 1.27; 12 studies; 2145 women; I² = 77%; and RR 1.16, 95% CI 0.78 to 1.72; 672 women; 4 studies; I² = 80%; very low‐quality evidence) and showed subjective improvement at 1 year follow‐up based on a Pictorial Blood Assessment Chart (PBAC) (&lt; 75 or acceptable improvement) (RR 1.03, 95% CI 0.98 to 1.09; 5 studies; 1282 women; I² = 0%; and RR 1.12, 95% CI 0.97 to 1.28; 236 women; 1 study; low‐quality evidence). Study results showed no difference in patient satisfaction between second‐ and first‐generation techniques at 1 year follow‐up (RR 1.01, 95% CI 0.98 to 1.04; 11 studies; 1750 women; I² = 36%; low‐quality evidence) nor at 2 to 5 years' follow‐up (RR 1.02, 95% CI 0.93 t 1.13; 672 women; 4 studies; I² = 81%). Compared with first‐generation techniques, second‐generation endometrial ablation techniques were associated with shorter operating times (mean difference (MD) ‐13.52 minutes, 95% CI ‐16.90 to ‐10.13; 9 studies; 1822 women; low‐quality evidence) and more often were performed under local rather than general anaesthesia (RR 2.8, 95% CI 1.8 to 4.4; 6 studies; 1434 women; low‐quality evidence). We are uncertain whether perforation rates differed between second‐ and first‐generation techniques (RR 0.32, 95% CI 0.10 to 1.01; 1885 women; 8 studies; I² = 0%). Trials reported little or no difference between second‐ and first‐generation techniques in requirement for additional surgery (ablation or hysterectomy) at 1 year follow‐up (RR 0.72, 95% CI 0.41 to 1.26; 6 studies: 935 women; low‐quality evidence). At 5 years, results showed probably little or no difference between groups in the requirement for hysterectomy (RR 0.85, 95% CI 0.59 to 1.22; 4 studies; 758 women; moderate‐quality evidence). Authors' conclusions Approaches to endometrial ablation have evolved from first‐generation techniques to newer second‐ and third‐generation approaches. Current evidence suggests that compared to first‐generation techniques (endometrial laser ablation, transcervical resection of the endometrium, rollerball endometrial ablation), second‐generation approaches (thermal balloon endometrial ablation, microwave endometrial ablation, hydrothermal ablation, bipolar radiofrequency endometrial ablation, endometrial cryotherapy) are of equivalent efficacy for heavy menstrual bleeding, with comparable rates of amenorrhoea and improvement on the PBAC. Second‐generation techniques are associated with shorter operating times and are performed more often under local rather than general anaesthesia. It is uncertain whether perforation rates differed between second‐ and first‐generation techniques. Evidence was insufficient to show which second‐generation approaches were superior to others and to reveal the efficacy and safety of third‐generation approaches versus first‐ and second‐generation techniques. Plain language summary Are newer methods for destroying the lining of the uterus (endometrial ablation) more effective and safer compared to established methods? Review question This review compared the effectiveness, safety, acceptability, and complication rates of first‐, second‐ and third‐generation methods available to destroy the endometrium (lining of the uterus) for treatment of heavy menstrual bleeding (heavy periods) in premenopausal women. Background Medication and hysterectomy (surgery to remove the womb) used to be the main treatment options for heavy menstrual bleeding. Both are still effective and safe options, but available new treatments focus on removing the lining of the womb (endometrium) from which the bleeding comes. These procedures involve either removing the endometrium (resection) or destroying it with thermal (heat) energy from a laser, electrical instruments, or other devices (ablation). These treatments can stop or reduce menstrual bleeding. Study characteristics This review identified 28 randomised controlled trials undertaken in 4287 women. Most of the women knew which treatment they were receiving, which may have influenced their judgements about menstrual blood loss and satisfaction. Other aspects of study quality varied among trials. Evidence is current to May 2018. Nineteen of the 28 trials acknowledged that they received funding, supplies of equipment, or technical assistance from the pharmaceutical industry and from equipment manufacturers. Key results Moderate‐ to very low‐quality evidence suggests that first‐ and second‐generation approaches were equally effective in the treatment of HMB. Newer (second‐generation) treatment approaches were safer in terms of rate of fluid overload, cervical lacerations, and haematometra, with similar rates of uterine perforation. The newer approaches (second‐generation ablation) w re quicker and were more likely to be done under local (rather than general) anaesthesia compared with first‐generation approaches. Most women in both groups were satisfied with results of the procedure. Not enough evidence is available to show which second‐generation approaches are superior to others, and information about third‐generation approaches is not available for comparison. Quality of the evidence Evidence ranged from moderate to very low quality. Few studies were blinded, data were limited, and heterogeneity was substantial for some outcomes, leading to downgrading of the quality of evidence.</t>
  </si>
  <si>
    <t>- Background Heavy menstrual bleeding (HMB) is a menstrual blood loss perceived by women as excessive that affects the health of women of reproductive age, interfering with their physical, emotional, social and material quality of life. Whilst abnormal menstrual bleeding may be associated with underlying pathology, in the present context, HMB is defined as excessive menstrual bleeding in the absence of other systemic or gynaecological disease. The first‐line therapy is usually medical, avoiding possibly unnecessary surgery. Of the wide variety of medications used to reduce HMB, oral progestogens were originally the most commonly prescribed agents. This review assesses the effectiveness of two different types and regimens of oral progestogens in reducing ovulatory HMB. This is the update of a Cochrane review last updated in 2007, and originally named Effectiveness of cyclical progestagen therapy in reducing heavy menstrual bleeding" (1998). Objectives To determine the effectiveness, safety and tolerability of oral progestogen therapy taken either during the luteal phase (short cycle) or for a longer course of 21 days per cycle (long cycle), in achieving a reduction in menstrual blood loss in women of reproductive age with HMB. Search methods In January 2019 we searched Cochrane Gynaecology and Fertility's specialized register, CENTRAL, MEDLINE, Embase, CINAHL and PsycInfo. We also searched trials registers, other sources of unpublished or grey literature and reference lists of retrieved trials. We also checked citation lists of review articles to identify trials. Selection criteria Randomized controlled trials (RCTs) comparing different treatments for HMB that included cyclical oral progestogens were eligible. Data collection and analysis Two review authors independently selected trials for inclusion, assessed trials for risk of bias and extracted data. We contacted trial authors for clarification of methods or additional data when necessary. We only assessed adverse events if they were separately measured in the included trials. We compared cyclical oral progestogen in different regimens and placebo or other treatments. Our primary outcomes were menstrual blood loss and satisfaction with treatment; the secondary outcomes were number of days of bleeding, quality of life, compliance and acceptability of treatment, adverse events and costs. Main results This review identified 15 randomized controlled trials (RCTs) with 1071 women in total. Most of the women knew which treatment they were receiving, which may have influenced their judgements about menstrual blood loss and satisfaction. Other aspects of trial quality varied among trials. We did not identify any RCTs comparing progestogen treatment with placebo . We assessed comparisons between oral progestogens and other medical therapies separately according to different regimens. Short‐cycle progestogen therapy during the luteal phase (medroxyprogesterone acetate or norethisterone for 7 to 10 days, from day 15 to 19) was inferior to other medical therapy, including tranexamic acid, danazol and the progestogen‐releasing intrauterine system (Pg‐IUS (off the market since 2001)), releasing 60 mcg of progesterone daily, with respect to reduction of menstrual blood loss (mean difference (MD) 37.29, 95% confidence interval (CI) 17.67 to 56.91; I 2 = 50%; 6 trials, 145 women, low‐quality evidence). The rate of satisfaction and the quality of life with treatment was similar in both groups. The number of bleeding days was greater on the short cycle progestogen group compared to other medical treatments. Adverse events (such as gastrointestinal symptoms and weight gain) were more likely with danazol when compared with progestogen treatment. We note that danazol is no longer in general use for treating HMB. Long‐cycle progestogen therapy (medroxyprogesterone acetate or norethisterone), from day 5 to day 26 of the menstrual cycle, is also inferior compared to the levonorgestrel‐releasing intrauterine system (LNG‐IUS), tranexamic acid and ormeloxifene, ut may be similar to the combined vaginal ring with respect to reduction of menstrual blood loss (MD 16.88, 95% CI 10.93 to 22.84; I 2 = 87%; 4 trials, 355 women, very low‐quality evidence). There was no clear evidence of a difference between progestogen therapy long cycle and other medical therapy in terms of headache (OR 1.45, 95% CI 0.40 to 5.31; I 2 = 0%; 2 trials, 189 women; low‐quality evidence). Breakthrough bleeding or spotting was more likely in women with the LNG‐IUS (OR 0.18, 95% CI 0.06 to 0.55; I 2 = 0%; 3 trials, 220 women; low‐quality evidence). No trials reported on days of bleeding or quality of life for this comparison. The evidence supporting these findings was limited by low or very low gradings of quality; thus, we are uncertain about the findings and there is a potential that they may change if we identify other trials. Authors' conclusions Low‐ or very low‐quality evidence suggests that short‐course progestogen was inferior to other medical therapy, including tranexamic acid, danazol and the Pg‐IUS with respect to reduction of menstrual blood loss. Long cycle progestogen therapy (medroxyprogesterone acetate or norethisterone) was also inferior to the LNG‐IUS, tranexamic acid and ormeloxifene, but may be similar to the combined vaginal ring with respect to reduction of menstrual blood loss. Plain language summary Are cyclical progestogens an effective and safe treatment for heavy menstrual bleeding compared to other medical treatments? Background Heavy menstrual bleeding (HMB) is menstrual bleeding (periods) that interferes with a woman's quality of life, either physical, emotional, social or material, independently of the actual amount of blood loss. Most women with HMB do not have any associated physical cause, such as fibroids, so getting help that does not involve surgery is an attractive alternative. A cyclical progestogen is a hormone tablet that can be taken by mouth for either 10 days or 3 to 4 weeks per month for the treatment of HMB (short or long course cyclical progestogen). Trial characteristics This review identified 15 randomized controlled trials (clinical studies where people are randomly put into one of two or more treatment groups) with 1071 women in total comparing oral progestogens to other medical treatment for HMB (other oral treatments, intrauterine device and vaginal ring). Our primary outcomes were menstrual blood loss and satisfaction with treatment; the secondary outcomes were number of days of bleeding, quality of life, compliance and acceptability of treatment, adverse events and costs. Evidence is current to January 2019. Key results This review of trials found that progestogen hormone tablets taken by mouth for 10 days per month (short course) were less effective at reducing menstrual blood loss when compared to other medical treatments. We are uncertain whether they improved satisfaction or quality of life in women with HMB, or were associated with any difference in adverse effects when compared to other medical treatments. Even though it was less effective at reducing menstrual blood loss, satisfaction with treatment was similar to other medical treatments such as tranexamic acid and Pg‐IUS. We found that progestogen hormone tablets, taken by mouth for three to four weeks from day 5 to 26 of the menstrual cycle (long course), reduced menstrual blood loss but this treatment may be less effective than tranexamic acid, combined hormonal contraceptives and the levonorgestrel‐releasing intrauterine device. No studies in this comparison reported on quality of life. Satisfaction with treatment was similar to women using the combined vaginal ring, but there were no data to compare satisfaction between long cycle and LNG‐IUS or tranexamic acid. There was no evidence of a difference in the occurrence of headache, but long course oral progestogens were associated with a significantly lower incidence of breakthrough bleeding compared with other medical treatment. Quality of the evidence The quality of the evidence that compared oral progestogens (shor and long course) to other medical treatments for HMB was either low or very low which means that we are very uncertain of the findings of the review. The main limitations were risk of bias (women and researchers were aware of the treatment they were receiving which was likely to interfere with the responses, and there was a high number of dropouts from studies) and inconsistency (the results varied among studies)."</t>
  </si>
  <si>
    <t>Introduction: Chronic kidney disease (CKD) is an important global health problem with increasing incidence and prevalence. Currently, the worldwide prevalence is 10-13% and similar estimates of 13.9% have been reported in sub-Sahara Africa in a recent meta-analysis. The prevalence of CKD in Ghana is 13.3%. Chronic kidney disease inevitably progresses to end-stage renal disease (ESRD) which requires renal replacement therapy (RRT) in the form of haemodialysis, peritoneal dialysis or renal transplantation as the main modalities of treatment. It has been shown consistently that renal transplantation is cost effective, improves patient survival and quality of life as compared to peritoneal dialysis and haemodialysis. Unfortunately, Ghana has no national renal transplantation programme but has had limited renal transplantation services in Korle-Bu Teaching Hospital. As result the predominant mode of treating ESRD in Ghana is haemodialysis Methods: In order to assess the burden and causes of ESRD in Ghana, the Ghana Kidney Association with the help of the African Association of Nephrology established a renal registry in 2017. This project is an analysis of the data in the registry at the end of 2017 Results: At the end of 2017 there were 686 patients with end stage renal disease on renal replacement treatment (RRT) in Ghana giving an RRT rate of 23.56/per million population (pmp). Of these patients, 661 were on haemodialysis, 24 had a kidney transplant and two were on peritoneal dialysis. The median age of patients on RRT was 45.5 (range 6.2-84.3 years) and this is 20 years younger than in the UK. The majority of patients 65.6% were male. The major causes of ESRD were hypertensive renal disease (39%), diabetic nephropathy (9.1%) and glomerulonephritis (6.6%) Conclusion(s): ESRD is more common in Africans than in Europeans. The prevalence of RRT in Ghana of 23.56 pmp contrasts with that of 738 pmp in Europe. In Ghana as in sub-Saharan Africa the overwhelming majority of patients with ESRD die undiagnosed and untreated. This gap in our health policy needs to be addressed. Copyright © 2019</t>
  </si>
  <si>
    <t>Introduction More than 70% of world mortality is due to chronic conditions. Furthermore, it has been proven that social determinants have an enormous impact on both health-related behaviour and on the received attention from healthcare services. These determinants cause health inequalities. The objective of this study is to reduce the burden of chronic diseases in five European regions, hereby focusing on vulnerable populations, and to increase the sustainability of health systems by implementing a chronic disease self-management programme (CDSMP). Methods and analysis 2000 people with chronic conditions or informal caregivers belonging to vulnerable populations, will be enrolled in the CDSMP in Spain, Italy, the UK, France and the Netherlands. Inclusion of patients will be based on geographical, socioeconomic and clinical stratification processes. The programme will be evaluated in terms of self-efficacy, quality of life and cost-effectiveness using a combination of validated questionnaires at baseline and 6 months from baseline. Ethics and dissemination This study will follow the directives of the Helsinki Declaration and will adhere to the European Union General Data Protection Regulation. The project's activities, progress and outcomes will be disseminated via promotional materials, the use of mass media, online activities, presentations at events and scientific publications. Copyright © 2019 Author(s).</t>
  </si>
  <si>
    <t>- Background Psychosis is a serious mental condition characterised by a loss of contact with reality. There may be a prodromal period or stage of psychosis, where early signs of symptoms indicating onset of first episode psychosis (FEP) occur. A number of services, incorporating multimodal treatment approaches (pharmacotherapy, psychotherapy and psychosocial interventions), developed worldwide, now focus on this prodromal period with the aim of preventing psychosis in people at risk of developing FEP. Objectives The primary objective is to assess the safety and efficacy of early interventions for people in the prodromal stage of psychosis. The secondary objective is, if possible, to compare the effectiveness of the various different interventions. Search methods We searched Cochrane Schizophrenia's study‐based Register of studies (including trials registers) on 8 June 2016 and 4 August 2017. Selection criteria All randomised controlled trials (RCTs) evaluating interventions for participants older than 12 years, who had developed a prodromal stage of psychosis. Data collection and analysis Review authors independently inspected citations, selected studies, extracted data, and assessed study quality. Main results We included 20 studies with 2151 participants. The studies analysed 13 different comparisons. Group A comparisons explored the absolute effects of the experimental intervention. Group B were comparisons within which we could not be clear whether differential interactive effects were also ongoing. Group C comparisons explored differential effects between clearly distinct treatments. A key outcome for this review was ‘transition to psychosis’. For details of other main outcomes please see 'Summary of findings' tables. In Group A (comparisons of absolute effects) we found no clear difference between amino acids and placebo (risk ratio (RR) 0.48 95% confidence interval (CI) 0.08 to 2.98; 2 RCTs, 52 participants; very low‐quality evidence). When omega‐3 fatty acids were compared to placebo, fewer participants given the omega‐3 (10%) transitioned to psychosis compared to the placebo group (33%) during long‐term follow‐up of seven years (RR 0.24 95% CI 0.09 to 0.67; 1 RCT, 81 participants; low‐quality evidence). In Group B (comparisons where complex interactions are probable) and in the subgroup focusing on antipsychotic drugs added to specific care packages, the amisulpiride + needs‐focused intervention (NFI) compared to NFI comparison (no reporting of transition to psychosis; 1 RCT, 102 participants; very low‐quality evidence) and the olanzapine + supportive intervention compared to supportive intervention alone comparison (RR 0.58 95% CI 0.28 to 1.18; 1 RCT, 60 participants; very low‐quality evidence) showed no clear differences between groups. In the second Group B subgroup (cognitive behavioural therapies (CBT)), when CBT + supportive therapy was compared with supportive therapy alone around 8% of participants allocated to the combination of CBT and supportive therapy group transitioned to psychosis during follow‐up by 18 months, compared with double that percentage in the supportive therapy alone group (RR 0.45 95% CI 0.23 to 0.89; 2 RCTs, 252 participants; very low‐quality evidence). The CBT + risperidone versus CBT + placebo comparison identified no clear difference between treatments (RR 1.02 95% CI 0.39 to 2.67; 1 RCT, 87 participants; very low‐quality evidence) and this also applies to the CBT + needs‐based intervention (NBI) + risperidone versus NBI comparison (RR 0.75 95% CI 0.39 to 1.46; 1 RCT, 59 participants; very low‐quality evidence). Group C (differential effects) also involved six comparisons. The first compared CBT with supportive therapy. No clear difference was found for the ‘transition to psychosis’ outcome (RR 0.74 95% CI 0.28 to 1.98; 1 RCT, 72 participants; very low‐quality evidence). The second subgroup compared CBT + supportive intervention was compared with a NBI + supportive intervention, again, data were equivocal, few and of very low quality (RR 6.32 95% CI 0.34 to 117.09; 1 RCT, 57 participants). In the CBT + risperidone versus supportive therapy comparison, again there was no clear difference between groups (RR 0.76 95% CI 0.28 to 2.03; 1 RCT, 71 participants; very low‐quality evidence). The three other comparisons in Group C demonstrated no clear differences between treatment groups. When cognitive training was compared to active control (tablet games) (no reporting of transition to psychosis; 1 RCT, 62 participants; very low quality data), family treatment compared with enhanced care comparison (RR 0.54 95% CI 0.18 to 1.59; 2 RCTs, 229 participants; very low‐quality evidence) and integrated treatment compared to standard treatment comparison (RR 0.57 95% CI 0.28 to 1.15; 1 RCT, 79 participants; very low‐quality evidence) no effects of any of these approaches was evident. Authors' conclusions There has been considerable research effort in this area and several interventions have been trialled. The evidence available suggests that omega‐3 fatty acids may prevent transition to psychosis but this evidence is low quality and more research is needed to confirm this finding. Other comparisons did not show any clear differences in effect for preventing transition to psychosis but again, the quality of this evidence is very low or low and not strong enough to make firm conclusions. Plain language summary Early interventions for people at risk of developing psychosis Review question Is there high‐quality evidence indicating that interventions for people at risk of developing psychosis are effective? Background Psychoses are serious mental conditions characterised by a loss of contact with reality. The first clear episode of psychosis can be preceded by a 'prodromal' period of at least six months, where a person experiences gradual non‐specific changes in thoughts, perceptions, behaviours and functioning. Although an individual is experiencing changes, they have not yet started to experience the more obvious psychotic symptoms such as delusions (fixed false beliefs) or hallucinations (perceptions without a cause). A number of services with treatment approaches that combine pharmacotherapy, psychotherapy and psychosocial treatments, developed worldwide, are now focusing on prevention of psychosis in people at risk by giving treatments during this prodromal period. This review assesses the evidence available concerning the effects of different treatment approaches for people not yet diagnosed with a non affective psychosis but who are in the prodromal stage of psychosis. Searching for evidence On 8 June 2016 and 4 August 2017 we ran electronic searches of the Cochrane Schizophrenia's specialised register of studies in order to find clinical studies that randomly allocated individuals at risk of developing psychosis to receive various treatments for preventing development of psychosis. Evidence found We were able to include 20 studies with 2151 participants. These studies analysed a wide range of treatments. All the review findings are of, at very best, low quality. There is some suggestion from one small study that people at risk of psychosis may benefit from taking omega‐3 fatty acids in terms of reduced transition to psychosis. Other studies found adding antipsychotic drugs to supportive‐care packages did not seem to make much difference in terms of transition to full illness. When cognitive behavioural therapy (CBT) + supportive therapy was compared with supportive therapy alone around 8% of participants treated allocated to the combination of CBT and supportive therapy transitioned to psychosis during follow‐up by 18 months, compared with double that percentage in people who just received supportive therapy. This could be important but these data are of very low quality. All other testing of CBT and other packages of care found no clear difference between treatments for transition to psychosis. Conclusions There has been considerable effort and expense invested testing treatment approaches for prevention of the first episode of schizophr nia. Currently, there is some low‐quality evidence suggesting that omega‐3 fatty acids may be effective, but there is no high‐quality evidence to suggest that any type of treatment is effective, and no firm conclusions can be made.</t>
  </si>
  <si>
    <t>Objectives The cost-effectiveness of molecular pathology testing is highly context dependent. The field is fast-moving, and national health technology assessment may not be relevant or timely for local decision makers. This study illustrates a method of context-specific economic evaluation that can be carried out in a limited timescale without extensive resources.Methods We established a multi-disciplinary group including an oncologist, pathologists and a health economist. We set out diagnostic and treatment pathways and costs using registry data, health technology assessments, guidelines, audit data, and estimates from the group. Sensitivity analysis varied input parameters across plausible ranges. The evaluation setting was the West of Scotland and UK NHS perspective was adopted. The evaluation was assessed against the AdHopHTA checklist for hospital-based health technology assessment.Results A context-specific economic evaluation could be carried out on a timely basis using limited resources. The evaluation met all relevant criteria in the AdHopHTA checklist. Health outcomes were expected to be at least equal to the current strategy. Annual cost savings of 637,000 were estimated resulting primarily from a reduction in the proportion of patients receiving intravenous infusional chemotherapy regimens. The result was not sensitive to any parameter. The data driving the main cost saving came from a small clinical audit. We recommended this finding was confirmed in a larger population.Conclusions The method could be used to evaluate testing changes elsewhere. The results of the case study may be transferable to other jurisdictions where the organization of cancer services is fragmented. Copyright © 2019 Cambridge University Press.</t>
  </si>
  <si>
    <t>Introduction - Abdominal aortic aneurysm (AAA) screening programmes have been established for men in several countries. Whether screening should be extended to women is uncertain. The objective of this study was to evaluate the cost-effectiveness of population screening for AAA in women, and compare a range of screening options. Methods - A discrete event simulation model was developed to provide a clinically realistic model of screening, surveillance, and elective and emergency AAA repair in women. Input parameters specifically for women were obtained from surgical registries, published literature and national administrative datasets. Screening was modelled for women aged 65 years or over. The model was run for 10-million women, with parameter uncertainty addressed by probabilistic and deterministic sensitivity analyses. UK costs in pounds sterling were converted to Euros based on 2016 average OECD purchasing power parity. Results - The prevalence of AAA (aortic diameter 33.0cm) was estimated as 0.43% in women aged 65 years and 1.15% at age 75. The corresponding attendance rates following invitation to screening were estimated as 73% and 62%. The base-case model adopted the same age at screening (65 years), definition of AAA (33.0cm), surveillance intervals (1 year for 3.0-4.4cm AAAs, 3 months for 4.5-5.4cm) and AAA diameter for consideration of surgery (5.5cm) as in the UK NHS AAA screening programmes. For screening at age 65, per woman invited to screening, the estimated gain in QALYs was 0.00075 (just under one day of life per woman screened), and the incremental cost was 33.51 (36.33) (all values discounted). This gave an incremental cost-effectiveness ratio (ICER) of 45,000 (48,782) per quality-adjusted life-year (QALY) gained (current UK threshold for implementation approximately 20,000 (21,681)). Under the base-case model around 2800 women would need to be invited to screening to prevent one death from AAA and screening would cost 100,000 (108,406) per death from AAA prevented (non-discounted). Sensitivity analyses did not bring the ICER below 20,000 per QALY gained, with the exception of doubling the AAA prevalence to 0.86% where the ICER was 18,000 (19,513). Alternative screening options (increasing the screening age to 70 years, lowering the threshold for considering surgery to 5.0 or 4.5cm, lowering the diameter defining an AAA in women to 2.5cm, and lengthening the surveillance intervals for the smallest AAAs) did not bring the ICER below 30,000 (32,522) per QALY gained when considered either singly or in combination. Conclusion - The current UK cost-effectiveness criteria for a population-based AAA screening programme in women are not currently met. Copyright © 2019</t>
  </si>
  <si>
    <t>- Background Neuropathic pain is a consequence of damage to the central nervous system (CNS), for example, cerebrovascular accident, multiple sclerosis or spinal cord injury, or peripheral nervous system (PNS), for example, painful diabetic neuropathy (PDN), postherpetic neuralgia (PHN), or surgery. Evidence suggests that people suffering from neuropathic pain are likely to seek alternative modes of pain relief such as herbal medicinal products due to adverse events brought about by current pharmacological agents used to treat neuropathic pain. This review includes studies in which participants were treated with herbal medicinal products (topically or ingested) who had experienced neuropathic pain for at least three months. Objectives To assess the analgesic efficacy and effectiveness of herbal medicinal products or preparations for neuropathic pain, and the adverse events associated with their use. Search methods We searched CENTRAL and the Cochrane Database of Systematic Reviews, MEDLINE, Embase, CINAHL and AMED to March 2018. We identified additional studies from the reference lists of the retrieved papers. We also searched trials registries for ongoing trials and we contacted experts in the field for relevant data in terms of published, unpublished or ongoing studies. Selection criteria We included randomised controlled trials (including cross‐over designs) of double‐blind design, assessing efficacy of herbal treatments for neuropathic pain compared to placebo, no intervention or any other active comparator. Participants were 18 years and above and had been suffering from one or more neuropathic pain conditions, for three months or more. We applied no restrictions to language or gender. We excluded studies monitoring effects of isolated, single chemicals derived from the plant or synthetic chemicals based on constituents of the plant, if they were not administered at a concentration naturally present within the plant. We excluded studies monitoring the effects of traditional Asian medicine and Cannabinoids as well as studies looking at headache or migraine as these treatments and conditions are addressed in distinct reviews. Data collection and analysis We used standard methodological procedures expected by Cochrane. Two review authors independently considered trials for inclusion, assessed risk of bias, and extracted data. We calculated the risk ratio (RR) and number needed to treat for an additional beneficial outcome (NNTB). The primary outcomes were participant‐reported pain relief of 30%, or 50%, or greater, and participant‐reported global impression of clinical change (PGIC). We also collected information on adverse events. We assessed evidence using GRADE and created a 'Summary of findings' table. Main results We included two studies (128 participants). Both diabetic neuropathy and non‐diabetic neuropathic pain conditions were investigated across these two studies. Two herbal medicinal products, namely nutmeg (applied topically as a 125 mL spray for four weeks, containing mace oil 2%, nutmeg oil 14%, methyl salicylate 6%, menthol 6%, coconut oil and alcohol) and St John's wort (taken in capsule form containing 900 μg total hypericin each, taken three times daily, giving a total concentration of 2700 mg for five weeks). Both studies allowed the use of concurrent analgesia. Both reported at least one pain‐related outcome but we could not carry out meta‐analysis of effectiveness due to heterogeneity between the primary outcomes and could not draw any conclusions of effect. Other outcomes included PGIC, adverse events and withdrawals. There were no data for participant‐reported pain relief of 50% or greater or PGIC (moderate and substantial) outcomes. When looking at participant‐reported pain relief of 30% or greater over baseline, we observed no evidence of a difference (P = 0.64) in response to nutmeg versus placebo (RR 1.12, 95% confidence interval (CI) 0.69 to 1.85; 48.6% vs 43.2%). We downgraded the evidence for this outcome to very low quality. We observed no change between placebo and nutmeg treatment when looking at secondary pain outcomes. Visual analogue scale (VAS) scores for pain reduction (0 to 100, where 0 = no pain reduction), were 44 for both nutmeg and placebo with standard deviations of 21.5 and 26.5 respectively. There was no evidence of a difference (P = 0.09 to 0.33) in total pain score in response to St John’s wort compared to placebo, as there was only a reduction of 1 point when looking at median differences in change from baseline on a 0 to 10‐point numeric rating scale. There was a total of five withdrawals out of 91 participants (5%) in the treatment groups compared to six of 91 (6.5%) in the placebo groups, whilst adverse events were the same for both the treatment and placebo groups. We judged neither study as having a low risk of bias. We attributed risk of bias to small study size and incomplete outcome data leading to attrition bias. We downgraded the evidence to very low quality for all primary and secondary outcomes reported in this review. We downgraded the quality of the evidence twice due to very serious limitations in study quality (due to small study size and attrition bias) and downgraded a further level due to indirectness as the included studies only measured outcomes at short‐term time points. The results from this review should be treated with scepticism as we have very little confidence in the effect estimate. Authors' conclusions There was insufficient evidence to determine whether nutmeg or St John's wort has any meaningful efficacy in neuropathic pain conditions. The quality of the current evidence raises serious uncertainties about the estimates of effect observed, therefore, we have very little confidence in the effect estimate; the true effect is likely to be substantially different from the estimate of effect. Plain language summary Herbal products for neuropathic pain Background Neuropathic pain is a complex and often disabling condition and many people suffer moderate or severe pain for many years, affecting quality of life. This condition is difficult to treat and typically only 40% to 60% of people with this condition achieve partial relief. Neuropathic pain is pain coming from damaged nerves. It is different from pain messages that are carried along healthy nerves from damaged tissue (for example, a fall or cut, or arthritic knee). Neuropathic pain is often treated by different medicines to those used for pain from damaged tissue. Medicines that are sometimes used to treat neuropathic pain can have damaging side effects and therefore people are now trying herbal products to help relieve pain instead. We conducted a search for relevant clinical trials in March 2018. We looked for studies in adults suffering from moderate neuropathic pain who took some form of herbal product, either by consuming it in their diet, in tablet form, or by applying it to the skin to relieve pain. We also collected information on side effects these herbal products might have. Study characteristics We included two studies with 128 participants. Study size ranged from 54 to 74 participants with an age range of 21 to 85 years. Both studies included men and women. Both studies compared herbal medicines (nutmeg or St John’s wort) to placebo and allowed continued use of painkillers. Both studies reported side effects. Key results There were no reports from participants of any reduction in pain intensity of 30% or above and there was no observable reduction in the total pain score in response to either nutmeg or St John’s wort. There were also no reductions in dropout rates or number of side effects between the treatment and placebo. Quality of the evidence We rated the quality of the evidence from studies using four levels: very low, low, moderate, or high. Very low‐quality evidence means that we are very uncertain about the results. High‐quality evidence means that we are very confident. Only two small studies met this review’s search criteria. Neither provided any high‐quality evidence for either possible benefits or harms. We judged the evidence to b of very low quality. Thus, results from the studies contained in this review are very uncertain and prevent any meaningful conclusions. Larger, high‐quality studies are needed to assess accurately if herbal products are of any benefit or have the potential to harm when used to treat adults with neuropathic pain.</t>
  </si>
  <si>
    <t>Contact tracing strategies in household and congregate environments to identify cases of tuberculosis in low‐ and moderate‐incidence populations</t>
  </si>
  <si>
    <t>- Background Tuberculosis is an infectious bacterial disease that is spread via respiratory droplets from infected individuals to susceptible contacts. To eliminate this disease from low‐ and medium‐incidence settings, people who are most likely to be infected (contacts) must be identified. Recently, study authors have examined alternate approaches to contact tracing methods that demonstrate improved detection and prioritization of contacts. The comparative benefit of these methods has not been established. Objectives To assess the effectiveness of novel methods of contact tracing versus current standard of care to identify latent and active cases in low‐ to moderate‐incidence settings. Search methods We searched CENTRAL, MEDLINE, Embase, LILACS, Web of Science, and CINAHL up to 15 July 2019. We also searched for clinical trials and examined reference lists and conference proceedings. Selection criteria Randomized controlled trials (RCTs) and cluster‐RCTs of contact tracing strategies that included alternate approaches (other than standard practice). Data collection and analysis Two review authors independently assessed identified articles for eligibility and quality using prespecified criteria. Main results No trials met the inclusion criteria of this review. Several study authors described an alternate method for examining contacts and performing social network analysis but did not compare this with the current contact tracing approach. Authors' conclusions This Cochrane Review highlights the lack of research in support of the current contact tracing method and the need for RCTs to compare new methods such as social network analysis to improve contact tracing processes. 16 September 2019 Up to date All studies incorporated from most recent search We performed the last search up to 15 Jul, 2019, and did not identify any trials for inclusion. Plain language summary Contact tracing methods for tuberculosis What is the aim of this review? This Cochrane Review aims to establish whether any evidence is available to support the current approach to contact tracing (the process of identifying individuals exposed to an infectious case of tuberculosis), and whether alternate options could result in a higher rate of infection detection in contacts. We searched for all relevant studies to answer this question. Key messages Contact tracing is an important method to further reduce the rates of tuberculosis. Cochrane Review authors identified no studies addressing this question. Therefore further research is needed to determine whether alternate contact tracing approaches could produce a greater yield in the number of contacts detected and the proportion of individuals with disease. What was studied in the review? Tuberculosis (TB) is an infectious disease caused by Mycobacterium tuberculosis bacteria. Globally, tuberculosis infects an estimated 1.7 billion people, with 1.3 million deaths and 10 million new cases each year. Tuberculosis is transmitted via droplets coughed up from infected patients to susceptible contacts. The World Health Organization (WHO) aims to eliminate this disease by 2035. To achieve this ambitious task, the current decline in new cases must be at a faster rate. In high‐income countries with low rates of tuberculosis, contact tracing is the primary method used to find those at risk of developing tuberculosis. What are the main results of the review? The review authors found that no suitable randomized controlled trials have been conducted to answer this question. There is insufficient high‐certainty evidence comparing current contact tracing methods used against alternate options; further research is therefore needed. How up‐to‐date is this review We searched for studies published up to 15 July 2019.</t>
  </si>
  <si>
    <t>- Background Acute anterior shoulder dislocation, which is the most common type of dislocation, usually results from an injury. Subsequently, the shoulder is less stable and is more susceptible to re‐dislocation or recurrent instability (e.g. subluxation), especially in active young adults. After closed reduction, most of these injuries are treated with immobilisation of the injured arm in a sling or brace for a few weeks, followed by exercises. This is an update of a Cochrane Review first published in 2006 and last updated in 2014. Objectives To assess the effects (benefits and harms) of conservative interventions after closed reduction of traumatic anterior dislocation of the shoulder. These might include immobilisation, rehabilitative interventions or both. Search methods We searched the Cochrane Bone, Joint and Muscle Trauma Group Specialised Register, the Cochrane Central Register of Controlled Trials, MEDLINE, Embase, CINAHL, PEDro and trial registries. We also searched conference proceedings and reference lists of included studies. Date of last search: May 2018. Selection criteria We included randomised or quasi‐randomised controlled trials comparing conservative interventions with no treatment, a different intervention or a variant of the intervention (e.g. a different duration) for treating people after closed reduction of a primary traumatic anterior shoulder dislocation. Inclusion was regardless of age, sex or mechanism of injury. Primary outcomes were re‐dislocation, patient‐reported shoulder instability measures and return to pre‐injury activities. Secondary outcomes included participant satisfaction, health‐related quality of life, any instability and adverse events. Data collection and analysis Both review authors independently selected studies, assessed risk of bias and extracted data. We contacted study authors for additional information. We pooled results of comparable groups of studies. We assessed risk of bias with the Cochrane 'Risk of bias' tool and the quality of the evidence with the GRADE approach. Main results We included seven trials (six randomised controlled trials and one quasi‐randomised controlled trial) with 704 participants; three of these trials (234 participants) are new to this update. The mean age across the trials was 29 years (range 12 to 90 years), and 82% of the participants were male. All trials compared immobilisation in external rotation (with or without an additional abduction component) versus internal rotation (the traditional method) following closed reduction. No trial evaluated any other interventions or comparisons, such as rehabilitation. All trials provided data for a follow‐up of one year or longer; the commonest length was two years or longer. All trials were at some risk of bias, commonly performance and detection biases given the lack of blinding. Two trials were at high risk of selection bias and some trials were affected by attrition bias for some outcomes. We rated the certainty of the evidence as very low for all outcomes. We are uncertain whether immobilisation in external rotation makes a difference to the risk of re‐dislocation after 12 months' or longer follow‐up compared with immobilisation in internal rotation (55/245 versus 73/243; risk ratio (RR) 0.67, 95% confidence interval (CI) 0.38 to 1.19; 488 participants; 6 studies; I² = 61%; very low certainty evidence). In a moderate‐risk population with an illustrative risk of 312 per 1000 people experiencing a dislocation in the internal rotation group, this equates to 103 fewer (95% CI 194 fewer to 60 more) re‐dislocations after immobilisation in external rotation. Thus this result covers the possibility of a benefit for each intervention. Individually, the four studies (380 participants) reporting on validated patient‐reported outcome measures for shoulder instability at a minimum of 12 months' follow‐up found no evidence of a clinically important difference between the two interventions. We are uncertain of the relative effects of the two methods of immobilisat on on resumption of pre‐injury activities or sports. One study (169 participants) found no evidence of a difference between interventions in the return to pre‐injury activity of the affected arm. Two studies (135 participants) found greater return to sports in the external rotation group in a subgroup of participants who had sustained their injury during sports activities. None of the trials reported on participant satisfaction or health‐related quality of life. We are uncertain whether there is a difference between the two interventions in the number of participants experiencing instability, defined as either re‐dislocation or subluxation (RR 0.84, 95% CI 0.62 to 1.14; 395 participants, 3 studies; very low certainty evidence). Data on adverse events were collected only in an ad hoc way in the seven studies. Reported transient and resolved adverse events" were nine cases of shoulder stiffness or rigidity in the external rotation group and two cases of axillary rash in the internal rotation group. There were three "important" adverse events: hyperaesthesia and moderate hand pain; eighth cervical dermatome paraesthesia; and major movement restriction between 6 and 12 months. It was unclear to what extent these three events could be attributed to the treatment. Authors' conclusions The available evidence from randomised trials is limited to that comparing immobilisation in external versus internal rotation. Overall, the evidence is insufficient to draw firm conclusions about whether immobilisation in external rotation confers any benefit over immobilisation in internal rotation. Considering that there are several unpublished and ongoing trials evaluating immobilisation in external versus internal rotation, the main priority for research on this question consists of the publication of completed trials and the completion and publication of ongoing trials. Meanwhile, evaluation of other interventions, including rehabilitation, is warranted. There is a need for sufficiently large, good‐quality, well‐reported randomised controlled trials with long‐term follow‐up. Future research should aim to determine the optimal immobilisation duration, precise indications for immobilisation, optimal rehabilitation interventions, and the acceptability of these different interventions. Plain language summary Non‐surgical management after non‐surgical repositioning of traumatic anterior dislocation of the shoulder Background Acute anterior shoulder dislocation is an injury in which the top end of the upper arm bone is pushed out of the joint socket in a forward direction. Afterwards, the shoulder is less stable, and prone to either partial or complete re‐dislocation, especially in active young adults. Initial treatment involves putting the joint back in place. This is called ‘closed reduction’ when it is done without surgery. Subsequent treatment is often conservative (non‐surgical) and usually involves a period of immobilisation of the injured arm in a sling or brace, followed by exercises. Review question What are the benefits and harms of different conservative interventions for treating people after closed reduction of a primary traumatic anterior shoulder dislocation? This is an update of a review that was first published in 2006 and last updated in 2014. We reviewed the evidence from clinical studies comparing any conservative intervention (e.g. immobilisation, rehabilitation) versus no treatment or a different intervention, or comparing different variants of an intervention (e.g. different duration). The primary outcomes of interest were re‐dislocation, patient‐reported shoulder instability measures (usually questionnaires) and return to pre‐injury activities. Further outcomes of interest included patients’ satisfaction with the intervention, health‐related quality of life and adverse events. Search date We conducted the searches of healthcare literature for this review in May 2018. Study characteristics We identified three new relevant studies in this update. In total, this review now includes seven studies with 704 participants. Most of the participants (82%) were male; the average age across the studies was 29 years (range 12 to 90 years). All of the studies investigated just one comparison: immobilisation in external rotation (when the arm is orientated outwards with the forearm away from the chest) versus immobilisation in internal rotation (the usual sling position, where the arm rests against the chest) following closed reduction. Participants were followed over different lengths of time; the most common duration was two years or longer. Key results We are uncertain whether immobilisation in external rotation makes a difference to the risk of re‐dislocation at one‐year or more follow‐up compared with immobilisation in internal rotation. None of the four studies reporting on patient‐reported outcome measures for shoulder instability at a minimum of one‐year follow‐up found evidence of any important difference between the two interventions. We are uncertain of the relative effects of the two methods of immobilisation on resumption of pre‐injury activities or sports. One study found no evidence of a difference between interventions in the return to pre‐injury activity of the affected arm. Two other studies found greater return to sports in the external rotation group in a small group of participants who had sustained their injury during sports activities. None of the trials reported on participant satisfaction or health‐related quality of life. We are uncertain whether there is a difference between the two interventions in the number of participants experiencing instability, defined as either re‐dislocation or subluxation (a partial dislocation). The reporting of adverse events (complications) was unsatisfactory. There were reports of nine cases of short‐term shoulder stiffness in the external rotation group and two cases of under‐arm rash in the internal fixation group. There were three more serious adverse events: abnormal sensitivity and hand pain; abnormal sensation such as tingling in the little finger and along to the elbow; and major movement restriction. It was unclear to what extent these three adverse events could be attributed to the treatment. Certainty of the evidence We rated the certainty of the evidence as very low for all outcomes. This was mainly because there were not enough data and we were unsure how reliable the results were from the individual studies. Thus we are uncertain about the estimates of effect. Conclusions Overall, the current evidence is insufficient to inform the choice of immobilisation in external versus internal rotation. There is no evidence to inform on any other conservative interventions following closed reduction of traumatic anterior dislocation of the shoulder."</t>
  </si>
  <si>
    <t>Clobazam add‐on therapy for drug‐resistant epilepsy</t>
  </si>
  <si>
    <t>- Background Epilepsy affects approximately 1% of the population, with up to 30% of patients continuing to have seizures, despite antiepileptic drug treatment. Clobazam is a 1,5‐benzodiazepine and is commonly used as an add‐on treatment for drug‐resistant epilepsy. This review is an updated version of the original Cochrane Review, first published in 2008, and examines the most current literature regarding clobazam as an add‐on for drug‐resistant epilepsy. Objectives To assess the efficacy, effectiveness and tolerability of clobazam as an add‐on therapy for drug‐resistant generalised‐onset and focal‐onset seizures, with or without secondary generalisation, in adults and children. Search methods For the latest update, we searched the following databases on 9 October 2018: Cochrane Register of Studies (CRS Web), which includes the Cochrane Epilepsy Group Specialized Register and the Cochrane Central Register of Controlled Trials (CENTRAL), Medline (Ovid) 1946 to 8 October, 2018, ClinicalTrials.gov , and the WHO International Clinical Trials Registry Platform ( ICTRP ). For some previous updates we also searched SCOPUS, DARE, and BIOSIS Previews, but these are no longer needed. (SCOPUS was searched as a substitute for EMBASE, but randomised and quasi‐randomised controlled trials in EMBASE are now included in CENTRAL; DARE ceased operation at the end of March 2015; BIOSIS Previews yielded no relevant items that were not found in the other databases). Selection criteria Randomised trials of add‐on clobazam, with adequate methods of allocation concealment, recruiting patients with drug‐resistant focal or generalised‐onset seizures, with a minimum treatment period of eight weeks. Data collection and analysis Two review authors independently selected trials for inclusion and extracted relevant data. The following outcomes were assessed: 50% or greater reduction in seizures, seizure freedom, treatment withdrawal and adverse events. Main results Four double‐blind, placebo‐controlled, cross‐over studies, representing 197 participants, were included in the review. All four studies were assessed as having unclear risk of bias due to the unavailability of methodological details. The studies demonstrated significant methodological heterogeneity and differences in outcome measures were noted. Consequently, it was not possible to summarise the data in a meta‐analysis. Instead, findings were summarised in a narrative data synthesis, Only two of the studies reported 50% or greater seizure reduction. They respectively reported that 57.7% and 52.4% of participants receiving add‐on clobazam experienced a 50% or greater reduction in seizure frequency, although publication bias needs to be considered (2 RCTs, n = 47, very low‐quality evidence). Seizure freedom was reported by three of the included studies. Collectively, 27 out of 175 patients were seizure‐free during treatment with clobazam (3 RCTs, n = 175, very low‐quality evidence). Two studies specifically stated that seizure freedom was not observed in any of the participants receiving add‐on placebo. Treatment withdrawal was reported by all four studies. There was a slightly higher incidence of treatment withdrawal associated with receiving clobazam, although the overall incidence was still fairly low (4 RCTs, n = 197, very low‐quality evidence). Adverse events were only described in two of the studies, reportedly 36% and 85% of participants experienced one or more adverse events whilst receiving clobazam. The most commonly reported adverse event was drowsiness. Authors' conclusions Clobazam as an add‐on treatment may reduce seizure frequency and may be most effective in focal‐onset seizures. It is important to recognise that this finding has been derived from very low‐quality evidence and from studies judged to have an unclear risk of bias. It remains unclear which population demographic will best benefit from clobazam and over what time‐frame. A large‐scale, randomised controlled trial, conducted over a greater peri d of time, incorporating subgroups with differing seizure types, is required to effectively inform clinical practice. Plain language summary Clobazam as an add‐on treatment in the management of drug‐resistant epilepsy Background   Epilepsy is a disorder of repeated seizures. Whilst many people will achieve freedom from seizures on one antiepileptic medication, some may require multiple medications to try to reduce the number of seizures that they have. These people are said to have drug‐resistant epilepsy. Aim of the review   Clobazam is an antiepileptic medication. Here, we examine the evidence from medical studies to determine how effective clobazam is at reducing the number of seizures that people have when used as an add‐on treatment by people with drug‐resistant epilepsy. Results   We found four studies which had assessed clobazam as an add‐on treatment for drug‐resistant epilepsy. They included a total of 197 people. Two studies reported that more than half of the people given clobazam reached a 50% of greater reduction in the number of their seizures. Three of the studies reported how many people were seizure‐free whilst taking clobazam. In total, approximately 15% of people were seizure‐free when taking clobazam, compared to 0% when they were given placebo (a fake, inactive drug which should have no effect of epilepsy). All four studies reported how many people withdrew from treatment during the studies. Slightly more people withdrew from the studies when receiving clobazam (17 out of 197 people) than when receiving placebo (12 out of 197 people), but the rate of people withdrawing was still low overall. Clobazam was associated with side effects, in particular drowsiness. All four studies were of short duration. They used different methods, e.g. different lengths of treatment, and were of poor quality. The results suggest that clobazam reduces seizure frequency for people with drug‐resistant focal epilepsy (epilepsy that originates from one area of the brain), but there were not enough data to determine whether clobazam is as effective for generalised epilepsy (epilepsy involving the whole brain). The very low quality of the evidence provided by the four included studies means that we are very uncertain about whether the findings are accurate and, therefore, they must be taken and applied with caution. The evidence is current to October 2018.</t>
  </si>
  <si>
    <t>Introduction Surgery (oesophagectomy), with neoadjuvant chemo(radio)therapy, is the main curative treatment for patients with oesophageal cancer. Several surgical approaches can be used to remove an oesophageal tumour. The Ivor Lewis (two-phase procedure) is usually used in the UK. This can be performed as an open oesophagectomy (OO), a laparoscopically assisted oesophagectomy (LAO) or a totally minimally invasive oesophagectomy (TMIO). All three are performed in the National Health Service, with LAO and OO the most common. However, there is limited evidence about which surgical approach is best for patients in terms of survival and postoperative health-related quality of life. Methods and analysis We will undertake a UK multicentre randomised controlled trial to compare LAO with OO in adult patients with oesophageal cancer. The primary outcome is patient-reported physical function at 3 and 6 weeks postoperatively and 3 months after randomisation. Secondary outcomes include: postoperative complications, survival, disease recurrence, other measures of quality of life, spirometry, success of patient blinding and quality assurance measures. A cost-effectiveness analysis will be performed comparing LAO with OO. We will embed a randomised substudy to evaluate the safety and evolution of the TMIO procedure and a qualitative recruitment intervention to optimise patient recruitment. We will analyse the primary outcome using a multi-level regression model. Patients will be monitored for up to 3 years after their surgery. Ethics and dissemination This study received ethical approval from the South-West Franchay Research Ethics Committee. We will submit the results for publication in a peer-reviewed journal. Trial registration number ISRCTN10386621. Copyright © © Author(s) (or their employer(s)) 2019. Re-use permitted under CC BY. Published by BMJ.</t>
  </si>
  <si>
    <t>Introduction Currently, all people with diabetes (PWD) aged 12 years and over in the UK are invited for screening for diabetic retinopathy (DR) annually. Resources are not increasing despite a 5% increase in the numbers of PWD nationwide each year. We describe the rationale, design and methodology for a randomised controlled trial (RCT) evaluating the safety, acceptability and cost-effectiveness of personalised variable-interval risk-based screening for DR. This is the first randomised trial of personalised screening for DR and the largest ophthalmic RCT in the UK. Methods and analysis PWD attending seven screening clinics in the Liverpool Diabetic Eye Screening Programme were recruited into a single site RCT with a 1:1 allocation to individualised risk-based variable-interval or annual screening intervals. A risk calculation engine developed for the trial estimates the probability that an individual will develop referable disease (screen positive DR) within the next 6, 12 or 24 months using demographic, retinopathy and systemic risk factor data from primary care and screening programme records. Dynamic, secure, real-time data connections have been developed. The primary outcome is attendance for follow-up screening. We will test for equivalence in attendance rates between the two arms. Secondary outcomes are rates and severity of DR, visual outcomes, cost-effectiveness and health-related quality of life. The required sample size was 4460 PWD. Recruitment is complete, and the trial is in follow-up. Ethics and dissemination Ethical approval was obtained from National Research Ethics Service Committee North West - Preston, reference 14/NW/0034. Results will be presented at international meetings and published in peer-reviewed journals. This pragmatic RCT will inform screening policy in the UK and elsewhere. Trial registration number ISRCTN87561257; Pre-results. Copyright © 2019 BMJ Publishing Group Limited.</t>
  </si>
  <si>
    <t>Yoga as part of a package of care versus non‐standard care for schizophrenia</t>
  </si>
  <si>
    <t>- Background Yoga is an ancient body‐mind practice which originated in India and is popular in the Western world as a form of relaxation and exercise. It has been of interest for people with schizophrenia to determine the efficacy of yoga delivered as a package of care versus non‐standard care. Objectives To examine the effects of yoga as part of a package of care versus non‐standard care for schizophrenia. Search methods We searched the Cochrane Schizophrenia Group Trials Register (latest 15 May 2018) which is based on regular searches of MEDLINE, PubMed, Embase, CINAHL, BIOSS, AMED, PsychINFO, and registries of clinical trials. We searched the references of all included studies. There are no language, date, document type, or publication status limitations for inclusion of records in the register. Selection criteria All randomised controlled trials (RCTs) including people with schizophrenia comparing yoga as part of a package of care with non‐standard care. Data collection and analysis There were no data to analyse as no studies met the inclusion criteria. Main results The searches identified 30 studies that could be relevant to this review. After careful inspection, 29 were excluded and one is ongoing. No data were available for analyses. Authors' conclusions In view of the lack of evidence from RCTs, it is currently not possible for us to comment on the use of yoga as part of a package of care versus non‐standard care. Plain language summary Yoga as part of a package of care versus non‐standard care Review question Is yoga, delivered as part of a larger package of care, effective for people with schizophrenia compared with non‐standard care? Background Yoga involves physical postures and breathing exercises to promote balance between mind and body. Yoga has now been widely adopted as a method of relaxation and exercise for reduction of stress and promotion of health and feelings of well‐being. Schizophrenia is a serious mental illness where people experience symptoms such as hearing voices that are not there, poor emotional response and social withdrawal. Schizophrenia often affects people for long periods of their life and is treated primarily by antipsychotic medications. However, these medications are not always fully effective and some research suggests that yoga as an add‐on treatment could be beneficial and help improve the quality of life of people with schizophrenia. Yoga can be combined with other therapies such as counselling or other forms of exercise into a 'package of care'. Non‐standard care can consist of talking therapies, expressive therapies (art, dance, drama, music and writing) and other forms of exercise. Searching for evidence In May 2018, the Information Specialist for Cochrane Schizophrenia searched Cochrane Schizophrenia's specialised register of randomised controlled trials for trials of people with schizophrenia. Thirty studies were found that could be relevant. The review authors carefully inspected full‐text versions of these studies, checking that they were randomised controlled trials that randomised people with schizophrenia to receive, in addition to their ongoing care, either yoga as part of a package of care or another type of non‐standard care intervention. Twenty‐nine of these studies did not meet the above inclusion criteria and are excluded from the review. One study is 'ongoing' as data are not available at the moment. Key results Currently, there are no data available from randomised controlled trials regarding the effects of yoga as part of a package of care compared with non‐standard care for people with schizophrenia. Quality of the evidence Currenlty, there is no high‐quality evidence to support or discourage the use of yoga as part of a package of care versus non‐standard care. Schizophrenia is often a long‐term illness and studies which compare yoga packages to other types of therapies are necessary.</t>
  </si>
  <si>
    <t>BACKGROUND: Nurse shortages have been identified as central to workforce issues in healthcare systems globally and although interventions to increase the nursing workforce have been implemented, nurses leaving their roles, particularly in the first year after qualification, present a significant barrier to building the nurse workforce. OBJECTIVE(S): To evaluate the characteristics of successful interventions to promote retention and reduce turnover of early career nurses. DESIGN: This is a systematic review DATA SOURCES: Online databases including Academic Search Complete, Medline, Health Policy reference Centre, EMBASE, Psychinfo, CINAHL and the Cochran Library were searched to identify relevant publications in English published between 2001 and April 2018. Studies included evaluated an intervention to increase retention or reduce turnover and used turnover or retention figures as a measure. REVIEW METHODS: The review was conducted according to the Preferred Reporting Items for Systematic Reviews and Meta-analyses (PRISMA) guidelines. Studies were quality-assessed using the Joanna Briggs Institute Critical Appraisal tools for Quasi Experimental and Randomised Controlled Trials. Retention/turnover data were used to guide the comparison between studies and appropriate measures of central tendency and dispersion were calculated and presented, based on the normality of the data. RESULT(S): A total of 11, 656 papers were identified, of which 53 were eligible studies. A wide variety of interventions and components within those interventions were identified to improve nurse retention. Promising interventions appear to be either internship/residency programmes or orientation/transition to practice programmes, lasting between 27-52 weeks, with a teaching and preceptor and mentor component. CONCLUSION(S): Methodological issues impacted on the extent to which conclusions could be drawn, even though a large number of studies were identified. Future research should focus on standardising the reporting of interventions and outcome measures used to evaluate these interventions and carrying out further research with rigorous methodology. Clinical practice areas are recommended to assess their current interventions against the identified criteria to guide development of their effectiveness. Evaluations of cost-effectiveness are considered an important next step to maximise return on investment. Copyright © 2019 Elsevier Ltd. All rights reserved.</t>
  </si>
  <si>
    <t>API_Include</t>
  </si>
  <si>
    <t>API_Exclude</t>
  </si>
  <si>
    <t>FF_Include</t>
  </si>
  <si>
    <t>FF_Exclude</t>
  </si>
  <si>
    <t>Confusion Matrix</t>
  </si>
  <si>
    <t>Accuracy</t>
  </si>
  <si>
    <t>Precision</t>
  </si>
  <si>
    <t>True Positives</t>
  </si>
  <si>
    <t>True Negatives</t>
  </si>
  <si>
    <t>False Positives</t>
  </si>
  <si>
    <t>False Negatives</t>
  </si>
  <si>
    <t>Notes</t>
  </si>
  <si>
    <t>Exclude</t>
  </si>
  <si>
    <t>Id_flag</t>
  </si>
  <si>
    <t>Objectives: The fluocinolone acetonide 0.2 mug/day implant (FAc) is effective in improving visual acuity in patients with chronic diabetic macular oedema (cDMO) but is associated with worsening of cataract. A model previously suggested that FAc is cost-effective in patients with cDMO, who have undergone cataract surgery or not. The aim of this study was to update this model and assess the cost-effectiveness of FAc in the subgroup of patients with symptomatic cataract. Method(s): The existing Markov model was designed to assess costs and QALYs over lifetime in patients treated with FAc implant, compared to usual care (UC), consisting of laser photocoagulation and anti-VEGFs from the UK NHS perspective. Unit costs and health state utility values (HSUVs) were updated. The FAc price was NHS list price. HSUVs were obtained from the FAME trial using the VFQ-UI utility index. Best-Corrected Visual Acuity (BCVA) with UC was supposed to be stable. Additional scenarios were considered, with BCVA decreasing over time in UC arm, according to real-world data, and with possibility of administering FAc after cataract surgery in the UC arm. Result(s): New HSUVs ranged from 0.48 for blind patients to 0.91 for patients with perfect vision in both eyes. The FAc strategy was more expensive compared to usual care, by 3,445 per patients over lifetime, and produced more QALYs (+0.247). The incremental cost-effectiveness ratio (ICER) was estimated at 13,932 per QALY gained. The ICER was sensitive to the baseline visual acuity, patients' age and the probability of cataract surgery. The probability of FAc being cost-effective was 66.1% at a threshold of 20,000 per QALY gained. Scenario analyses showed that the efficacy of UC had a strong influence on results, and ICER decreased to 1,686 per QALY gained when BCVA decreased under UC Conclusion(s): The FAc implant is a cost-effective treatment for cDMO in patients with symptomatic cataract. Copyright Ãƒâ€šÃ‚Â© 2019</t>
  </si>
  <si>
    <t>To estimate the life-cycle value of risperidone - representative of Second-Generation Antipsychotics- relative to First Generation Antipsychotics to balance the view that cost per Quality-Adjusted Life Year (QALY) at launch are enough to guide access decisions. Study aims to drive the discussion on access and price, through recognition of the dynamic nature of value added by pharmaceutical innovation over the long-run. We estimated the number of patients with schizophrenia treated with risperidone in Sweden and the UK (1994-2017). We collected cost-effectiveness data from the literature of risperidone and haloperidol - representative of First-Generation Antipsychotics. We modelled the life-cycle uptake of risperidone to estimate the life-cycle incremental cost, incremental QALYs and Net monetary Benefit (NMB). We also assessed the life-cycle distribution of the consumer (the payer) and the producer (innovator) surpluses. For the UK, the producer surplus represents around 28% of the total surplus before patent expiration and around 5% after patent expiration. Life-cycle NMB for the health system is estimated at 1,116m. During the life-cycle, the NMB significantly increased in response to two events: (i) the launch of Risperidone Long-Acting Injectable (RLAI); and (ii) generic entry. The ICER was negative (dominant) for the whole period. For Sweden, the producer surplus represents around 6% of the total surplus before patent expiration and around 1% after generic competition. Life-cycle NMB is estimated at 803m, and both NMB and ICER follow the same pattern as in the UK. Analysis shows that health systems appropriated most of the life-cycle value (surplus) generated. This suggests that, considering the entire life-cycle, the value added by SGAs to the system is higher than the value estimated using cost-effectiveness analysis at launch. Pricing and reimbursement decisions should take into account the dynamic nature of pharmaceutical markets and the value added by innovative medicines over the long-run. Copyright Ãƒâ€šÃ‚Â© 2019</t>
  </si>
  <si>
    <t>Background/Aims: Uveitis is inflammation inside the eye. Our objective was to assess the cost-effectiveness of adalimumab compared with current practice (immunosuppressants and systemic corticosteroids) in patients with non-infectious intermediate, posterior or panuveitis and to identify areas for future research. Method(s): A Markov model was built to estimate costs and benefits of the interventions. Systematic reviews were performed to identify the available relevant clinical and cost-effectiveness evidence. Data collected in two key randomised controlled trials (VISUAL I and VISUAL II) were used to estimate the interventions' effectiveness compared with the trials' comparator arms (placebo plus limited current practice (LCP)). The analysis was performed from the National Health Service and Personal Social Services perspective. Costs were calculated based on standard UK sources. Result(s): The estimated incremental cost-effectiveness ratios (ICERs) of adalimumab versus LCP for the base case are 92 600 and 318 075 per quality-adjusted life year (QALY) gained for active and inactive uveitis, respectively. In sensitivity analyses, the ICER varied from 15 579 to 120 653 and 35 642 to 800 775 per QALY for active and inactive uveitis. Conclusion(s): The estimated ICERs of adalimumab versus LCP are above generally accepted thresholds for cost-effectiveness in the UK. Adalimumab may be more cost-effective in patients with active uveitis at greater risk of blindness. However, there is an unmet need for additional primary data to provide more reliable estimates in several important areas, including effectiveness of adalimumab versus current practice (instead of LCP), incidence of long-term blindness, adalimumab effectiveness in avoiding blindness, and rates and time to remission while on adalimumab. Copyright Ãƒâ€šÃ‚Â© 2019 Author(s).</t>
  </si>
  <si>
    <t>Objective To compare the efficacy, safety, and cost utility of continuous subcutaneous insulin infusion (CSII) with multiple daily injection (MDI) regimens during the first year following diagnosis of type 1 diabetes in children and young people. Design Pragmatic, multicentre, open label, parallel group, randomised controlled trial and economic evaluation. Setting 15 paediatric National Health Service (NHS) diabetes services in England and Wales. The study opened to recruitment in May 2011 and closed in January 2017. Participants Patients aged between 7 months and 15 years, with a new diagnosis of type 1 diabetes were eligible to participate. Patients who had a sibling with the disease, and those who took drug treatments or had additional diagnoses that could have affected glycaemic control were ineligible. Interventions Participants were randomised, stratified by age and treating centre, to start treatment with CSII or MDI within 14 days of diagnosis. Starting doses of aspart (CSII and MDI) and glargine or detemir (MDI) were calculated according to weight and age, and titrated according to blood glucose measurements and according to local clinical practice. Main outcome measures Primary outcome was glycaemic control (as measured by glycated haemoglobin; HbA1c) at 12 months. Secondary outcomes were percentage of patients in each treatment arm with HbA1c within the national target range, incidence of severe hypoglycaemia and diabetic ketoacidosis, change in height and body mass index (as measured by standard deviation scores), insulin requirements (units/kg/day), partial remission rate (insulin dose adjusted HbA1c &lt;9), paediatric quality of life inventory score, and cost utility based on the incremental cost per quality adjusted life year (QALY) gained from an NHS costing perspective. Results 294 participants were randomised and 293 included in intention to treat analyses (CSI, n=144; MDI, n=149). At 12 months, mean HbA1c was comparable with clinically unimportant differences between CSII and MDI participants (60.9 mmol/mol v 58.5 mmol/mol, mean difference 2.4 mmol/mol (95% confidence interval -0.4 to 5.3), P=0.09). Achievement of HbA1c lower than 58 mmol/mol was low among the two groups (66/143 (46%) CSII participants v 78/142 (55%) MDI participants; relative risk 0.84 (95% confidence interval 0.67 to 1.06)). Incidence of severe hypoglycaemia and diabetic ketoacidosis were low in both groups. Fifty four non-serious and 14 serious adverse events were reported during CSII treatment, and 17 non-serious and eight serious adverse events during MDI treatment. Parents (but not children) reported superior PedsQL scores for those patients treated with CSII compared to those treated with MDI. CSII was more expensive than MDI by 1863 (2179; $2474; 95% confidence interval 1620 to 2137) per patient, with no additional QALY gains (difference -0.006 (95% confidence interval -0.031 to 0.018)). Conclusion During the first year following type 1 diabetes diagnosis, no clinical benefit of CSII over MDI was identified in children and young people in the UK setting, and treatment with either regimen was suboptimal in achieving HbA1c thresholds. CSII was not cost effective. Trial registration Current Controlled Trials ISRCTN29255275; European Clinical Trials Database 2010-023792-25. Copyright Ãƒâ€šÃ‚Â© Published by the BMJ Publishing Group Limited.</t>
  </si>
  <si>
    <t>Introduction - Abdominal aortic aneurysm (AAA) screening programmes have been established for men in several countries. Whether screening should be extended to women is uncertain. The objective of this study was to evaluate the cost-effectiveness of population screening for AAA in women, and compare a range of screening options. Methods - A discrete event simulation model was developed to provide a clinically realistic model of screening, surveillance, and elective and emergency AAA repair in women. Input parameters specifically for women were obtained from surgical registries, published literature and national administrative datasets. Screening was modelled for women aged 65 years or over. The model was run for 10-million women, with parameter uncertainty addressed by probabilistic and deterministic sensitivity analyses. UK costs in pounds sterling were converted to Euros based on 2016 average OECD purchasing power parity. Results - The prevalence of AAA (aortic diameter 33.0cm) was estimated as 0.43% in women aged 65 years and 1.15% at age 75. The corresponding attendance rates following invitation to screening were estimated as 73% and 62%. The base-case model adopted the same age at screening (65 years), definition of AAA (33.0cm), surveillance intervals (1 year for 3.0-4.4cm AAAs, 3 months for 4.5-5.4cm) and AAA diameter for consideration of surgery (5.5cm) as in the UK NHS AAA screening programmes. For screening at age 65, per woman invited to screening, the estimated gain in QALYs was 0.00075 (just under one day of life per woman screened), and the incremental cost was 33.51 (36.33) (all values discounted). This gave an incremental cost-effectiveness ratio (ICER) of 45,000 (48,782) per quality-adjusted life-year (QALY) gained (current UK threshold for implementation approximately 20,000 (21,681)). Under the base-case model around 2800 women would need to be invited to screening to prevent one death from AAA and screening would cost 100,000 (108,406) per death from AAA prevented (non-discounted). Sensitivity analyses did not bring the ICER below 20,000 per QALY gained, with the exception of doubling the AAA prevalence to 0.86% where the ICER was 18,000 (19,513). Alternative screening options (increasing the screening age to 70 years, lowering the threshold for considering surgery to 5.0 or 4.5cm, lowering the diameter defining an AAA in women to 2.5cm, and lengthening the surveillance intervals for the smallest AAAs) did not bring the ICER below 30,000 (32,522) per QALY gained when considered either singly or in combination. Conclusion - The current UK cost-effectiveness criteria for a population-based AAA screening programme in women are not currently met. Copyright Ãƒâ€šÃ‚Â© 2019</t>
  </si>
  <si>
    <t>- Background Early dental decay or demineralised lesions (DLs, also known as white spot lesions) can appear on teeth during fixed orthodontic (brace) treatment. Fluoride reduces decay in susceptible individuals, including orthodontic patients. This review compared various forms of topical fluoride to prevent the development of DLs during orthodontic treatment. This is the second update of the Cochrane Review first published in 2004 and previously updated in 2013. Objectives The primary objective was to evaluate whether topical fluoride reduces the proportion of orthodontic patients with new DLs after fixed appliances. The secondary objectives were to examine the effectiveness of different modes of topical fluoride delivery in reducing the proportions of orthodontic patients with new DLs, as well as the severity of lesions, in terms of number, size and colour. ParticipantÃƒÂ¢Ã¢â€šÂ¬Ã‚Âassessed outcomes, such as perception of DLs, and oral healthÃƒÂ¢Ã¢â€šÂ¬Ã‚Ârelated quality of life data were to be included, as would reports of adverse effects. Search methods Cochrane Oral Health's Information Specialist searched the following databases: Cochrane Oral Health's Trials Register (to 1 February 2019), the Cochrane Central Register of Controlled Trials (CENTRAL; 2019, Issue 1) in the Cochrane Library (searched 1 February 2019), MEDLINE Ovid (1946 to 1 February 2019), and Embase Ovid (1980 to 1 February 2019). The US National Institutes of Health Ongoing Trials Register (ClinicalTrials.gov) and the World Health Organization International Clinical Trials Registry Platform were searched for ongoing trials. No restrictions were placed on the language or date of publication when searching the electronic databases. Selection criteria ParallelÃƒÂ¢Ã¢â€šÂ¬Ã‚Âgroup, randomised controlled trials comparing the use of a fluorideÃƒÂ¢Ã¢â€šÂ¬Ã‚Âcontaining product versus a placebo, no treatment or a different type of fluoride treatment, in which the outcome of enamel demineralisation was assessed at the start and at the end of orthodontic treatment. Data collection and analysis At least two review authors independently, in duplicate, conducted risk of bias assessments and extracted data. Authors of trials were contacted to obtain missing data or to ask for clarification of aspects of trial methodology. Cochrane's statistical guidelines were followed. Main results This update includes 10 studies and contains data from nine studies, comparing eight interventions, involving 1798 randomised participants (1580 analysed). One report contained insufficient information and the authors have been contacted. We assessed two studies as at low risk of bias, six at unclear risk of bias, and two at high risk of bias. Two placebo (nonÃƒÂ¢Ã¢â€šÂ¬Ã‚Âfluoride) controlled studies, at low risk of bias, investigated the professional application of varnish (7700 or 10,000 parts per million (ppm) fluoride (F)), every six weeks and found insufficient evidence of a difference regarding its effectiveness in preventing new DLs (risk ratio (RR) 0.52, 95% confidence interval (CI) 0.14 to 1.93; 405 participants; lowÃƒÂ¢Ã¢â€šÂ¬Ã‚Âcertainty evidence). One placebo (nonÃƒÂ¢Ã¢â€šÂ¬Ã‚Âfluoride) controlled study, at unclear risk of bias, provides a low level of certainty that fluoride foam (12,300 ppm F), professionally applied every two months, may reduce the incidence of new DLs (12% versus 49%) after fixed orthodontic treatment (RR 0.26, 95% CI 0.11 to 0.57; 95 participants). One study, at unclear risk of bias, also provides a low level of certainty that use of a highÃƒÂ¢Ã¢â€šÂ¬Ã‚Âconcentration fluoride toothpaste (5000 ppm F) by patients may reduce the incidence of new DLs (18% versus 27%) compared with a conventional fluoride toothpaste (1450 ppm F) (RR 0.68, 95% CI 0.46 to 1.00; 380 participants). There was no evidence for a difference in the proportions of orthodontic patients with new DLs on the teeth after treatment with fixed orthodontic appliances for the following comparisons:ÃƒÂ¢Ã¢â€šÂ¬Ã‚Â¨ ÃƒÂ¢Ã¢â€šÂ¬Ã‚Â an amine fluoride and stannous fluoride toothpaste/mouthrinse combination versus a sodium fluoride toothpaste/mouthrinse,ÃƒÂ¢Ã¢â€šÂ¬Ã‚Â¨ ÃƒÂ¢Ã¢â€šÂ¬Ã‚Â an amine fluoride gel versus a nonÃƒÂ¢Ã¢â€šÂ¬Ã‚Âfluoride placebo applied by participants at home once a week and by professional application every three months,ÃƒÂ¢Ã¢â€šÂ¬Ã‚Â¨ ÃƒÂ¢Ã¢â€šÂ¬Ã‚Â resinÃƒÂ¢Ã¢â€šÂ¬Ã‚Âmodified glass ionomer cement versus lightÃƒÂ¢Ã¢â€šÂ¬Ã‚Âcured composite resin for bonding orthodontic brackets,ÃƒÂ¢Ã¢â€šÂ¬Ã‚Â¨ ÃƒÂ¢Ã¢â€šÂ¬Ã‚Â a 250 ppm F mouthrinse versus 0 ppm F placebo mouthrinse,ÃƒÂ¢Ã¢â€šÂ¬Ã‚Â¨ ÃƒÂ¢Ã¢â€šÂ¬Ã‚Â the use of an intraoral fluorideÃƒÂ¢Ã¢â€šÂ¬Ã‚Âreleasing glass bead device attached to the brace versus a daily fluoride mouthrinse. The last two comparisons involved studies that were assessed at high risk of bias, because a substantial number of participants were lost to followÃƒÂ¢Ã¢â€šÂ¬Ã‚Âup. Unfortunately, although the internal validity and hence the quality of the studies has improved since the first version of the review, they have compared different interventions; therefore, the findings are only considered to provide low level of certainty, because none has been replicated by followÃƒÂ¢Ã¢â€šÂ¬Ã‚Âup studies, in different settings, to confirm external validity. A patientÃƒÂ¢Ã¢â€šÂ¬Ã‚Âreported outcome, such as concern about the aesthetics of any DLs, was still not included as an outcome in any study. Reports of adverse effects from topical fluoride applications were rare and unlikely to be significant. One study involving fluorideÃƒÂ¢Ã¢â€šÂ¬Ã‚Âcontaining glass beads reported numerous breakages. Authors' conclusions This review found a low level of certainty that 12,300 ppm F foam applied by a professional every 6 to 8 weeks throughout fixed orthodontic treatment, might be effective in reducing the proportion of orthodontic patients with new DLs. In addition, there is a low level of certainty that the patient use of a high fluoride toothpaste (5000 ppm F) throughout orthodontic treatment, might be more effective than a conventional fluoride toothpaste. These two comparisons were based on single studies. There was insufficient evidence of a difference regarding the professional application of fluoride varnish (7700 or 10,000 ppm F). Further adequately powered, randomised controlled trials are required to increase the certainty of these findings and to determine the best means of preventing DLs in patients undergoing fixed orthodontic treatment. The most accurate means of assessing adherence with the use of fluoride products by patients and any possible adverse effects also need to be considered. Future studies should follow up participants beyond the end of orthodontic treatment to determine the effect of DLs on patient satisfaction with treatment. Plain language summary Fluorides for preventing early tooth decay (demineralised lesions) during fixed brace treatment Review question ÃƒÂ¢Ã¢â€šÂ¬Ã‚Â¨ Ugly white or brown marks sometimes appear on the teeth during treatment with braces to straighten teeth. These are due to early tooth decay and usually occur with fixed, gluedÃƒÂ¢Ã¢â€šÂ¬Ã‚Âon 'train track', braces, which make it more difficult to clean the teeth. We know that fluoride in toothpaste helps to prevent tooth decay and think that if extra fluoride is given to people wearing fixed braces, it will protect them from getting these marks. The aim of this Cochrane Oral Health's review was to look at how well fluorides help to prevent early tooth decay during fixed brace treatment and to find out the best way to get fluoride to the teeth. Background ÃƒÂ¢Ã¢â€šÂ¬Ã‚Â¨ Wearing a fixed brace makes it harder for people to keep their teeth clean and may also cause pain. Pain can make it more difficult for people to brush their teeth. This can lead to a buildÃƒÂ¢Ã¢â€šÂ¬Ã‚Âup of dental plaque around the brackets that attach the fixed brace to the teeth, and if the plaque stays on the tooth for long enough, it will cause early tooth decay, which looks like white or brown marks (demineralised lesions, also known as white spot lesions). People often wear braces for 18 months or longer and if the decay is left to progress, it can cause holes, which are sometimes bad enough to need fillings to be done in the teeth. Fluoride helps the tooth to heal, reducing tooth decay in people who are at risk of developing it. People receiving fixed brace treatment may be given different forms of fluoride treatment. It is important to think about how the fluoride gets to the teeth. Does the fluoride need to be placed by a dentist or dental nurse, or can people having treatment with braces apply the fluoride to their own teeth? Study characteristics ÃƒÂ¢Ã¢â€šÂ¬Ã‚Â¨ This review is upÃƒÂ¢Ã¢â€šÂ¬Ã‚ÂtoÃƒÂ¢Ã¢â€šÂ¬Ã‚Âdate as of 1 February 2019. The review includes 10 studies but we could only use the information from nine studies involving 1798 randomised people. We have asked for more information about one study. The review looks at eight different ways of applying fluoride to the teeth. People taking part in the studies were all having treatment with fixed braces. The number of people with new decay on the teeth at end of fixed brace treatment, as well as the amount of decay in each person, were measured and counted. We compared the following treatments:ÃƒÂ¢Ã¢â€šÂ¬Ã‚Â¨ ÃƒÂ¢Ã¢â€šÂ¬Ã‚Â dentist or nurseÃƒÂ¢Ã¢â€šÂ¬Ã‚Âapplied fluoride e.g. varnish, gel or foam,ÃƒÂ¢Ã¢â€šÂ¬Ã‚Â¨ ÃƒÂ¢Ã¢â€šÂ¬Ã‚Â patientÃƒÂ¢Ã¢â€šÂ¬Ã‚Âapplied/used fluoride e.g. toothpaste, mouthwash, gel or foam, andÃƒÂ¢Ã¢â€šÂ¬Ã‚Â¨ ÃƒÂ¢Ã¢â€šÂ¬Ã‚Â materials that release fluoride over time e.g. glues, elastic bands. Key results ÃƒÂ¢Ã¢â€šÂ¬Ã‚Â¨ One study showed that when the dentist applies a foam with a high level of fluoride in it onto the teeth every time the patient is seen, this might reduce the risk of new decay. Another study found that if patients use a toothpaste with a higher level of fluoride than normal, then this might also reduce the risk of new marks on their teeth. No studies have shown that other ways of giving the teeth extra fluoride reduced the number and/or size of new decay on teeth in people wearing fixed braces. Harmful effects of the different ways of giving the teeth more fluoride were not reported in any of the included studies. Certainty of the evidence ÃƒÂ¢Ã¢â€šÂ¬Ã‚Â¨ The level of belief we have in these findings is low, due to the lack of studies testing the same fluorides and showing the same results. We suggest that more, wellÃƒÂ¢Ã¢â€šÂ¬Ã‚Âconducted studies should be done in this area.</t>
  </si>
  <si>
    <t>- Background Fetal fibronectin (FFN) is an extracellular matrix glycoprotein localized at the maternalÃƒÂ¢Ã¢â€šÂ¬Ã‚Âfetal interface of the amniotic membranes, between chorion and decidua, where it is concentrated in this area between decidua and trophoblast. In normal conditions, FFN is found at very low levels in cervicovaginal secretions. Levels greater than or equal to 50 ng/mL at or after 22 weeks have been associated with an increased risk of spontaneous preterm birth. In fact, FFN is one of the best predictors of preterm birth in all populations studied so far, and can help in selecting which women are at significant risk for preterm birth. This is an update of a review first published in 2008. Objectives To assess the effectiveness of management based on knowledge of FFN testing results for preventing preterm birth. Search methods For this update, we searched Cochrane Pregnancy and ChildbirthÃƒÂ¢Ã¢â€šÂ¬Ã¢â€žÂ¢s Trials Register (7 September 2018), ClinicalTrials.gov , the WHO International Clinical Trials Registry Platform ( ICTRP ) (7 September 2018), and reference lists of retrieved studies. Selection criteria Randomized controlled trials of pregnant women screened with FFN for risk of preterm birth. Studies included are based exclusively on knowledge of FFN results versus no such knowledge, and we have excluded studies including women with only positive or only negative FFN results. Data collection and analysis Two review authors independently assessed trials for inclusion and risk of bias, extracted data, and checked them for accuracy. The quality of the evidence was assessed using the GRADE approach. Main results We identified 16 trials, of which six were eligible for inclusion. The six included studies randomized 546 women with singleton gestations and threatened preterm labor (PTL) at 23 0/7 to 34 6/7 weeks. A total of 277 women were randomized to knowledge and 269 to no knowledge of FFN. No trials were identified on asymptomatic women or multiple gestations. The risk of bias of included studies was mixed. For selected important outcomes, preterm birth before 37, 34, and 32 weeks, and maternal hospitalization, we graded the quality of the evidence and created a 'Summary of findings' table. For these outcomes, the evidence was graded as mainly low quality due to the imprecision of effect estimates. Management based on knowledge of FFN results may reduce preterm birth before 37 weeks (20.7%) versus controls without such knowledge (29.2%) (risk ratio (RR) 0.72, 95% confidence interval (CI) 0.52 to 1.01; 5 trials; 434 women; lowÃƒÂ¢Ã¢â€šÂ¬Ã‚Âquality evidence). However, management based on knowledge of FFN results may make little or no difference to preterm birth before 34 (RR 1.09, 95% CI 0.54 to 2.18; 4 trials; 357 women; lowÃƒÂ¢Ã¢â€šÂ¬Ã‚Âquality evidence) or maternal hospitalization (RR 1.06, 95% CI 0.79 to 1.43; 5 trials; 441 women; lowÃƒÂ¢Ã¢â€šÂ¬Ã‚Âquality evidence). The evidence for preterm birth before 32 weeks is uncertain because the quality was found to be very low (average RR 0.79, 95% CI 0.16 to 3.96; 4 trials; 357 women; very lowÃƒÂ¢Ã¢â€šÂ¬Ã‚Âquality evidence). For all other outcomes, for which there were available data (preterm birth less than 28 weeks; gestational age at delivery (weeks); birthweight less than 2500 g; perinatal death; tocolysis; steroids for fetal lung maturity; time to evaluate; respiratory distress syndrome; neonatal intensive care unit (NICU) admission; and NICU days), knowledge of FFN results may make little or no difference to the outcomes. Authors' conclusions The evidence from this review suggests that management based on knowledge of FFN results may reduce preterm birth before 37 weeks. However, our confidence in this result is limited as the evidence was found to be of low quality. Effects on other substantive outcomes are uncertain due to serious concerns in study design, inconsistency, and imprecision of effect estimates. No trials were identified on asymptomatic women, or multiple gestations. Future studies are needed that include specific populations (e.g. singleton gestations with symptoms of preterm labor), a study gro p managed with a protocol based on the FFN results, and that report not only maternal but also important perinatal outcomes. CostÃƒÂ¢Ã¢â€šÂ¬Ã‚Âeffectiveness analyses are also needed. Plain language summary Fetal fibronectin testing for reducing the risk of preterm birth What is the issue? To assess the effectiveness of management of pregnant women based on a knowledge of fetal fibronectin test results for preventing preterm birth, compared with not having that knowledge. Fetal fibronectin (FFN) acts as a ÃƒÂ¢Ã¢â€šÂ¬Ã‹Å“glueÃƒÂ¢Ã¢â€šÂ¬Ã¢â€žÂ¢ between the pregnancy and the uterus. Normally very low levels of FFN can be found in secretions of the vagina and cervix. Raised levels at or after 22 weeks have been associated with an increased risk of spontaneous preterm birth. Why is this important? Preterm birth before 37 weeks is the main cause of sickness and death for newborn infants. Most women who give birth preterm have preterm labor symptoms such as contractions but many of the women with symptoms go on to deliver at term (37 weeks or more). Fetal fibronectin (FFN) is a test that can identify the women with symptoms of preterm labor who are most at risk for preterm birth. The level of FFN is measured in secretions from the vagina or cervix. What evidence did we find? We found six randomised controlled studies involving 546 women who were pregnant with one baby and were showing signs of preterm labor at between 23 to 34 weeks' gestation. We graded the following evidence as mainly low quality because of the low number of women in the studies and a wide variation in findings. We found that the number of births before 37 weeks may be slightly reduced when women and their doctors know the results of the FFN test (20.7% versus 29.2%; 5 trials; 434 women). However, knowledge of FFN results may make little or no difference for the other outcomes with available data, including: maternal hospitalization (5 trials; 441 women); use of uterine relaxants (tocolysis) to try to prevent labor; earlier preterm births; womenÃƒÂ¢Ã¢â€šÂ¬Ã¢â€žÂ¢s gestational age at delivery; babies with a birthweight less than 2500 g; newborn deaths; the number of babies with respiratory distress syndrome; giving steroids to mature the unborn babiesÃƒÂ¢Ã¢â€šÂ¬Ã¢â€žÂ¢ lungs; and number of days in a neonatal intensive care unit (NICU). What does this mean? This review of six studies did not find enough evidence to say whether or not the FFN test should be used in the management of women showing signs of preterm labor. A screening test such as FFN can only be considered effective if interventions based on the screening results, such as giving drugs to relax the uterus, reduce the number of preterm births. Further research should be encouraged.</t>
  </si>
  <si>
    <t>Treatment for hepatorenal syndrome in people with decompensated liver cirrhosis: a network metaÃƒÂ¢Ã¢â€šÂ¬Ã‚Âanalysis</t>
  </si>
  <si>
    <t>- Background Hepatorenal syndrome is defined as renal failure in people with cirrhosis in the absence of other causes. In addition to supportive treatment such as albumin to restore fluid balance, the other potential treatments include systemic vasoconstrictor drugs (such as vasopressin analogues or noradrenaline), renal vasodilator drugs (such as dopamine), transjugular intrahepatic portosystemic shunt (TIPS), and liver support with molecular adsorbent recirculating system (MARS). There is uncertainty over the best treatment regimen for hepatorenal syndrome. Objectives To compare the benefits and harms of different treatments for hepatorenal syndrome in people with decompensated liver cirrhosis. Search methods We searched CENTRAL, MEDLINE, Embase, Science Citation Index Expanded, World Health Organization International Clinical Trials Registry Platform, and trial registers until December 2018 to identify randomised clinical trials on hepatorenal syndrome in people with cirrhosis. Selection criteria We included only randomised clinical trials (irrespective of language, blinding, or publication status) in adults with cirrhosis and hepatorenal syndrome. We excluded randomised clinical trials in which participants had previously undergone liver transplantation. Data collection and analysis Two authors independently identified eligible trials and collected data. The outcomes for this review included mortality, serious adverse events, any adverse events, resolution of hepatorenal syndrome, liver transplantation, and other decompensation events. We performed a network metaÃƒÂ¢Ã¢â€šÂ¬Ã‚Âanalysis with OpenBUGS using Bayesian methods and calculated the odds ratio (OR), rate ratio, hazard ratio (HR), and mean difference (MD) with 95% credible intervals (CrI) based on an availableÃƒÂ¢Ã¢â€šÂ¬Ã‚Âcase analysis, according to National Institute of Health and Care Excellence Decision Support Unit guidance. Main results We included a total of 25 trials (1263 participants; 12 interventions) in the review. TwentyÃƒÂ¢Ã¢â€šÂ¬Ã‚Âthree trials (1185 participants) were included in one or more outcomes. All the trials but two were at high risk of bias, and all the evidence was of low or very low certainty. The trials included participants with liver cirrhosis of varied aetiologies as well as a mixture of type I hepatorenal syndrome only, type II hepatorenal syndrome only, or people with both type I and type II hepatorenal syndrome. Participant age ranged from 42 to 60 years, and the proportion of females ranged from 5.8% to 61.5% in the trials that reported this information. The followÃƒÂ¢Ã¢â€šÂ¬Ã‚Âup in the trials ranged from one week to six months. Overall, 59% of participants died during this period and about 35% of participants recovered from hepatorenal syndrome. The most common interventions compared were albumin plus terlipressin, albumin plus noradrenaline, and albumin alone. There was no evidence of a difference in mortality (22 trials; 1153 participants) at maximal followÃƒÂ¢Ã¢â€šÂ¬Ã‚Âup between the different interventions. None of the trials reported healthÃƒÂ¢Ã¢â€šÂ¬Ã‚Ârelated quality of life. There was no evidence of differences in the proportion of people with serious adverse events (three trials; 428 participants), number of participants with serious adverse events per participant (two trials; 166 participants), proportion of participants with any adverse events (four trials; 402 participants), the proportion of people who underwent liver transplantation at maximal followÃƒÂ¢Ã¢â€šÂ¬Ã‚Âup (four trials; 342 participants), or other features of decompensation at maximal followÃƒÂ¢Ã¢â€šÂ¬Ã‚Âup (one trial; 466 participants). Five trials (293 participants) reported number of any adverse events, and five trials (219 participants) reported treatment costs. Albumin plus noradrenaline had fewer numbers of adverse events per participant (rate ratio 0.51, 95% CrI 0.28 to 0.87). Eighteen trials (1047 participants) reported recovery from hepatorenal syndrome (as per definition of hepatorenal syndrome). In terms of recovery from hepatorenal syndrome, in the direct comparisons, albumin plus midodrine plus octreotide and albumin plus octreotide had lower recovery from hepatorenal syndrome than albumin plus terlipressin (HR 0.04; 95% CrI 0.00 to 0.25 and HR 0.26, 95% CrI 0.07 to 0.80 respectively). There was no evidence of differences between the groups in any of the other direct comparisons. In the network metaÃƒÂ¢Ã¢â€šÂ¬Ã‚Âanalysis, albumin and albumin plus midodrine plus octreotide had lower recovery from hepatorenal syndrome compared with albumin plus terlipressin. Funding: two trials were funded by pharmaceutical companies; five trials were funded by parties who had no vested interest in the results of the trial; and 18 trials did not report the source of funding. Authors' conclusions Based on very lowÃƒÂ¢Ã¢â€šÂ¬Ã‚Âcertainty evidence, there is no evidence of benefit or harm of any of the interventions for hepatorenal syndrome with regards to the following outcomes: allÃƒÂ¢Ã¢â€šÂ¬Ã‚Âcause mortality, serious adverse events (proportion), number of serious adverse events per participant, any adverse events (proportion), liver transplantation, or other decompensation events. LowÃƒÂ¢Ã¢â€šÂ¬Ã‚Âcertainty evidence suggests that albumin plus noradrenaline had fewer 'any adverse events per participant' than albumin plus terlipressin. LowÃƒÂ¢Ã¢â€šÂ¬Ã‚Â or very lowÃƒÂ¢Ã¢â€šÂ¬Ã‚Âcertainty evidence also found that albumin plus midodrine plus octreotide and albumin alone had lower recovery from hepatorenal syndrome compared with albumin plus terlipressin. Future randomised clinical trials should be adequately powered; employ blinding, avoid postÃƒÂ¢Ã¢â€šÂ¬Ã‚Ârandomisation dropouts or planned crossÃƒÂ¢Ã¢â€šÂ¬Ã‚Âovers (or perform an intentionÃƒÂ¢Ã¢â€šÂ¬Ã‚ÂtoÃƒÂ¢Ã¢â€šÂ¬Ã‚Âtreat analysis); and report clinically important outcomes such as mortality, healthÃƒÂ¢Ã¢â€šÂ¬Ã‚Ârelated quality of life, adverse events, and recovery from hepatorenal syndrome. Albumin plus noradrenaline and albumin plus terlipressin appear to be the interventions that should be compared in future trials. Plain language summary Treatment of hepatorenal syndrome What is the aim of this Cochrane review? To find out the best treatment for decreased kidney function (hepatorenal syndrome) in people with liver cirrhosis (a form of advanced liver disease with scarring of the liver) with complications. The authors collected and analysed all relevant studies to answer this question and found 25 randomised controlled trials (participants receive the treatment based on method similar to coin toss or lottery; this is to ensure that the people who receive the different treatments are similar in all aspects except the treatment, so that any differences in the results between the treatments can be attributed to the treatment rather than differences in the type of people who received the treatment). During analysis of data, authors used standard Cochrane techniques, which allows comparison of two treatments at a time. Authors also used advanced techniques, that allow comparison of many treatments at the same time (usually referred as 'network metaÃƒÂ¢Ã¢â€šÂ¬Ã‚Âanalysis' or 'multiple treatment comparisons'). The aim is to gather reliable evidence on the relative benefits and harms of the different treatments. Date of literature search ÃƒÂ¢Ã¢â€šÂ¬Ã‚Â¨ December 2018 Key messages ÃƒÂ¢Ã¢â€šÂ¬Ã‚Â¨ Only two studies were conducted well. The remaining studies had one or more flaws. Therefore, there is high uncertainty in the results of the analysis. The authors could not recommend one treatment over another on the basis of risk of death, serious complications, percentage of people who developed any complication, percentage of participants who underwent liver transplantation (replacement of a diseased liver with a healthy one), or the number of other liver failure events. HealthÃƒÂ¢Ã¢â€šÂ¬Ã‚Ârelated quality of life was not reported in any of the trials. The number of complications of any severity was lower with albumin plus noradrenaline than albumin plus terlipressin. Recovery from hepatorenal syndrome may be lower with albumin plus midodrine plus octreotide and albumin alone than albumin plus terlipressin and albumin plus noradrenaline. Funding source was unclear in 18 studies. Industrial organisations funded two studies and the remaining five studies did not receive any funding from industrial organisations. What was studied in the review? This review studied people of any sex, age, and origin, having advanced liver disease due to various causes, and who had developed hepatorenal syndrome. People were administered different treatments. The review authors excluded studies with liverÃƒÂ¢Ã¢â€šÂ¬Ã‚Âtransplanted participants. Participants age, when reported, ranged from 42 to 60 years. The number of females ranged from 6 to 62 out of 100 in the studies that reported this information. The main treatments compared were albumin alone, albumin plus terlipressin, and albumin plus noradrenaline. The authors gathered and analysed data on death, quality of life, serious and nonÃƒÂ¢Ã¢â€šÂ¬Ã‚Âserious complications, time to liver transplantation, recovery from hepatorenal syndrome, and disappearance of symptoms. What were the main results of the review? The 25 studies included a small number of participants (1263 participants). Study data were sparse. TwentyÃƒÂ¢Ã¢â€šÂ¬Ã‚Âthree studies with 1185 participants provided data for analyses. The followÃƒÂ¢Ã¢â€šÂ¬Ã‚Âup in the trials ranged from one week to six months. The review shows that: ÃƒÂ¢Ã¢â€šÂ¬Ã‚Â About 60 out of every 100 people died within three months, and 35 out of every 100 people recovered from hepatorenal syndrome. ÃƒÂ¢Ã¢â€šÂ¬Ã‚Â The provided treatment may make no difference to the percentage of people who died or developed serious complications, number of serious complications per person, percentage of people who developed complications of any severity, or the percentage of people undergoing liver transplantation. ÃƒÂ¢Ã¢â€šÂ¬Ã‚Â None of the trials reported healthÃƒÂ¢Ã¢â€šÂ¬Ã‚Ârelated quality of life. ÃƒÂ¢Ã¢â€šÂ¬Ã‚Â The number of complications of any severity was lower with albumin plus noradrenaline than albumin plus terlipressin. ÃƒÂ¢Ã¢â€šÂ¬Ã‚Â Recovery from hepatorenal syndrome may be lower with albumin plus midodrine plus octreotide and albumin alone than albumin plus terlipressin and albumin plus noradrenaline. ÃƒÂ¢Ã¢â€šÂ¬Ã‚Â We have very low confidence in the overall results. ÃƒÂ¢Ã¢â€šÂ¬Ã‚Â Future trials with proper design and quality are needed to clarify the best treatment for people with advanced liver disease having hepatorenal syndrome.</t>
  </si>
  <si>
    <t>Perioperative betaÃƒÂ¢Ã¢â€šÂ¬Ã‚Âblockers for preventing surgeryÃƒÂ¢Ã¢â€šÂ¬Ã‚Ârelated mortality and morbidity in adults undergoing nonÃƒÂ¢Ã¢â€šÂ¬Ã‚Âcardiac surgery</t>
  </si>
  <si>
    <t>- Background Randomized controlled trials (RCTs) have yielded conflicting results regarding the ability of betaÃƒÂ¢Ã¢â€šÂ¬Ã‚Âblockers to influence perioperative cardiovascular morbidity and mortality. Thus routine prescription of these drugs in an unselected population remains a controversial issue. A previous version of this review assessing the effectiveness of perioperative betaÃƒÂ¢Ã¢â€šÂ¬Ã‚Âblockers in cardiac and nonÃƒÂ¢Ã¢â€šÂ¬Ã‚Âcardiac surgery was last published in 2018. The previous review has now been split into two reviews according to type of surgery. This is an update, and assesses the evidence in nonÃƒÂ¢Ã¢â€šÂ¬Ã‚Âcardiac surgery only. Objectives To assess the effectiveness of perioperatively administered betaÃƒÂ¢Ã¢â€šÂ¬Ã‚Âblockers for the prevention of surgeryÃƒÂ¢Ã¢â€šÂ¬Ã‚Ârelated mortality and morbidity in adults undergoing nonÃƒÂ¢Ã¢â€šÂ¬Ã‚Âcardiac surgery. Search methods We searched CENTRAL, MEDLINE, Embase, CINAHL, Biosis Previews and Conference Proceedings Citation IndexÃƒÂ¢Ã¢â€šÂ¬Ã‚ÂScience on 28 June 2019. We searched clinical trials registers and grey literature, and conducted backwardÃƒÂ¢Ã¢â€šÂ¬Ã‚Â and forwardÃƒÂ¢Ã¢â€šÂ¬Ã‚Âcitation searching of relevant articles. Selection criteria We included RCTs and quasiÃƒÂ¢Ã¢â€šÂ¬Ã‚Ârandomized studies comparing betaÃƒÂ¢Ã¢â€šÂ¬Ã‚Âblockers with a control (placebo or standard care) administered during the perioperative period to adults undergoing nonÃƒÂ¢Ã¢â€šÂ¬Ã‚Âcardiac surgery. If studies included surgery with different types of anaesthesia, we included them if 70% participants, or at least 100 participants, received general anaesthesia. We excluded studies in which all participants in the standard care control group were given a pharmacological agent that was not given to participants in the intervention group, studies in which all participants in the control group were given a betaÃƒÂ¢Ã¢â€šÂ¬Ã‚Âblocker, and studies in which betaÃƒÂ¢Ã¢â€šÂ¬Ã‚Âblockers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83 RCTs with 14,967 participants; we found no quasiÃƒÂ¢Ã¢â€šÂ¬Ã‚Ârandomized studies. All participants were undergoing nonÃƒÂ¢Ã¢â€šÂ¬Ã‚Âcardiac surgery, and types of surgery ranged from low to high risk. Types of betaÃƒÂ¢Ã¢â€šÂ¬Ã‚Âblockers were: propranolol, metoprolol, esmolol, landiolol, nadolol, atenolol, labetalol, oxprenolol, and pindolol. In nine studies, betaÃƒÂ¢Ã¢â€šÂ¬Ã‚Âblockers were titrated according to heart rate or blood pressure. Duration of administration varied between studies, as did the time at which drugs were administered; in most studies, it was intraoperatively, but in 18 studies it was before surgery, in six postoperatively, one multiÃƒÂ¢Ã¢â€šÂ¬Ã‚Âarm study included groups of different timings, and one study did not report timing of drug administration. Overall, we found that more than half of the studies did not sufficiently report methods used for randomization. All studies in which the control was standard care were at high risk of performance bias because of the openÃƒÂ¢Ã¢â€šÂ¬Ã‚Âlabel study design. Only two studies were prospectively registered with clinical trials registers, which limited the assessment of reporting bias. In six studies, participants in the control group were given betaÃƒÂ¢Ã¢â€šÂ¬Ã‚Âblockers as rescue therapy during the study period. The evidence for allÃƒÂ¢Ã¢â€šÂ¬Ã‚Âcause mortality at 30 days was uncertain; based on the risk of death in the control group of 25 per 1000, the effect with betaÃƒÂ¢Ã¢â€šÂ¬Ã‚Âblockers was between two fewer and 13 more per 1000 (risk ratio (RR) 1.17, 95% confidence interval (CI) 0.89 to 1.54; 16 studies, 11,446 participants; lowÃƒÂ¢Ã¢â€šÂ¬Ã‚Âcertainty evidence). BetaÃƒÂ¢Ã¢â€šÂ¬Ã‚Âblockers may reduce the incidence of myocardial infarction by 13 fewer incidences per 1000 (RR 0.72, 95% CI 0.60 to 0.87; 12 studies, 10,520 participants; lowÃƒÂ¢Ã¢â€šÂ¬Ã‚Âcertainty evidence). We found no evidence of a difference in cerebrovascular events (RR 1.65, 95% CI 0.97 to 2.81; 6 studies, 9460 participants; lowÃƒÂ¢Ã¢â€šÂ¬Ã‚Âcertainty evidence), or in ventricular arrhythmias (RR 0.72, 95% CI 0.35 to 1.47; 5 studies, 47 participants; very lowÃƒÂ¢Ã¢â€šÂ¬Ã‚Âcertainty evidence). BetaÃƒÂ¢Ã¢â€šÂ¬Ã‚Âblockers may reduce atrial fibrillation or flutter by 26 fewer incidences per 1000 (RR 0.41, 95% CI 0.21 to 0.79; 9 studies, 9080 participants; lowÃƒÂ¢Ã¢â€šÂ¬Ã‚Âcertainty evidence). However, betaÃƒÂ¢Ã¢â€šÂ¬Ã‚Âblockers may increase bradycardia by 55 more incidences per 1000 (RR 2.49, 95% CI 1.74 to 3.56; 49 studies, 12,239 participants; lowÃƒÂ¢Ã¢â€šÂ¬Ã‚Âcertainty evidence), and hypotension by 44 more per 1000 (RR 1.40, 95% CI 1.29 to 1.51; 49 studies, 12,304 participants; moderateÃƒÂ¢Ã¢â€šÂ¬Ã‚Âcertainty evidence). We downgraded the certainty of the evidence owing to study limitations; some studies had high risks of bias, and the effects were sometimes altered when we excluded studies with a standard care control group (including only placeboÃƒÂ¢Ã¢â€šÂ¬Ã‚Âcontrolled trials showed an increase in early mortality and cerebrovascular events with betaÃƒÂ¢Ã¢â€šÂ¬Ã‚Âblockers). We also downgraded for inconsistency; one large, wellÃƒÂ¢Ã¢â€šÂ¬Ã‚Âconducted, international study found a reduction in myocardial infarction, and an increase in cerebrovascular events and allÃƒÂ¢Ã¢â€šÂ¬Ã‚Âcause mortality, when betaÃƒÂ¢Ã¢â€šÂ¬Ã‚Âblockers were used, but other studies showed no evidence of a difference. We could not explain the reason for the inconsistency in the evidence for ventricular arrhythmias, and we also downgraded this outcome for imprecision because we found few studies with few participants. Authors' conclusions The evidence for early allÃƒÂ¢Ã¢â€šÂ¬Ã‚Âcause mortality with perioperative betaÃƒÂ¢Ã¢â€šÂ¬Ã‚Âblockers was uncertain. We found no evidence of a difference in cerebrovascular events or ventricular arrhythmias, and the certainty of the evidence for these outcomes was low and very low. We found lowÃƒÂ¢Ã¢â€šÂ¬Ã‚Âcertainty evidence that betaÃƒÂ¢Ã¢â€šÂ¬Ã‚Âblockers may reduce atrial fibrillation and myocardial infarctions. However, betaÃƒÂ¢Ã¢â€šÂ¬Ã‚Âblockers may increase bradycardia (lowÃƒÂ¢Ã¢â€šÂ¬Ã‚Âcertainty evidence) and probably increase hypotension (moderateÃƒÂ¢Ã¢â€šÂ¬Ã‚Âcertainty evidence). Further evidence from large placeboÃƒÂ¢Ã¢â€šÂ¬Ã‚Âcontrolled trials is likely to increase the certainty of these findings, and we recommend the assessment of impact on quality of life. We found 18 studies awaiting classification; inclusion of these studies in future updates may also increase the certainty of the evidence. Plain language summary BetaÃƒÂ¢Ã¢â€šÂ¬Ã‚Âblockers to prevent death or serious events after surgery not involving the heart This review assessed evidence from randomized controlled trials (RCTs) on whether betaÃƒÂ¢Ã¢â€šÂ¬Ã‚Âblockers reduce deaths or other serious events when given to people undergoing surgery other than heart surgery. The findings for heart surgery are covered in another review. Background Surgery increases stress in the body, which responds by releasing the hormones adrenaline and noradrenaline. Stress from surgery can lead to death or other serious events such as heart attacks, stroke, or an irregular heartbeat. For surgery that does not involve the heart, an estimated 8% of people may have injury to their heart around the time of surgery. BetaÃƒÂ¢Ã¢â€šÂ¬Ã‚Âblockers are drugs that block the action of adrenaline and noradrenaline on the heart. BetaÃƒÂ¢Ã¢â€šÂ¬Ã‚Âblockers can slow down the heart, and reduce blood pressure, and this may reduce the risk of serious events. However, betaÃƒÂ¢Ã¢â€šÂ¬Ã‚Âblockers may lead to a very low heart rate or very low blood pressure which could increase the risk of death or a stroke. Prevention of early complications after surgery is important, but using betaÃƒÂ¢Ã¢â€šÂ¬Ã‚Âblockers to prevent these complications is controversial. Study characteristics The evidence is current to 28 June 2019. We included 83 RCTs with 14,967 adults who were undergoing different types of surgery other than heart surgery. Eighteen studies are awaiting classification (because we did not have enough details to assess them), and three studies are ongoing. The types of betaÃƒÂ¢Ã¢â€šÂ¬Ã‚Âblockers used in the studies were: propranolol, metoprolol, esmolol, landiolol, nadolol, atenolol, labetalol, oxprenolol, and pindolol. Studies compared these betaÃƒÂ¢Ã¢â€šÂ¬Ã‚Âblockers with either a placebo (disguised to look like a betaÃƒÂ¢Ã¢â€šÂ¬Ã‚Âblocker but containing no medicine) or with standard care. Key results BetaÃƒÂ¢Ã¢â€šÂ¬Ã‚Âblockers may make l ttle or no difference to the number of people who die within 30 days of surgery (16 studies, 11,446 participants; lowÃƒÂ¢Ã¢â€šÂ¬Ã‚Âcertainty evidence), have a stroke (6 studies, 9460 participants; lowÃƒÂ¢Ã¢â€šÂ¬Ã‚Âcertainty evidence), or experience ventricular arrhythmias (irregular heartbeat rhythms, starting in the main chambers of the heart, that are potentially lifeÃƒÂ¢Ã¢â€šÂ¬Ã‚Âthreatening and may need immediate medical treatment; 5 studies, 476 participants; very lowÃƒÂ¢Ã¢â€šÂ¬Ã‚Âcertainty evidence). We found that betaÃƒÂ¢Ã¢â€šÂ¬Ã‚Âblockers may reduce atrial fibrillation (an irregular heartbeat, starting in the atrial chambers of the heart, that increases the risk of stroke if untreated; 9 studies, 9080 participants; low certaintyÃƒÂ¢Ã¢â€šÂ¬Ã‚Âevidence), and the number of people who have a heart attack (12 studies, 10,520 participants; lowÃƒÂ¢Ã¢â€šÂ¬Ã‚Âcertainty evidence). However, taking betaÃƒÂ¢Ã¢â€šÂ¬Ã‚Âblockers may increase the number of people who experience a very low heart rate (49 studies, 12,239 participants; lowÃƒÂ¢Ã¢â€šÂ¬Ã‚Âcertainty evidence), or very low blood pressure (49 studies, 12,304 participants; moderateÃƒÂ¢Ã¢â€šÂ¬Ã‚Âcertainty evidence), around the time of surgery. In a few studies, we also found little or no difference in the number of people who died after 30 days, who died because of a heart problem, or had heart failure. We found no evidence of whether betaÃƒÂ¢Ã¢â€šÂ¬Ã‚Âblockers alter the length of time in hospital. No studies assessed whether people who were given betaÃƒÂ¢Ã¢â€šÂ¬Ã‚Âblockers had a better quality of life after heart surgery. Certainty of the evidence The certainty of the evidence in this review was limited by including some studies that were at high risk of bias, and we noticed that some of our findings were different if we only included placeboÃƒÂ¢Ã¢â€šÂ¬Ã‚Âcontrolled studies or studies that reported how participants were randomized. We also found one large, wellÃƒÂ¢Ã¢â€šÂ¬Ã‚Âconducted, international study that had different findings to the smaller studies. It showed a reduction in heart attacks and an increase in stroke and allÃƒÂ¢Ã¢â€šÂ¬Ã‚Âcause mortality when betaÃƒÂ¢Ã¢â€šÂ¬Ã‚Âblockers were used, whilst the other studies did not show a clear effect. We were also less certain of the findings for outcomes with few studies, such as for ventricular arrhythmias. Conclusion Although betaÃƒÂ¢Ã¢â€šÂ¬Ã‚Âblockers may make little or no difference to the number of people who die within 30 days, have a stroke, or have ventricular arrhythmias, they may reduce atrial fibrillation and heart attacks. Taking betaÃƒÂ¢Ã¢â€šÂ¬Ã‚Âblockers may increase the number of people with a very low heart rate or very low blood pressure around the time of surgery. Further evidence from large, placeboÃƒÂ¢Ã¢â€šÂ¬Ã‚Âcontrolled trials is likely to increase the certainty of these findings, and we recommend the assessment of impact on quality of life.</t>
  </si>
  <si>
    <t>Perioperative betaÃƒÂ¢Ã¢â€šÂ¬Ã‚Âblockers for preventing surgeryÃƒÂ¢Ã¢â€šÂ¬Ã‚Ârelated mortality and morbidity in adults undergoing cardiac surgery</t>
  </si>
  <si>
    <t>- Background Randomized controlled trials (RCTs) have yielded conflicting results regarding the ability of betaÃƒÂ¢Ã¢â€šÂ¬Ã‚Âblockers to influence perioperative cardiovascular morbidity and mortality. Thus routine prescription of these drugs in unselected patients remains a controversial issue. A previous version of this review assessing the effectiveness of perioperative betaÃƒÂ¢Ã¢â€šÂ¬Ã‚Âblockers in cardiac and nonÃƒÂ¢Ã¢â€šÂ¬Ã‚Âcardiac surgery was last published in 2018. The previous review has now been split into two reviews according to type of surgery. This is an update and assesses the evidence in cardiac surgery only. Objectives To assess the effectiveness of perioperatively administered betaÃƒÂ¢Ã¢â€šÂ¬Ã‚Âblockers for the prevention of surgeryÃƒÂ¢Ã¢â€šÂ¬Ã‚Ârelated mortality and morbidity in adults undergoing cardiac surgery. Search methods We searched CENTRAL, MEDLINE, Embase, CINAHL, Biosis Previews and Conference Proceedings Citation IndexÃƒÂ¢Ã¢â€šÂ¬Ã‚ÂScience on 28 June 2019. We searched clinical trials registers and grey literature, and conducted backwardÃƒÂ¢Ã¢â€šÂ¬Ã‚Â and forwardÃƒÂ¢Ã¢â€šÂ¬Ã‚Âcitation searching of relevant articles. Selection criteria We included RCTs and quasiÃƒÂ¢Ã¢â€šÂ¬Ã‚Ârandomized studies comparing betaÃƒÂ¢Ã¢â€šÂ¬Ã‚Âblockers with a control (placebo or standard care) administered during the perioperative period to adults undergoing cardiac surgery. We excluded studies in which all participants in the standard care control group were given a pharmacological agent that was not given to participants in the intervention group, studies in which all participants in the control group were given a betaÃƒÂ¢Ã¢â€šÂ¬Ã‚Âblocker, and studies in which betaÃƒÂ¢Ã¢â€šÂ¬Ã‚Âblockers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63 studies with 7768 participants; six studies were quasiÃƒÂ¢Ã¢â€šÂ¬Ã‚Ârandomized and the remaining were RCTs. All participants were undergoing cardiac surgery, and in most studies, at least some of the participants were previously taking betaÃƒÂ¢Ã¢â€šÂ¬Ã‚Âblockers. Types of betaÃƒÂ¢Ã¢â€šÂ¬Ã‚Âblockers were: propranolol, metoprolol, sotalol, esmolol, landiolol, acebutolol, timolol, carvedilol, nadolol, and atenolol. In twelve studies, betaÃƒÂ¢Ã¢â€šÂ¬Ã‚Âblockers were titrated according to heart rate or blood pressure. Duration of administration varied between studies, as did the time at which drugs were administered; in nine studies this was before surgery, in 20 studies during surgery, and in the remaining studies betaÃƒÂ¢Ã¢â€šÂ¬Ã‚Âblockers were started postoperatively. Overall, we found that most studies did not report sufficient details for us to adequately assess risk of bias. In particular, few studies reported methods used to randomize participants to groups. In some studies, participants in the control group were given betaÃƒÂ¢Ã¢â€šÂ¬Ã‚Âblockers as rescue therapy during the study period, and all studies in which the control was standard care were at high risk of performance bias because of the openÃƒÂ¢Ã¢â€šÂ¬Ã‚Âlabel study design. No studies were prospectively registered with clinical trials registers, which limited the assessment of reporting bias. We judged 68% studies to be at high risk of bias in at least one domain. Study authors reported few deaths (7 per 1000 in both the intervention and control groups), and we found lowÃƒÂ¢Ã¢â€šÂ¬Ã‚Âcertainty evidence that betaÃƒÂ¢Ã¢â€šÂ¬Ã‚Âblockers may make little or no difference to allÃƒÂ¢Ã¢â€šÂ¬Ã‚Âcause mortality at 30 days (risk ratio (RR) 0.95, 95% confidence interval (CI) 0.47 to 1.90; 29 studies, 4099 participants). For myocardial infarctions, we found no evidence of a difference in events (RR 1.05, 95% CI 0.72 to 1.52; 25 studies, 3946 participants; lowÃƒÂ¢Ã¢â€šÂ¬Ã‚Âcertainty evidence). Few study authors reported cerebrovascular events, and the evidence was uncertain (RR 1.37, 95% CI 0.51 to 3.67; 5 studies, 1471 participants; very lowÃƒÂ¢Ã¢â€šÂ¬Ã‚Âcertainty evidence). Based on a control risk of 54 per 1000, we found lowÃƒÂ¢Ã¢â€šÂ¬Ã‚Âcertainty evidence that betaÃƒÂ¢Ã¢â€šÂ¬Ã‚Âblockers may reduce episodes of ventr cular arrhythmias by 32 episodes per 1000 (RR 0.40, 95% CI 0.25 to 0.63; 12 studies, 2296 participants). For atrial fibrillation or flutter, there may be 163 fewer incidences with betaÃƒÂ¢Ã¢â€šÂ¬Ã‚Âblockers, based on a control risk of 327 incidences per 1000 (RR 0.50, 95% CI 0.42 to 0.59; 40 studies, 5650 participants; lowÃƒÂ¢Ã¢â€šÂ¬Ã‚Âcertainty evidence). However, the evidence for bradycardia and hypotension was less certain. We found that betaÃƒÂ¢Ã¢â€šÂ¬Ã‚Âblockers may make little or no difference to bradycardia (RR 1.63, 95% CI 0.92 to 2.91; 12 studies, 1640 participants; lowÃƒÂ¢Ã¢â€šÂ¬Ã‚Âcertainty evidence), or hypotension (RR 1.84, 95% CI 0.89 to 3.80; 10 studies, 1538 participants; lowÃƒÂ¢Ã¢â€šÂ¬Ã‚Âcertainty evidence). We used GRADE to downgrade the certainty of evidence. Owing to studies at high risk of bias in at least one domain, we downgraded each outcome for study limitations. Based on effect size calculations in the previous review, we found an insufficient number of participants in all outcomes (except atrial fibrillation) and, for some outcomes, we noted a wide confidence interval; therefore, we also downgraded outcomes owing to imprecision. The evidence for atrial fibrillation and length of hospital stay had a moderate level of statistical heterogeneity which we could not explain, and we, therefore, downgraded these outcomes for inconsistency. Authors' conclusions We found no evidence of a difference in early allÃƒÂ¢Ã¢â€šÂ¬Ã‚Âcause mortality, myocardial infarction, cerebrovascular events, hypotension and bradycardia. However, there may be a reduction in atrial fibrillation and ventricular arrhythmias when betaÃƒÂ¢Ã¢â€šÂ¬Ã‚Âblockers are used. A larger sample size is likely to increase the certainty of this evidence. Four studies awaiting classification may alter the conclusions of this review. Plain language summary BetaÃƒÂ¢Ã¢â€šÂ¬Ã‚Âblockers to prevent death or serious events after heart surgery This review assessed evidence of whether betaÃƒÂ¢Ã¢â€šÂ¬Ã‚Âblockers given around the time of surgery can reduce death or other serious events for people undergoing heart surgery. Background People undergoing heart surgery are at greater risk of complications and death. Heart surgery increases the amount of stress in the body, causing the release of the hormones adrenaline and noradrenaline. This stress can lead to serious events including death, heart attacks, stroke, or an irregular heartbeat. BetaÃƒÂ¢Ã¢â€šÂ¬Ã‚Âblockers are drugs that block the action of adrenaline and noradrenaline on the heart. BetaÃƒÂ¢Ã¢â€šÂ¬Ã‚Âblockers can slow down the heart and reduce blood pressure, and this effect may reduce the risk of serious events. However, they can also lead to a very low heart rate or very low blood pressure, and this effect may increase the risk of death or a stroke. Prevention of complications around the time of surgery is an important safety consideration for people undergoing heart surgery. Study characteristics The evidence is current to 28 June 2019. We included 63 studies with 7768 adults who were undergoing heart surgery, including coronary artery bypass graft and valve replacement surgery. Studies were mostly randomized controlled studies, and six were quasiÃƒÂ¢Ã¢â€šÂ¬Ã‚Ârandomized (participants were allocated to groups by methods such as using hospital record numbers or dates of birth). The types of betaÃƒÂ¢Ã¢â€šÂ¬Ã‚Âblockers were: propranolol, metoprolol, sotalol, esmolol, landiolol, acebutolol, timolol, carvedilol, nadolol, and atenolol. These betaÃƒÂ¢Ã¢â€šÂ¬Ã‚Âblockers were compared with either a placebo (disguised to look like a betaÃƒÂ¢Ã¢â€šÂ¬Ã‚Âblocker but containing no medicine) or with standard care. BetaÃƒÂ¢Ã¢â€šÂ¬Ã‚Âblockers were started before surgery, during surgery or at the latest by the end of the first day after surgery. The length of time betaÃƒÂ¢Ã¢â€šÂ¬Ã‚Âblockers were given varied between studies. In most studies, at least some of the people were already taking betaÃƒÂ¢Ã¢â€šÂ¬Ã‚Âblockers, which would be expected for people who had conditions that needed heart surgery. Key results BetaÃƒÂ¢Ã¢â€šÂ¬Ã‚Âblockers probably make little or no difference to the number of people who die (29 studies, 4099 participants) or have a heart attack (25 studies, 3946 participants) within 30 days of surgery. This w s supported by lowÃƒÂ¢Ã¢â€šÂ¬Ã‚Âcertainty evidence. Few studies reported on people who had a stroke, and we were uncertain whether or not betaÃƒÂ¢Ã¢â€šÂ¬Ã‚Âblockers reduced strokes because the certainty of the evidence was very low (5 studies, 1471 participants). BetaÃƒÂ¢Ã¢â€šÂ¬Ã‚Âblockers may reduce atrial fibrillation, which is an irregular heartbeat starting in the atrial chambers of the heart that increases the risk of stroke if untreated (40 studies, 5650 participants; lowÃƒÂ¢Ã¢â€šÂ¬Ã‚Âcertainty evidence). BetaÃƒÂ¢Ã¢â€šÂ¬Ã‚Âblockers may also reduce ventricular arrhythmias, which are potentially lifeÃƒÂ¢Ã¢â€šÂ¬Ã‚Âthreatening irregular heartbeat rhythms originating in the main chambers of the heart, and which may need immediate medical treatment (12 studies, 2296 participants). We found that betaÃƒÂ¢Ã¢â€šÂ¬Ã‚Âblockers may make little or no difference to whether people experience a very low heart rate or very low blood pressure. We were uncertain whether betaÃƒÂ¢Ã¢â€šÂ¬Ã‚Âblockers made a difference to the number of deaths up to a year after surgery (3 studies, 511 participants), to death because of the heart (4 studies, 320 participants), or to people who had heart failure (3 studies, 311 participants). The certainty of this evidence was very low. People who took betaÃƒÂ¢Ã¢â€šÂ¬Ã‚Âblockers had a shorter hospital stay by about half a day (14 studies, 2450 participants; lowÃƒÂ¢Ã¢â€šÂ¬Ã‚Âcertainty evidence). No studies assessed whether people on betaÃƒÂ¢Ã¢â€šÂ¬Ã‚Âblockers had a better quality of life after heart surgery. Certainty of the evidence The certainty of the evidence in this review was mostly low. We found that many studies reported methods that we believed could influence the results. For example, many studies did not use a placeboÃƒÂ¢Ã¢â€šÂ¬Ã‚Âcontrol and the doctors might, therefore, have treated people differently in each group. We were unable to explain some of the differences that we found in the data for atrial fibrillation. We also needed to have evidence from a larger number of participants to be very confident in our findings. Conclusion BetaÃƒÂ¢Ã¢â€šÂ¬Ã‚Âblockers may be beneficial for people who are undergoing cardiac surgery because they may reduce the number of people who experience atrial fibrillation and ventricular arrhythmias. BetaÃƒÂ¢Ã¢â€šÂ¬Ã‚Âblockers may make little or no difference to the other outcomes in this review, including death, heart attacks or stroke.</t>
  </si>
  <si>
    <t>- Background Cerebral palsy (CP) is the most common cause of physical disabilities in children in highÃƒÂ¢Ã¢â€šÂ¬Ã‚Âincome countries. Spasticity is the most common motor disturbance in CP. Botulinum toxin type A (BoNTÃƒÂ¢Ã¢â€šÂ¬Ã‚ÂA) is considered the firstÃƒÂ¢Ã¢â€šÂ¬Ã‚Âline treatment for focal spasticity in people with CP. Objectives To evaluate the effectiveness and safety of BoNTÃƒÂ¢Ã¢â€šÂ¬Ã‚ÂA compared to other treatments used in the management of lower limb spasticity in children with CP. Search methods We searched CENTRAL, PubMed, four other databases, and two trial registers in October 2018. We also searched the reference lists of relevant studies and reviews and contacted experts in the field. We did not apply any date or language restrictions. Selection criteria Randomised controlled trials of children with CP, aged between birth and 19 years, treated with BoNTÃƒÂ¢Ã¢â€šÂ¬Ã‚ÂA injections in the lower limb muscles compared to other interventions. The primary outcomes were gait analysis and function. The secondary outcomes were joint range of motion, quality of life, satisfaction, spasticity, and adverse events. Data collection and analysis Two review authors independently selected studies, extracted data, assessed risk of bias, and rated the quality of the evidence using GRADE. A third review author arbitrated in case of disagreements. We conducted metaÃƒÂ¢Ã¢â€šÂ¬Ã‚Âanalyses of available data whenever possible, analysing dichotomous data with risk ratios (RR), and continuous data with mean differences (MD) or standardised mean differences (SMD), with 95% confidence intervals (CI). We considered a 5% significance level for all analyses. Whenever possible, we analysed outcomes at the time points at which they were assessed: short term (2 to 8 weeks); medium term (12 to 16 weeks); and long term (&gt; 24 weeks). Main results We included 31 randomised controlled trials assessing 1508 participants. Most studies included ambulatory patients with more than one motor type of CP, and with a mean age of between three and seven years. There was a slight predominance of males. Studies compared BoNTÃƒÂ¢Ã¢â€šÂ¬Ã‚ÂA in the lower limb muscles to usual care or physiotherapy (14 studies), placebo or sham (12 studies), serial casting (4 studies), or orthoses (1 study). We rated studies as at high or unclear risk of bias mainly due to random sequence generation, allocation concealment, blinding of participants and personnel, and blinding of outcome assessment. BoNTÃƒÂ¢Ã¢â€šÂ¬Ã‚ÂA versus usual care or physiotherapy BoNTÃƒÂ¢Ã¢â€šÂ¬Ã‚ÂA might improve overall gait scores at mediumÃƒÂ¢Ã¢â€šÂ¬Ã‚Âterm followÃƒÂ¢Ã¢â€šÂ¬Ã‚Âup (MD 2.80, 95% CI 1.55 to 4.05; 1 study, 40 children; very lowÃƒÂ¢Ã¢â€šÂ¬Ã‚Âquality evidence) and is moderately effective at improving function at shortÃƒÂ¢Ã¢â€šÂ¬Ã‚Âterm (SMD 0.59, 95% CI 0.23 to 0.95; 2 studies, 123 children) and mediumÃƒÂ¢Ã¢â€šÂ¬Ã‚Âterm (SMD 1.04, 95% CI 0.16 to 1.91; 4 studies, 191 children) followÃƒÂ¢Ã¢â€šÂ¬Ã‚Âup (all very lowÃƒÂ¢Ã¢â€šÂ¬Ã‚Âquality evidence). BoNTÃƒÂ¢Ã¢â€šÂ¬Ã‚ÂA improves ankle range of motion, satisfaction, and ankle plantarflexors spasticity at one or more time points (very lowÃƒÂ¢Ã¢â€šÂ¬Ã‚Âquality evidence). The proportion of adverse events in the BoNTÃƒÂ¢Ã¢â€šÂ¬Ã‚ÂA group was 0.37 (95% CI 0.08 to 0.66; I 2 = 95%; very lowÃƒÂ¢Ã¢â€šÂ¬Ã‚Âquality evidence). No adverse events were reported in the control group. BoNTÃƒÂ¢Ã¢â€šÂ¬Ã‚ÂA versus placebo or sham BoNTÃƒÂ¢Ã¢â€šÂ¬Ã‚ÂA improves overall gait scores at shortÃƒÂ¢Ã¢â€šÂ¬Ã‚Âterm (RR 1.66, 95% CI 1.16 to 2.37, P = 0.006; 4 studies, 261 assessments) and mediumÃƒÂ¢Ã¢â€šÂ¬Ã‚Âterm (RR 1.90, 95% CI 1.32 to 2.74, P &lt; 0.001; 3 studies, 248 assessments) followÃƒÂ¢Ã¢â€šÂ¬Ã‚Âup, and may improve peak ankle dorsiflexion in stance (MD 15.90 degrees, 95% CI 4.87 to 26.93, P = 0.005; 1 study, 19 children) and in swing (MD 10.20 degrees, 95% CI 4.01 to 16.39, P = 0.001; 1 study, 19 children) at shortÃƒÂ¢Ã¢â€šÂ¬Ã‚Âterm followÃƒÂ¢Ã¢â€šÂ¬Ã‚Âup (all moderateÃƒÂ¢Ã¢â€šÂ¬Ã‚Âquality evidence). BoNTÃƒÂ¢Ã¢â€šÂ¬Ã‚ÂA is not more effective than placebo or sham at improving function at shortÃƒÂ¢Ã¢â€šÂ¬Ã‚Âterm (SMD 0.24, 95% CI ÃƒÂ¢Ã‹â€ Ã¢â‚¬â„¢0.35 to 0.83, P = 0.42; 4 studies, 305 children) or longÃƒÂ¢Ã¢â€šÂ¬Ã‚Âterm (SMD ÃƒÂ¢Ã‹â€ Ã¢â‚¬â„¢0.07, 95% CI ÃƒÂ¢Ã‹â€ Ã¢â‚¬â„¢0.48 to 0.35, P = 0.76; 2 studies, 91 children) followÃƒÂ¢Ã¢â€šÂ¬Ã‚Âup, but has a small positive effect at mediumÃƒÂ¢Ã¢â€šÂ¬Ã‚Âterm followÃƒÂ¢Ã¢â€šÂ¬Ã‚Âup (SMD 0.28, 95% CI 0.06 to 0.49, P = 0.01; 5 studies, 327 children) (all moderateÃƒÂ¢Ã¢â€šÂ¬Ã‚Âquality evidence). BoNTÃƒÂ¢Ã¢â€šÂ¬Ã‚ÂA improves passive ankle range of motion, satisfaction, and ankle plantarflexors spasticity at one or more time points (moderateÃƒÂ¢Ã¢â€šÂ¬Ã‚Âquality evidence). There was no difference between groups in the rate of adverse events at shortÃƒÂ¢Ã¢â€šÂ¬Ã‚Âterm followÃƒÂ¢Ã¢â€šÂ¬Ã‚Âup (RR 1.29, 95% CI 0.87 to 1.93, P = 0.21; 12 studies, 918 children; moderateÃƒÂ¢Ã¢â€šÂ¬Ã‚Âquality evidence). BoNTÃƒÂ¢Ã¢â€šÂ¬Ã‚ÂA versus serial casting There was no difference between groups for overall gait scores at shortÃƒÂ¢Ã¢â€šÂ¬Ã‚Âterm (MD 0.00, 95% CI ÃƒÂ¢Ã‹â€ Ã¢â‚¬â„¢1.66 to 1.66); mediumÃƒÂ¢Ã¢â€šÂ¬Ã‚Âterm (MD 0.65, 95% CI ÃƒÂ¢Ã‹â€ Ã¢â‚¬â„¢1.21 to 2.51); or longÃƒÂ¢Ã¢â€šÂ¬Ã‚Âterm (MD 0.46, 95% CI ÃƒÂ¢Ã‹â€ Ã¢â‚¬â„¢1.33 to 2.25) followÃƒÂ¢Ã¢â€šÂ¬Ã‚Âup in one study with 18 children (moderateÃƒÂ¢Ã¢â€šÂ¬Ã‚Âquality evidence). BoNTÃƒÂ¢Ã¢â€šÂ¬Ã‚ÂA improved instrumented gait analysis only in terms of ankle dorsiflexion at initial contact (MD 6.59 degrees, 95% CI 1.39 to 11.78, P = 0.01; 2 studies, 47 children). There was no difference between groups for peak ankle dorsiflexion in stance and swing, and gait speed at any time point (moderateÃƒÂ¢Ã¢â€šÂ¬Ã‚Â and lowÃƒÂ¢Ã¢â€šÂ¬Ã‚Âquality evidence). BoNTÃƒÂ¢Ã¢â€šÂ¬Ã‚ÂA is not more effective than serial casting at improving function, ankle range of motion, and spasticity at any time point (moderateÃƒÂ¢Ã¢â€šÂ¬Ã‚Â and lowÃƒÂ¢Ã¢â€šÂ¬Ã‚Âquality evidence). BoNTÃƒÂ¢Ã¢â€šÂ¬Ã‚ÂA is not associated with a higher risk of adverse events than serial casting (RR 0.59, 95% CI 0.03 to 11.03; 3 studies, 64 children; lowÃƒÂ¢Ã¢â€šÂ¬Ã‚Âquality evidence). BoNTÃƒÂ¢Ã¢â€šÂ¬Ã‚ÂA versus orthoses There was no difference between groups for function at mediumÃƒÂ¢Ã¢â€šÂ¬Ã‚Âterm followÃƒÂ¢Ã¢â€šÂ¬Ã‚Âup (MD 11.14, 95% CI ÃƒÂ¢Ã‹â€ Ã¢â‚¬â„¢0.05 to 22.33; 1 study, 43 children), but BoNTÃƒÂ¢Ã¢â€šÂ¬Ã‚ÂA is more effective than orthoses at improving hip range of motion and hip adductors spasticity (all very lowÃƒÂ¢Ã¢â€šÂ¬Ã‚Âquality evidence). Authors' conclusions The quality of the evidence was low or very low for most of the outcomes analysed. We found limited evidence that BoNTÃƒÂ¢Ã¢â€šÂ¬Ã‚ÂA is more effective than placebo or a nonÃƒÂ¢Ã¢â€šÂ¬Ã‚Âplacebo control at improving gait, joint range of motion, satisfaction, and lower limb spasticity in children with CP, whereas the results for function were contradictory. The rate of adverse events with BoNTÃƒÂ¢Ã¢â€šÂ¬Ã‚ÂA is similar to placebo. BoNTÃƒÂ¢Ã¢â€šÂ¬Ã‚ÂA is not more effective than ankle serial casting to treat ankle contractures for any of the assessed outcomes, but is more effective than orthotics at improving range of motion and spasticity. Plain language summary Botulinum toxin type A injections for the treatment of lower limb spasticity in cerebral palsy Background Cerebral palsy (CP) is a nonÃƒÂ¢Ã¢â€šÂ¬Ã‚Âprogressive, lifelong condition resulting from damage to the developing brain. Over time, most children with CP will develop abnormal muscle activity and stiffness/overactivity (spasticity) that affects at least one limb and interferes with their normal movement. Treatments for spasticity include physiotherapy, oral antispasticity drugs (a type of medication that works to relax the muscles and relieve spasticity), casts, splints, orthopaedic surgery, and botulinum toxin A (BoNTÃƒÂ¢Ã¢â€šÂ¬Ã‚ÂA; a poisonous biological substance that is thought to relieve spasticity by reducing muscle overactivity when injected into the muscle). This review looked at the effects of BoNTÃƒÂ¢Ã¢â€šÂ¬Ã‚ÂA. Review question The aim of this review was to assess and summarise scientific studies comparing BoNTÃƒÂ¢Ã¢â€šÂ¬Ã‚ÂA injections to other treatments for lower limb spasticity in children with CP. Study characteristics We found 31 studies assessing 1508 participants. The use of BoNTÃƒÂ¢Ã¢â€šÂ¬Ã‚ÂA in the lower limb muscles was compared to: (1) children's regular care or physiotherapy, (2) placebo (fake injections), (3) a series of belowÃƒÂ¢Ã¢â€šÂ¬Ã‚Âknee plaster casts, and (4) leg splints. Key results Children receiving BoNTÃƒÂ¢Ã¢â€šÂ¬Ã‚ÂA injections tended to have improved walking pattern (gait), joint range of motion, satisfaction with outcome of treatment, and muscle spasms compared with their usual programme of care or physiotherapy, or placebo. Measures of function tended to show only modest improvements in children receiving BoNTÃƒÂ¢Ã¢â€šÂ¬Ã‚ÂA injections. The rate of side effects was similar when comparing BoNTÃƒÂ¢Ã¢â€šÂ¬Ã‚ÂA injections to placebo. BoNTÃƒÂ¢Ã¢â€šÂ¬Ã‚ÂA injections and plaster cas s below the knee produced similar benefits in walking and joint motion and relieving spasms. In addition, BoNTÃƒÂ¢Ã¢â€šÂ¬Ã‚ÂA provided better results in terms of joint range of motion compared to a specific type of splinting (Johnstone pressure splints). Quality of the evidence We considered the quality of the evidence as very low for the comparison BoNTÃƒÂ¢Ã¢â€šÂ¬Ã‚ÂA versus usual care or physiotherapy; moderate for the comparison BoNTÃƒÂ¢Ã¢â€šÂ¬Ã‚ÂA versus placebo; moderate and low for the comparison BoNTÃƒÂ¢Ã¢â€šÂ¬Ã‚ÂA versus plaster casts; and very low for the comparison BoNTÃƒÂ¢Ã¢â€šÂ¬Ã‚ÂA versus splints. Conclusion There is limited evidence that, compared to placebo or regular care, BoNTÃƒÂ¢Ã¢â€šÂ¬Ã‚ÂA improves walking, joint motion, satisfaction with the outcome of treatment, and muscle spasticity in children with CP. The rate of side effects with BoNTÃƒÂ¢Ã¢â€šÂ¬Ã‚ÂA was similar to placebo. BoNTÃƒÂ¢Ã¢â€šÂ¬Ã‚ÂA was no better than plaster casts in any of our analyses, but was better than splints at improving range of motion and spasticity.</t>
  </si>
  <si>
    <t>- Background Heavy menstrual bleeding (HMB) is a menstrual blood loss perceived by women as excessive that affects the health of women of reproductive age, interfering with their physical, emotional, social and material quality of life. Whilst abnormal menstrual bleeding may be associated with underlying pathology, in the present context, HMB is defined as excessive menstrual bleeding in the absence of other systemic or gynaecological disease. The firstÃƒÂ¢Ã¢â€šÂ¬Ã‚Âline therapy is usually medical, avoiding possibly unnecessary surgery. Of the wide variety of medications used to reduce HMB, oral progestogens were originally the most commonly prescribed agents. This review assesses the effectiveness of two different types and regimens of oral progestogens in reducing ovulatory HMB. This is the update of a Cochrane review last updated in 2007, and originally named Effectiveness of cyclical progestagen therapy in reducing heavy menstrual bleeding" (1998). Objectives To determine the effectiveness, safety and tolerability of oral progestogen therapy taken either during the luteal phase (short cycle) or for a longer course of 21 days per cycle (long cycle), in achieving a reduction in menstrual blood loss in women of reproductive age with HMB. Search methods In January 2019 we searched Cochrane Gynaecology and Fertility's specialized register, CENTRAL, MEDLINE, Embase, CINAHL and PsycInfo. We also searched trials registers, other sources of unpublished or grey literature and reference lists of retrieved trials. We also checked citation lists of review articles to identify trials. Selection criteria Randomized controlled trials (RCTs) comparing different treatments for HMB that included cyclical oral progestogens were eligible. Data collection and analysis Two review authors independently selected trials for inclusion, assessed trials for risk of bias and extracted data. We contacted trial authors for clarification of methods or additional data when necessary. We only assessed adverse events if they were separately measured in the included trials. We compared cyclical oral progestogen in different regimens and placebo or other treatments. Our primary outcomes were menstrual blood loss and satisfaction with treatment; the secondary outcomes were number of days of bleeding, quality of life, compliance and acceptability of treatment, adverse events and costs. Main results This review identified 15 randomized controlled trials (RCTs) with 1071 women in total. Most of the women knew which treatment they were receiving, which may have influenced their judgements about menstrual blood loss and satisfaction. Other aspects of trial quality varied among trials. We did not identify any RCTs comparing progestogen treatment with placebo . We assessed comparisons between oral progestogens and other medical therapies separately according to different regimens. ShortÃƒÂ¢Ã¢â€šÂ¬Ã‚Âcycle progestogen therapy during the luteal phase (medroxyprogesterone acetate or norethisterone for 7 to 10 days, from day 15 to 19) was inferior to other medical therapy, including tranexamic acid, danazol and the progestogenÃƒÂ¢Ã¢â€šÂ¬Ã‚Âreleasing intrauterine system (PgÃƒÂ¢Ã¢â€šÂ¬Ã‚ÂIUS (off the market since 2001)), releasing 60 mcg of progesterone daily, with respect to reduction of menstrual blood loss (mean difference (MD) 37.29, 95% confidence interval (CI) 17.67 to 56.91; I 2 = 50%; 6 trials, 145 women, lowÃƒÂ¢Ã¢â€šÂ¬Ã‚Âquality evidence). The rate of satisfaction and the quality of life with treatment was similar in both groups. The number of bleeding days was greater on the short cycle progestogen group compared to other medical treatments. Adverse events (such as gastrointestinal symptoms and weight gain) were more likely with danazol when compared with progestogen treatment. We note that danazol is no longer in general use for treating HMB. LongÃƒÂ¢Ã¢â€šÂ¬Ã‚Âcycle progestogen therapy (medroxyprogesterone acetate or norethisterone), from day 5 to day 26 of the menstrual cycle, is also inferior compared to the levonorgestrelÃƒÂ¢Ã¢â€šÂ¬Ã‚Âreleasing intrauterine system (LNGÃƒÂ¢Ã¢â€šÂ¬Ã‚ÂIUS), tranexamic acid and ormeloxifene, ut may be similar to the combined vaginal ring with respect to reduction of menstrual blood loss (MD 16.88, 95% CI 10.93 to 22.84; I 2 = 87%; 4 trials, 355 women, very lowÃƒÂ¢Ã¢â€šÂ¬Ã‚Âquality evidence). There was no clear evidence of a difference between progestogen therapy long cycle and other medical therapy in terms of headache (OR 1.45, 95% CI 0.40 to 5.31; I 2 = 0%; 2 trials, 189 women; lowÃƒÂ¢Ã¢â€šÂ¬Ã‚Âquality evidence). Breakthrough bleeding or spotting was more likely in women with the LNGÃƒÂ¢Ã¢â€šÂ¬Ã‚ÂIUS (OR 0.18, 95% CI 0.06 to 0.55; I 2 = 0%; 3 trials, 220 women; lowÃƒÂ¢Ã¢â€šÂ¬Ã‚Âquality evidence). No trials reported on days of bleeding or quality of life for this comparison. The evidence supporting these findings was limited by low or very low gradings of quality; thus, we are uncertain about the findings and there is a potential that they may change if we identify other trials. Authors' conclusions LowÃƒÂ¢Ã¢â€šÂ¬Ã‚Â or very lowÃƒÂ¢Ã¢â€šÂ¬Ã‚Âquality evidence suggests that shortÃƒÂ¢Ã¢â€šÂ¬Ã‚Âcourse progestogen was inferior to other medical therapy, including tranexamic acid, danazol and the PgÃƒÂ¢Ã¢â€šÂ¬Ã‚ÂIUS with respect to reduction of menstrual blood loss. Long cycle progestogen therapy (medroxyprogesterone acetate or norethisterone) was also inferior to the LNGÃƒÂ¢Ã¢â€šÂ¬Ã‚ÂIUS, tranexamic acid and ormeloxifene, but may be similar to the combined vaginal ring with respect to reduction of menstrual blood loss. Plain language summary Are cyclical progestogens an effective and safe treatment for heavy menstrual bleeding compared to other medical treatments? Background Heavy menstrual bleeding (HMB) is menstrual bleeding (periods) that interferes with a woman's quality of life, either physical, emotional, social or material, independently of the actual amount of blood loss. Most women with HMB do not have any associated physical cause, such as fibroids, so getting help that does not involve surgery is an attractive alternative. A cyclical progestogen is a hormone tablet that can be taken by mouth for either 10 days or 3 to 4 weeks per month for the treatment of HMB (short or long course cyclical progestogen). Trial characteristics This review identified 15 randomized controlled trials (clinical studies where people are randomly put into one of two or more treatment groups) with 1071 women in total comparing oral progestogens to other medical treatment for HMB (other oral treatments, intrauterine device and vaginal ring). Our primary outcomes were menstrual blood loss and satisfaction with treatment; the secondary outcomes were number of days of bleeding, quality of life, compliance and acceptability of treatment, adverse events and costs. Evidence is current to January 2019. Key results This review of trials found that progestogen hormone tablets taken by mouth for 10 days per month (short course) were less effective at reducing menstrual blood loss when compared to other medical treatments. We are uncertain whether they improved satisfaction or quality of life in women with HMB, or were associated with any difference in adverse effects when compared to other medical treatments. Even though it was less effective at reducing menstrual blood loss, satisfaction with treatment was similar to other medical treatments such as tranexamic acid and PgÃƒÂ¢Ã¢â€šÂ¬Ã‚ÂIUS. We found that progestogen hormone tablets, taken by mouth for three to four weeks from day 5 to 26 of the menstrual cycle (long course), reduced menstrual blood loss but this treatment may be less effective than tranexamic acid, combined hormonal contraceptives and the levonorgestrelÃƒÂ¢Ã¢â€šÂ¬Ã‚Âreleasing intrauterine device. No studies in this comparison reported on quality of life. Satisfaction with treatment was similar to women using the combined vaginal ring, but there were no data to compare satisfaction between long cycle and LNGÃƒÂ¢Ã¢â€šÂ¬Ã‚ÂIUS or tranexamic acid. There was no evidence of a difference in the occurrence of headache, but long course oral progestogens were associated with a significantly lower incidence of breakthrough bleeding compared with other medical treatment. Quality of the evidence The quality of the evidence that compared oral progestogens (shor and long course) to other medical treatments for HMB was either low or very low which means that we are very uncertain of the findings of the review. The main limitations were risk of bias (women and researchers were aware of the treatment they were receiving which was likely to interfere with the responses, and there was a high number of dropouts from studies) and inconsistency (the results varied among studies)."</t>
  </si>
  <si>
    <t>- Background Psychosis is a serious mental condition characterised by a loss of contact with reality. There may be a prodromal period or stage of psychosis, where early signs of symptoms indicating onset of first episode psychosis (FEP) occur. A number of services, incorporating multimodal treatment approaches (pharmacotherapy, psychotherapy and psychosocial interventions), developed worldwide, now focus on this prodromal period with the aim of preventing psychosis in people at risk of developing FEP. Objectives The primary objective is to assess the safety and efficacy of early interventions for people in the prodromal stage of psychosis. The secondary objective is, if possible, to compare the effectiveness of the various different interventions. Search methods We searched Cochrane Schizophrenia's studyÃƒÂ¢Ã¢â€šÂ¬Ã‚Âbased Register of studies (including trials registers) on 8 June 2016 and 4 August 2017. Selection criteria All randomised controlled trials (RCTs) evaluating interventions for participants older than 12 years, who had developed a prodromal stage of psychosis. Data collection and analysis Review authors independently inspected citations, selected studies, extracted data, and assessed study quality. Main results We included 20 studies with 2151 participants. The studies analysed 13 different comparisons. Group A comparisons explored the absolute effects of the experimental intervention. Group B were comparisons within which we could not be clear whether differential interactive effects were also ongoing. Group C comparisons explored differential effects between clearly distinct treatments. A key outcome for this review was ÃƒÂ¢Ã¢â€šÂ¬Ã‹Å“transition to psychosisÃƒÂ¢Ã¢â€šÂ¬Ã¢â€žÂ¢. For details of other main outcomes please see 'Summary of findings' tables. In Group A (comparisons of absolute effects) we found no clear difference between amino acids and placebo (risk ratio (RR) 0.48 95% confidence interval (CI) 0.08 to 2.98; 2 RCTs, 52 participants; very lowÃƒÂ¢Ã¢â€šÂ¬Ã‚Âquality evidence). When omegaÃƒÂ¢Ã¢â€šÂ¬Ã‚Â3 fatty acids were compared to placebo, fewer participants given the omegaÃƒÂ¢Ã¢â€šÂ¬Ã‚Â3 (10%) transitioned to psychosis compared to the placebo group (33%) during longÃƒÂ¢Ã¢â€šÂ¬Ã‚Âterm followÃƒÂ¢Ã¢â€šÂ¬Ã‚Âup of seven years (RR 0.24 95% CI 0.09 to 0.67; 1 RCT, 81 participants; lowÃƒÂ¢Ã¢â€šÂ¬Ã‚Âquality evidence). In Group B (comparisons where complex interactions are probable) and in the subgroup focusing on antipsychotic drugs added to specific care packages, the amisulpiride + needsÃƒÂ¢Ã¢â€šÂ¬Ã‚Âfocused intervention (NFI) compared to NFI comparison (no reporting of transition to psychosis; 1 RCT, 102 participants; very lowÃƒÂ¢Ã¢â€šÂ¬Ã‚Âquality evidence) and the olanzapine + supportive intervention compared to supportive intervention alone comparison (RR 0.58 95% CI 0.28 to 1.18; 1 RCT, 60 participants; very lowÃƒÂ¢Ã¢â€šÂ¬Ã‚Âquality evidence) showed no clear differences between groups. In the second Group B subgroup (cognitive behavioural therapies (CBT)), when CBT + supportive therapy was compared with supportive therapy alone around 8% of participants allocated to the combination of CBT and supportive therapy group transitioned to psychosis during followÃƒÂ¢Ã¢â€šÂ¬Ã‚Âup by 18 months, compared with double that percentage in the supportive therapy alone group (RR 0.45 95% CI 0.23 to 0.89; 2 RCTs, 252 participants; very lowÃƒÂ¢Ã¢â€šÂ¬Ã‚Âquality evidence). The CBT + risperidone versus CBT + placebo comparison identified no clear difference between treatments (RR 1.02 95% CI 0.39 to 2.67; 1 RCT, 87 participants; very lowÃƒÂ¢Ã¢â€šÂ¬Ã‚Âquality evidence) and this also applies to the CBT + needsÃƒÂ¢Ã¢â€šÂ¬Ã‚Âbased intervention (NBI) + risperidone versus NBI comparison (RR 0.75 95% CI 0.39 to 1.46; 1 RCT, 59 participants; very lowÃƒÂ¢Ã¢â€šÂ¬Ã‚Âquality evidence). Group C (differential effects) also involved six comparisons. The first compared CBT with supportive therapy. No clear difference was found for the ÃƒÂ¢Ã¢â€šÂ¬Ã‹Å“transition to psychosisÃƒÂ¢Ã¢â€šÂ¬Ã¢â€žÂ¢ outcome (RR 0.74 95% CI 0.28 to 1.98; 1 RCT, 72 participants; very lowÃƒÂ¢Ã¢â€šÂ¬Ã‚Âquality evidence). The second subgroup compared CBT + supportive intervention was compared with a NBI + supportive intervention, again, data were equivocal, few and of very low quality (RR 6.32 95% CI 0.34 to 117.09; 1 RCT, 57 participants). In the CBT + risperidone versus supportive therapy comparison, again there was no clear difference between groups (RR 0.76 95% CI 0.28 to 2.03; 1 RCT, 71 participants; very lowÃƒÂ¢Ã¢â€šÂ¬Ã‚Âquality evidence). The three other comparisons in Group C demonstrated no clear differences between treatment groups. When cognitive training was compared to active control (tablet games) (no reporting of transition to psychosis; 1 RCT, 62 participants; very low quality data), family treatment compared with enhanced care comparison (RR 0.54 95% CI 0.18 to 1.59; 2 RCTs, 229 participants; very lowÃƒÂ¢Ã¢â€šÂ¬Ã‚Âquality evidence) and integrated treatment compared to standard treatment comparison (RR 0.57 95% CI 0.28 to 1.15; 1 RCT, 79 participants; very lowÃƒÂ¢Ã¢â€šÂ¬Ã‚Âquality evidence) no effects of any of these approaches was evident. Authors' conclusions There has been considerable research effort in this area and several interventions have been trialled. The evidence available suggests that omegaÃƒÂ¢Ã¢â€šÂ¬Ã‚Â3 fatty acids may prevent transition to psychosis but this evidence is low quality and more research is needed to confirm this finding. Other comparisons did not show any clear differences in effect for preventing transition to psychosis but again, the quality of this evidence is very low or low and not strong enough to make firm conclusions. Plain language summary Early interventions for people at risk of developing psychosis Review question Is there highÃƒÂ¢Ã¢â€šÂ¬Ã‚Âquality evidence indicating that interventions for people at risk of developing psychosis are effective? Background Psychoses are serious mental conditions characterised by a loss of contact with reality. The first clear episode of psychosis can be preceded by a 'prodromal' period of at least six months, where a person experiences gradual nonÃƒÂ¢Ã¢â€šÂ¬Ã‚Âspecific changes in thoughts, perceptions, behaviours and functioning. Although an individual is experiencing changes, they have not yet started to experience the more obvious psychotic symptoms such as delusions (fixed false beliefs) or hallucinations (perceptions without a cause). A number of services with treatment approaches that combine pharmacotherapy, psychotherapy and psychosocial treatments, developed worldwide, are now focusing on prevention of psychosis in people at risk by giving treatments during this prodromal period. This review assesses the evidence available concerning the effects of different treatment approaches for people not yet diagnosed with a non affective psychosis but who are in the prodromal stage of psychosis. Searching for evidence On 8 June 2016 and 4 August 2017 we ran electronic searches of the Cochrane Schizophrenia's specialised register of studies in order to find clinical studies that randomly allocated individuals at risk of developing psychosis to receive various treatments for preventing development of psychosis. Evidence found We were able to include 20 studies with 2151 participants. These studies analysed a wide range of treatments. All the review findings are of, at very best, low quality. There is some suggestion from one small study that people at risk of psychosis may benefit from taking omegaÃƒÂ¢Ã¢â€šÂ¬Ã‚Â3 fatty acids in terms of reduced transition to psychosis. Other studies found adding antipsychotic drugs to supportiveÃƒÂ¢Ã¢â€šÂ¬Ã‚Âcare packages did not seem to make much difference in terms of transition to full illness. When cognitive behavioural therapy (CBT) + supportive therapy was compared with supportive therapy alone around 8% of participants treated allocated to the combination of CBT and supportive therapy transitioned to psychosis during followÃƒÂ¢Ã¢â€šÂ¬Ã‚Âup by 18 months, compared with double that percentage in people who just received supportive therapy. This could be important but these data are of very low quality. All other testing of CBT and other packages of care found no clear difference between treatments for transition to psychosis. Conclusions There has been considerable effort and expense invested testing treatment approaches for prevention of the first episode of schizophr nia. Currently, there is some lowÃƒÂ¢Ã¢â€šÂ¬Ã‚Âquality evidence suggesting that omegaÃƒÂ¢Ã¢â€šÂ¬Ã‚Â3 fatty acids may be effective, but there is no highÃƒÂ¢Ã¢â€šÂ¬Ã‚Âquality evidence to suggest that any type of treatment is effective, and no firm conclusions can be made.</t>
  </si>
  <si>
    <t>- Background Acute anterior shoulder dislocation, which is the most common type of dislocation, usually results from an injury. Subsequently, the shoulder is less stable and is more susceptible to reÃƒÂ¢Ã¢â€šÂ¬Ã‚Âdislocation or recurrent instability (e.g. subluxation), especially in active young adults. After closed reduction, most of these injuries are treated with immobilisation of the injured arm in a sling or brace for a few weeks, followed by exercises. This is an update of a Cochrane Review first published in 2006 and last updated in 2014. Objectives To assess the effects (benefits and harms) of conservative interventions after closed reduction of traumatic anterior dislocation of the shoulder. These might include immobilisation, rehabilitative interventions or both. Search methods We searched the Cochrane Bone, Joint and Muscle Trauma Group Specialised Register, the Cochrane Central Register of Controlled Trials, MEDLINE, Embase, CINAHL, PEDro and trial registries. We also searched conference proceedings and reference lists of included studies. Date of last search: May 2018. Selection criteria We included randomised or quasiÃƒÂ¢Ã¢â€šÂ¬Ã‚Ârandomised controlled trials comparing conservative interventions with no treatment, a different intervention or a variant of the intervention (e.g. a different duration) for treating people after closed reduction of a primary traumatic anterior shoulder dislocation. Inclusion was regardless of age, sex or mechanism of injury. Primary outcomes were reÃƒÂ¢Ã¢â€šÂ¬Ã‚Âdislocation, patientÃƒÂ¢Ã¢â€šÂ¬Ã‚Âreported shoulder instability measures and return to preÃƒÂ¢Ã¢â€šÂ¬Ã‚Âinjury activities. Secondary outcomes included participant satisfaction, healthÃƒÂ¢Ã¢â€šÂ¬Ã‚Ârelated quality of life, any instability and adverse events. Data collection and analysis Both review authors independently selected studies, assessed risk of bias and extracted data. We contacted study authors for additional information. We pooled results of comparable groups of studies. We assessed risk of bias with the Cochrane 'Risk of bias' tool and the quality of the evidence with the GRADE approach. Main results We included seven trials (six randomised controlled trials and one quasiÃƒÂ¢Ã¢â€šÂ¬Ã‚Ârandomised controlled trial) with 704 participants; three of these trials (234 participants) are new to this update. The mean age across the trials was 29 years (range 12 to 90 years), and 82% of the participants were male. All trials compared immobilisation in external rotation (with or without an additional abduction component) versus internal rotation (the traditional method) following closed reduction. No trial evaluated any other interventions or comparisons, such as rehabilitation. All trials provided data for a followÃƒÂ¢Ã¢â€šÂ¬Ã‚Âup of one year or longer; the commonest length was two years or longer. All trials were at some risk of bias, commonly performance and detection biases given the lack of blinding. Two trials were at high risk of selection bias and some trials were affected by attrition bias for some outcomes. We rated the certainty of the evidence as very low for all outcomes. We are uncertain whether immobilisation in external rotation makes a difference to the risk of reÃƒÂ¢Ã¢â€šÂ¬Ã‚Âdislocation after 12 months' or longer followÃƒÂ¢Ã¢â€šÂ¬Ã‚Âup compared with immobilisation in internal rotation (55/245 versus 73/243; risk ratio (RR) 0.67, 95% confidence interval (CI) 0.38 to 1.19; 488 participants; 6 studies; IÃƒâ€šÃ‚Â² = 61%; very low certainty evidence). In a moderateÃƒÂ¢Ã¢â€šÂ¬Ã‚Ârisk population with an illustrative risk of 312 per 1000 people experiencing a dislocation in the internal rotation group, this equates to 103 fewer (95% CI 194 fewer to 60 more) reÃƒÂ¢Ã¢â€šÂ¬Ã‚Âdislocations after immobilisation in external rotation. Thus this result covers the possibility of a benefit for each intervention. Individually, the four studies (380 participants) reporting on validated patientÃƒÂ¢Ã¢â€šÂ¬Ã‚Âreported outcome measures for shoulder instability at a minimum of 12 months' followÃƒÂ¢Ã¢â€šÂ¬Ã‚Âup found no evidence of a clinically important difference between the two interventions. We are uncertain of the relative effects of the two methods of immobilisat on on resumption of preÃƒÂ¢Ã¢â€šÂ¬Ã‚Âinjury activities or sports. One study (169 participants) found no evidence of a difference between interventions in the return to preÃƒÂ¢Ã¢â€šÂ¬Ã‚Âinjury activity of the affected arm. Two studies (135 participants) found greater return to sports in the external rotation group in a subgroup of participants who had sustained their injury during sports activities. None of the trials reported on participant satisfaction or healthÃƒÂ¢Ã¢â€šÂ¬Ã‚Ârelated quality of life. We are uncertain whether there is a difference between the two interventions in the number of participants experiencing instability, defined as either reÃƒÂ¢Ã¢â€šÂ¬Ã‚Âdislocation or subluxation (RR 0.84, 95% CI 0.62 to 1.14; 395 participants, 3 studies; very low certainty evidence). Data on adverse events were collected only in an ad hoc way in the seven studies. Reported transient and resolved adverse events" were nine cases of shoulder stiffness or rigidity in the external rotation group and two cases of axillary rash in the internal rotation group. There were three "important" adverse events: hyperaesthesia and moderate hand pain; eighth cervical dermatome paraesthesia; and major movement restriction between 6 and 12 months. It was unclear to what extent these three events could be attributed to the treatment. Authors' conclusions The available evidence from randomised trials is limited to that comparing immobilisation in external versus internal rotation. Overall, the evidence is insufficient to draw firm conclusions about whether immobilisation in external rotation confers any benefit over immobilisation in internal rotation. Considering that there are several unpublished and ongoing trials evaluating immobilisation in external versus internal rotation, the main priority for research on this question consists of the publication of completed trials and the completion and publication of ongoing trials. Meanwhile, evaluation of other interventions, including rehabilitation, is warranted. There is a need for sufficiently large, goodÃƒÂ¢Ã¢â€šÂ¬Ã‚Âquality, wellÃƒÂ¢Ã¢â€šÂ¬Ã‚Âreported randomised controlled trials with longÃƒÂ¢Ã¢â€šÂ¬Ã‚Âterm followÃƒÂ¢Ã¢â€šÂ¬Ã‚Âup. Future research should aim to determine the optimal immobilisation duration, precise indications for immobilisation, optimal rehabilitation interventions, and the acceptability of these different interventions. Plain language summary NonÃƒÂ¢Ã¢â€šÂ¬Ã‚Âsurgical management after nonÃƒÂ¢Ã¢â€šÂ¬Ã‚Âsurgical repositioning of traumatic anterior dislocation of the shoulder Background Acute anterior shoulder dislocation is an injury in which the top end of the upper arm bone is pushed out of the joint socket in a forward direction. Afterwards, the shoulder is less stable, and prone to either partial or complete reÃƒÂ¢Ã¢â€šÂ¬Ã‚Âdislocation, especially in active young adults. Initial treatment involves putting the joint back in place. This is called ÃƒÂ¢Ã¢â€šÂ¬Ã‹Å“closed reductionÃƒÂ¢Ã¢â€šÂ¬Ã¢â€žÂ¢ when it is done without surgery. Subsequent treatment is often conservative (nonÃƒÂ¢Ã¢â€šÂ¬Ã‚Âsurgical) and usually involves a period of immobilisation of the injured arm in a sling or brace, followed by exercises. Review question What are the benefits and harms of different conservative interventions for treating people after closed reduction of a primary traumatic anterior shoulder dislocation? This is an update of a review that was first published in 2006 and last updated in 2014. We reviewed the evidence from clinical studies comparing any conservative intervention (e.g. immobilisation, rehabilitation) versus no treatment or a different intervention, or comparing different variants of an intervention (e.g. different duration). The primary outcomes of interest were reÃƒÂ¢Ã¢â€šÂ¬Ã‚Âdislocation, patientÃƒÂ¢Ã¢â€šÂ¬Ã‚Âreported shoulder instability measures (usually questionnaires) and return to preÃƒÂ¢Ã¢â€šÂ¬Ã‚Âinjury activities. Further outcomes of interest included patientsÃƒÂ¢Ã¢â€šÂ¬Ã¢â€žÂ¢ satisfaction with the intervention, healthÃƒÂ¢Ã¢â€šÂ¬Ã‚Ârelated quality of life and adverse events. Search date We conducted the searches of healthcare literature for this review in May 2018. Study characteristics We identified three new relevant studies in this update. In total, this review now includes seven studies with 704 participants. Most of the participants (82%) were male; the average age across the studies was 29 years (range 12 to 90 years). All of the studies investigated just one comparison: immobilisation in external rotation (when the arm is orientated outwards with the forearm away from the chest) versus immobilisation in internal rotation (the usual sling position, where the arm rests against the chest) following closed reduction. Participants were followed over different lengths of time; the most common duration was two years or longer. Key results We are uncertain whether immobilisation in external rotation makes a difference to the risk of reÃƒÂ¢Ã¢â€šÂ¬Ã‚Âdislocation at oneÃƒÂ¢Ã¢â€šÂ¬Ã‚Âyear or more followÃƒÂ¢Ã¢â€šÂ¬Ã‚Âup compared with immobilisation in internal rotation. None of the four studies reporting on patientÃƒÂ¢Ã¢â€šÂ¬Ã‚Âreported outcome measures for shoulder instability at a minimum of oneÃƒÂ¢Ã¢â€šÂ¬Ã‚Âyear followÃƒÂ¢Ã¢â€šÂ¬Ã‚Âup found evidence of any important difference between the two interventions. We are uncertain of the relative effects of the two methods of immobilisation on resumption of preÃƒÂ¢Ã¢â€šÂ¬Ã‚Âinjury activities or sports. One study found no evidence of a difference between interventions in the return to preÃƒÂ¢Ã¢â€šÂ¬Ã‚Âinjury activity of the affected arm. Two other studies found greater return to sports in the external rotation group in a small group of participants who had sustained their injury during sports activities. None of the trials reported on participant satisfaction or healthÃƒÂ¢Ã¢â€šÂ¬Ã‚Ârelated quality of life. We are uncertain whether there is a difference between the two interventions in the number of participants experiencing instability, defined as either reÃƒÂ¢Ã¢â€šÂ¬Ã‚Âdislocation or subluxation (a partial dislocation). The reporting of adverse events (complications) was unsatisfactory. There were reports of nine cases of shortÃƒÂ¢Ã¢â€šÂ¬Ã‚Âterm shoulder stiffness in the external rotation group and two cases of underÃƒÂ¢Ã¢â€šÂ¬Ã‚Âarm rash in the internal fixation group. There were three more serious adverse events: abnormal sensitivity and hand pain; abnormal sensation such as tingling in the little finger and along to the elbow; and major movement restriction. It was unclear to what extent these three adverse events could be attributed to the treatment. Certainty of the evidence We rated the certainty of the evidence as very low for all outcomes. This was mainly because there were not enough data and we were unsure how reliable the results were from the individual studies. Thus we are uncertain about the estimates of effect. Conclusions Overall, the current evidence is insufficient to inform the choice of immobilisation in external versus internal rotation. There is no evidence to inform on any other conservative interventions following closed reduction of traumatic anterior dislocation of the shoulder."</t>
  </si>
  <si>
    <t>include_stage6</t>
  </si>
  <si>
    <t>reason_stage6</t>
  </si>
  <si>
    <t>main_shift</t>
  </si>
  <si>
    <t>shifts_detected</t>
  </si>
  <si>
    <t>confidence_stage6</t>
  </si>
  <si>
    <t>Focuses on cost-effectiveness of a treatment, not NHS shifts.</t>
  </si>
  <si>
    <t>None</t>
  </si>
  <si>
    <t>Focuses on treatment efficacy, not NHS shifts.</t>
  </si>
  <si>
    <t>Prevention</t>
  </si>
  <si>
    <t>Focuses on treatment comparison, not aligned with NHS shifts.</t>
  </si>
  <si>
    <t>Focuses on perioperative beta-blockers, not NHS shifts.</t>
  </si>
  <si>
    <t>Focus on prevention through diet and physical activity interventions.</t>
  </si>
  <si>
    <t>No shift</t>
  </si>
  <si>
    <t>Prevention?</t>
  </si>
  <si>
    <t>Community</t>
  </si>
  <si>
    <t>Digital</t>
  </si>
  <si>
    <t>Community - also Prevention</t>
  </si>
  <si>
    <t>Prevention (but more focussed on the model)</t>
  </si>
  <si>
    <t>No shift (could be Prevention)</t>
  </si>
  <si>
    <t xml:space="preserve">No shift </t>
  </si>
  <si>
    <t>FF_include_stage6</t>
  </si>
  <si>
    <t>Focuses on treatment rather than prevention or community care.</t>
  </si>
  <si>
    <t>Focus on preventing preterm birth aligns with prevention shift.</t>
  </si>
  <si>
    <t>Background: Strategies to control varicella vary across Europe. Evidence from established programmes has prompted the United Kingdom to re-evaluate the need for universal vaccination. The burden of complicated varicella is a key parameter in the cost-effectiveness analysis. Aim(s): Our objective was to estimate the burden of complicated varicella in England. Method(s): This electronic health record surveillance study used data from all NHS hospitals in England to identify varicella admissions between 2004 and 2017. The incidence of pre-defined complications of varicella was estimated using ICD-10 codes. Inpatient costs were calculated based on the payment rules for providers of NHS services. Result(s): There were 61,024 admissions with varicella between 2004 and 2017 and 38.1% had a recognised varicella complication. Incidence of hospitalisation increased by 25% and the proportion with complicated varicella by 24% from 2004/05 to 2016/17. The most common complications were bacterial skin infections (11.25%), pneumonia (4.82%), febrile convulsions (3.39%) and encephalitis (2.44%). Complication rates were higher in older age groups and the type of complications more severe. Length of stay for complicated varicella was 3.1 times longer than for uncomplicated varicella and inpatient costs were 72% greater. Conclusion(s): Complicated varicella has a substantial health and economic burden. These data together with data on impact on quality of life are important in informing the cost-effectiveness analysis of universal varicella vaccination. Copyright Ãƒâ€šÃ‚Â© 2019 European Centre for Disease Prevention and Control (ECDC). All rights reserved.</t>
  </si>
  <si>
    <t>ÃƒÂ¢Ã¢â€šÂ¬Ã¢â‚¬Â¹Primary closure versus delayed or no closure for traumatic wounds due to mammalian bite</t>
  </si>
  <si>
    <t>- Background Mammalian bites are a common presentation in emergency and primary healthcare facilities across the world. The World Health Organization recommends postponing the suturing of a bite wound but this has not been evaluated through a systematic review. Objectives To assess the effects of primary closure compared with delayed closure or no closure for mammalian bite wounds. Search methods In July 2019 we searched the Cochrane Wounds Specialised Register; the Cochrane Central Register of Controlled Trials (CENTRAL); Ovid MEDLINE (including InÃƒÂ¢Ã¢â€šÂ¬Ã‚ÂProcess &amp; Other NonÃƒÂ¢Ã¢â€šÂ¬Ã‚ÂIndexed Citations); Ovid Embase and EBSCO CINAHL Plus. We also searched clinical trials registries for ongoing and unpublished studies, and scanned reference lists of relevant included studies as well as reviews, metaÃƒÂ¢Ã¢â€šÂ¬Ã‚Âanalyses and health technology reports to identify additional studies. There were no restrictions with respect to language, date of publication or study setting. Selection criteria We included randomised controlled trials which compared primary closure with delayed or no closure for traumatic wounds due to mammalian bite. Data collection and analysis Two review authors independently screened titles, abstracts and fullÃƒÂ¢Ã¢â€šÂ¬Ã‚Âtext publications, applied the inclusion criteria, and extracted data. We pooled data using a randomÃƒÂ¢Ã¢â€šÂ¬Ã‚Âeffects model, as appropriate. We used the Cochrane 'Risk of bias' tool and assessed the certainty of the evidence using the GRADE approach. Main results We found three trials (878 participants) that compared primary closure with no closure for dog bites and one trial (120 participants) that compared primary closure with delayed closure. No other mammalian bite studies were identified. The trials were from the UK (one trial), Greece (one trial) and China (two trials). Overall, participants from both sexes and all age groups were represented. We are uncertain whether primary closure improves the proportion of wounds which are infectionÃƒÂ¢Ã¢â€šÂ¬Ã‚Âfree compared with no closure, as the certainty of evidence for this outcome was judged to be very low (risk ratio (RR) 1.01, 95% confidence interval (CI) 0.97 to 1.05; 2 studies, 782 participants; I 2 = 0%). We downgraded the evidence by one level for high risk of bias and two levels for imprecision. There is no clinically important difference in cosmesis (acceptable physical/cosmetic appearance) of dog bite wounds when primary closure is compared with no closure (mean difference (MD) ÃƒÂ¢Ã¢â€šÂ¬Ã‚Â1.31, 95% CI ÃƒÂ¢Ã¢â€šÂ¬Ã‚Â2.03 to ÃƒÂ¢Ã¢â€šÂ¬Ã‚Â0.59; 1 study, 182 participants). The certainty of evidence for this outcome was judged to be moderate (we downgraded our assessment by one level for imprecision). We are uncertain whether primary closure improves the proportion of dog bite wounds that are infectionÃƒÂ¢Ã¢â€šÂ¬Ã‚Âfree compared with delayed closure, as the evidence for this outcome was judged to be very low (RR 0.98, 95% CI 0.90 to 1.07; 1 study, 120 participants; I 2 = 0%). We downgraded the evidence by one level for high risk of bias and two levels for imprecision. None of the four trials reported any adverse outcomes such as death or rabies but they were, in any case, unlikely to have been large enough to have satisfactory power to provide precise estimates for these. Important outcomes like time to complete wound healing, proportion of wounds healed, and length of hospital stay were not evaluated. Authors' conclusions All the studies we identified concerned dog bites. There is no highÃƒÂ¢Ã¢â€šÂ¬Ã‚Âcertainty evidence to support or refute existing recommendations concerning primary closure for dog bites. The potential benefits and harms of primary closure compared with delayed or no closure for mammalian bites remain uncertain and more robust trials are needed. Plain language summary Primary closure (immediate stitches) versus delayed closure (delayed stitches) or no closure (no stitches) for traumatic wounds due to mammalian bite What is the aim of this review? The aim of this review was to find out whether animal bite wounds heal better when they are closed with stitches straight away (primary closure), or if th wounds are left open to heal for a short time before closure (delayed closure) or not stitched at all (no closure). We wanted to find out which wounds healed fastest, and if the method of closure affected the likelihood of wound infection, the appearance of the scar, the length of time patients were in hospital, and more serious side effects such as death. To answer this question, we collected and analysed all relevant studies (randomised controlled trials). Randomised controlled trials are medical studies where people are chosen at random to receive different treatments. This type of trial provides the most reliable health evidence. We found four relevant studies. Key messages All the studies we found concerned dog bites. In terms of wound infection, we cannot be certain whether it is better to close dog bite wounds straight away, or wait a while before stitching, or leave them with no stitches. There was little difference in the appearance of the bite scar. Most of the evidence we found was of low certainty due to the size of the studies and the methods used. What was studied in the review? Mammalian bite wounds from animals such as dogs, cats and monkeys are a common problem throughout the world. In developed countries, many bite wounds are caused by domestic pets. In lowerÃƒÂ¢Ã¢â€šÂ¬Ã‚Âincome countries bites can also be caused by wild animals. Dogs are generally responsible for the majority of bites. Bite wounds are at high risk of infection as microbes are transmitted into the wound from the animal's mouth. In lowerÃƒÂ¢Ã¢â€šÂ¬Ã‚Âincome countries these wound infections can lead to serious complications and in some cases death. The first priorities when treating an animal bite are to stop the flow of blood from the wound, provide pain relief, and prevent infection. This can include appropriate vaccination against tetanus and rabies. It is often recommended that bite wounds are not stitched straight away if infection is suspected, as closing an infected wound could delay healing and be potentially fatal. What are the main results of the review? In July 2019 we searched for randomised controlled trials comparing primary closure versus delayed or no closure for mammalian bite wounds. We found four relevant studies on dog bites. They were carried out in the UK, Greece and China. No other mammalian bite studies were identified. Three of the studies we included compared primary closure with sutures (immediate stitches) with no closure for dog bite wounds. One study compared primary closure with delayed closure for dog bites. The people in the studies were followed, where stated, from 14 days to three months. Overall, participants from both sexes and all age groups were represented. We are uncertain whether primary closure of dog bite wounds increases the proportion of wounds which are infectionÃƒÂ¢Ã¢â€šÂ¬Ã‚Âfree compared with no closure (very lowÃƒÂ¢Ã¢â€šÂ¬Ã‚Âcertainty evidence from two studies including a total of 782 people) and compared with delayed closure (very lowÃƒÂ¢Ã¢â€šÂ¬Ã‚Âcertainty evidence from one study with a total of 120 people). There is little difference in the appearance of dog bite wounds when primary closure is compared with no closure (moderateÃƒÂ¢Ã¢â€šÂ¬Ã‚Âcertainty evidence from one study with a total of 182 participants). None of the included studies reported proportion of wounds healed, the time to complete wound healing, length of hospital stay or adverse events. The number of people in the included studies was small, and the people who assessed the outcomes were aware of which treatment had been given. Both of these are reasons why the results are uncertain. How up to date is this review? We searched for studies that had been published up to July 2019.</t>
  </si>
  <si>
    <t>Focuses on wound closure methods, not NHS shifts.</t>
  </si>
  <si>
    <t>Background The WHO recognises several specialist rehabilitation provision models; in-patient, outpatient and outreach. Intensive early neurorehabilitation is required after severe Acquired Brain Injury (ABI), usually necessitating in-patient care. In the UK, children receiving specialist neurorehabilitation often remain in-patients for long periods because of the lack of appropriate out-of-hospital provision. Aims To explore feasibility and funding implications of developing a regional specialist neurorehabilitation outreach service to facilitate earlier discharge. Methods Analysis of data on children receiving in-patient neurorehabilitation at a paediatric Regional Neuroscience Centre (RNSC), 2014-2018. Information concerning therapy provision was obtained from Trust Clinical Information System Suite (CISS). Patient dependency and rehabilitation complexity was assessed by Rehabilitation Complexity Scale-Extended (RCS-E), scored by multi-disciplinary team (MDT) at weekly meetings over 15 months. For modelling purposes, a specialist neurorehabilitation outreach tariff equating to 50% in-patient tariff was assumed. Data analysis was undertaken by linear programming model (XpressIveÃƒâ€šÃ‚Â©) and Discrete-Even Simulation (Simul8 Ãƒâ€šÃ‚Â©).Various eligibility criteria for outreach provision were modelled: 1) needing &gt;=1 therapies&lt;3 times/week; 2) Total RCS-E score &lt;9,&lt;11 or&lt;13; 3) Therapy Dependency (TD) +Therapy Intensity (TI) components of RCS-E &lt;5. Results 156 children received neurorehabilitation as in-patients over 4 years. Mean age=7.34 years (range 0.1-17). 66 (55%) were male, 53 (45%) female. 84% had ABI, others acquired spinal injury, acute polyneuropathy or somatisation disorders. 52% lived &gt;40 miles from RNSC, 47%&gt;60 min' drive away. 49% were inpatients 1-28 days; 34%, 29-84 days; 18, 85-168 days; 6,&gt;168 days. Patients showed significant functional improvements between admission to neurorehabilitation and discharge (p&lt;0.001). Modelling suggests 14 outreach centres, including RNSC, would be required to permit 78% patients to access specialist neurorehabilitation &lt;30 mins drive from home; 10 centres would permit 92% to access neurorehabilitation &lt;45 min' drive away; 8 centres would permit 96% to access neurorehabilitation &lt;60 min' drive away. Calculations assuming outreach tariff=50% in-patient tariff, and various RCS data models, suggest annual cost savings ranging from 53,424-166,950; calculations based on CISS data, suggest average savings of 1 05 596 per year (range 98,500-113,526). Conclusion Modelling supports the feasibility and affordability of specialist neurorehabilitation outreach provision, although efficacy remains uncertain.</t>
  </si>
  <si>
    <t>Objectives: Cardiovascular disease (CVD) affects approximately 6 million people in England and costs the NHS an estimated 7 billion a year. A key risk factor for CVD is hypercholesterolaemia. PCSK9 inhibitors, such as alirocumab and evolocumab, are a treatment option for patients who, despite taking the maximum tolerated dose of statins, still have cholesterol higher than recommended levels. This study compares actual prescription of PCSK9 inhibitors with expected use and considers opportunities for improved access to these drugs. Method(s): An analysis of the initial uptake estimates from the NICE resource impact report for alirocumab and evolocumab and actual daily dose (ADD) prescribing data from the NICE innovation scorecard for the same drugs in 2018. The study included a review of the NICE technology appraisal guidance (TAG) for alirocumab (TA393) and evolocumab (TA394), and publications from 2016-2019 relating to uptake of, and guidance and initiatives associated with, PCSK9 inhibitors in England. Result(s): On publication of the TAG for alirocumab and evolocumab in 2016, NICE estimated that there would be 11,542 people receiving PCSK9 inhibitors by 2018. However, analysis of data from the NICE innovation scorecard for 2018 shows that 755,806 ADDs of alirocumab and evolocumab were actually prescribed. This is equivalent to approximately 2,069 people receiving treatment and indicates that uptake of PCSK9 inhibitors was 82% lower than expected in 2018. Conclusion(s): While there is considerable potential for PCSK9 inhibitors to alleviate some of the burden of CVD, prescription of these drugs is considerably lower than expected. Despite price reduction, the cost of PCSK9 inhibitors may remain the main barrier to access to these drugs. Further barriers could include a lack of clear guidance for clinicians, patient identification and, until recently, limited clinical trial data regarding CVD outcomes. New initiatives, such as the Accelerated Access Collaborative, may ultimately lead to improved access to PCSK9 inhibitors. Copyright Ãƒâ€šÃ‚Â© 2019</t>
  </si>
  <si>
    <t>- Background Heavy menstrual bleeding (HMB) is a significant health problem in premenopausal women; it can reduce their quality of life and can cause social disruption and physical problems such as iron deficiency anaemia. FirstÃƒÂ¢Ã¢â€šÂ¬Ã‚Âline treatment has traditionally consisted of medical therapy (hormonal and nonÃƒÂ¢Ã¢â€šÂ¬Ã‚Âhormonal), but this is not always successful in reducing menstrual bleeding to acceptable levels. Hysterectomy is a definitive treatment, but it is more costly and carries some risk. Endometrial ablation may be an alternative to hysterectomy that preserves the uterus. Many techniques have been developed to 'ablate' (remove) the lining of the endometrium. FirstÃƒÂ¢Ã¢â€šÂ¬Ã‚Âgeneration techniques require visualisation of the uterus with a hysteroscope during the procedure; although it is safe, this procedure requires specific technical skills. Newer techniques for endometrial ablation (secondÃƒÂ¢Ã¢â€šÂ¬Ã‚Â and thirdÃƒÂ¢Ã¢â€šÂ¬Ã‚Âgeneration techniques) have been developed that are quicker than previous approaches because they do not require hysteroscopic visualisation during the procedure. Objectives To compare the efficacy, safety, and acceptability of endometrial destruction techniques to reduce heavy menstrual bleeding (HMB) in premenopausal women. Search methods We searched the Cochrane Gynaecology and Fertility Group Specialised Register of controlled trials, the Cochrane Central Register of Controlled Trials (CENTRAL) in the Cochrane Library, MEDLINE, Embase, CINAHL, and PsycInfo (from inception to May 2018). We also searched trials registers, other sources of unpublished or grey literature, and reference lists of retrieved studies, and we made contact with experts in the field and with pharmaceutical companies that manufacture ablation devices. Selection criteria Randomised controlled trials (RCTs) comparing different endometrial ablation or resection techniques for women reporting HMB without known uterine pathology, other than fibroids outside the uterine cavity and smaller than 3 centimetres, were eligible. Outcomes included improvement in HMB and in quality of life, patient satisfaction, operative outcomes, complications, and the need for further surgery, including hysterectomy. Data collection and analysis Two review authors independently selected trials for inclusion, assessed trials for risk of bias, and extracted data. We contacted study authors for clarification of methods or for additional data. We assessed adverse events only if they were separately measured in the included trials. We undertook comparisons with individual techniques as well as an overall comparison of firstÃƒÂ¢Ã¢â€šÂ¬Ã‚Â and secondÃƒÂ¢Ã¢â€šÂ¬Ã‚Âgeneration ablation methods. Main results We included in this update 28 studies (4287 women) with sample sizes ranging from 20 to 372. Most studies had low risk of bias for randomisation, attrition, and selective reporting. Less than half of these studies had adequate allocation concealment, and most were unblinded. Using GRADE, we determined that the quality of evidence ranged from moderate to very low. We downgraded evidence for risk of bias, imprecision, and inconsistency. Overall comparison of secondÃƒÂ¢Ã¢â€šÂ¬Ã‚Âgeneration versus firstÃƒÂ¢Ã¢â€šÂ¬Ã‚Âgeneration (i.e. gold standard hysteroscopic ablative) techniques revealed no evidence of differences in amenorrhoea at 1 year and 2 to 5 years' followÃƒÂ¢Ã¢â€šÂ¬Ã‚Âup (risk ratio (RR) 0.99, 95% confidence interval (CI) 0.78 to 1.27; 12 studies; 2145 women; IÃƒâ€šÃ‚Â² = 77%; and RR 1.16, 95% CI 0.78 to 1.72; 672 women; 4 studies; IÃƒâ€šÃ‚Â² = 80%; very lowÃƒÂ¢Ã¢â€šÂ¬Ã‚Âquality evidence) and showed subjective improvement at 1 year followÃƒÂ¢Ã¢â€šÂ¬Ã‚Âup based on a Pictorial Blood Assessment Chart (PBAC) (&lt; 75 or acceptable improvement) (RR 1.03, 95% CI 0.98 to 1.09; 5 studies; 1282 women; IÃƒâ€šÃ‚Â² = 0%; and RR 1.12, 95% CI 0.97 to 1.28; 236 women; 1 study; lowÃƒÂ¢Ã¢â€šÂ¬Ã‚Âquality evidence). Study results showed no difference in patient satisfaction between secondÃƒÂ¢Ã¢â€šÂ¬Ã‚Â and firstÃƒÂ¢Ã¢â€šÂ¬Ã‚Âgeneration techniques at 1 year followÃƒÂ¢Ã¢â€šÂ¬Ã‚Âup (RR 1.01, 95% CI 0.98 to 1.04; 11 studies; 1750 women; IÃƒâ€šÃ‚Â² = 36%; lowÃƒÂ¢Ã¢â€šÂ¬Ã‚Âquality evidence) nor at 2 to 5 years' followÃƒÂ¢Ã¢â€šÂ¬Ã‚Âup (RR 1.02, 95% CI 0.93 t 1.13; 672 women; 4 studies; IÃƒâ€šÃ‚Â² = 81%). Compared with firstÃƒÂ¢Ã¢â€šÂ¬Ã‚Âgeneration techniques, secondÃƒÂ¢Ã¢â€šÂ¬Ã‚Âgeneration endometrial ablation techniques were associated with shorter operating times (mean difference (MD) ÃƒÂ¢Ã¢â€šÂ¬Ã‚Â13.52 minutes, 95% CI ÃƒÂ¢Ã¢â€šÂ¬Ã‚Â16.90 to ÃƒÂ¢Ã¢â€šÂ¬Ã‚Â10.13; 9 studies; 1822 women; lowÃƒÂ¢Ã¢â€šÂ¬Ã‚Âquality evidence) and more often were performed under local rather than general anaesthesia (RR 2.8, 95% CI 1.8 to 4.4; 6 studies; 1434 women; lowÃƒÂ¢Ã¢â€šÂ¬Ã‚Âquality evidence). We are uncertain whether perforation rates differed between secondÃƒÂ¢Ã¢â€šÂ¬Ã‚Â and firstÃƒÂ¢Ã¢â€šÂ¬Ã‚Âgeneration techniques (RR 0.32, 95% CI 0.10 to 1.01; 1885 women; 8 studies; IÃƒâ€šÃ‚Â² = 0%). Trials reported little or no difference between secondÃƒÂ¢Ã¢â€šÂ¬Ã‚Â and firstÃƒÂ¢Ã¢â€šÂ¬Ã‚Âgeneration techniques in requirement for additional surgery (ablation or hysterectomy) at 1 year followÃƒÂ¢Ã¢â€šÂ¬Ã‚Âup (RR 0.72, 95% CI 0.41 to 1.26; 6 studies: 935 women; lowÃƒÂ¢Ã¢â€šÂ¬Ã‚Âquality evidence). At 5 years, results showed probably little or no difference between groups in the requirement for hysterectomy (RR 0.85, 95% CI 0.59 to 1.22; 4 studies; 758 women; moderateÃƒÂ¢Ã¢â€šÂ¬Ã‚Âquality evidence). Authors' conclusions Approaches to endometrial ablation have evolved from firstÃƒÂ¢Ã¢â€šÂ¬Ã‚Âgeneration techniques to newer secondÃƒÂ¢Ã¢â€šÂ¬Ã‚Â and thirdÃƒÂ¢Ã¢â€šÂ¬Ã‚Âgeneration approaches. Current evidence suggests that compared to firstÃƒÂ¢Ã¢â€šÂ¬Ã‚Âgeneration techniques (endometrial laser ablation, transcervical resection of the endometrium, rollerball endometrial ablation), secondÃƒÂ¢Ã¢â€šÂ¬Ã‚Âgeneration approaches (thermal balloon endometrial ablation, microwave endometrial ablation, hydrothermal ablation, bipolar radiofrequency endometrial ablation, endometrial cryotherapy) are of equivalent efficacy for heavy menstrual bleeding, with comparable rates of amenorrhoea and improvement on the PBAC. SecondÃƒÂ¢Ã¢â€šÂ¬Ã‚Âgeneration techniques are associated with shorter operating times and are performed more often under local rather than general anaesthesia. It is uncertain whether perforation rates differed between secondÃƒÂ¢Ã¢â€šÂ¬Ã‚Â and firstÃƒÂ¢Ã¢â€šÂ¬Ã‚Âgeneration techniques. Evidence was insufficient to show which secondÃƒÂ¢Ã¢â€šÂ¬Ã‚Âgeneration approaches were superior to others and to reveal the efficacy and safety of thirdÃƒÂ¢Ã¢â€šÂ¬Ã‚Âgeneration approaches versus firstÃƒÂ¢Ã¢â€šÂ¬Ã‚Â and secondÃƒÂ¢Ã¢â€šÂ¬Ã‚Âgeneration techniques. Plain language summary Are newer methods for destroying the lining of the uterus (endometrial ablation) more effective and safer compared to established methods? Review question This review compared the effectiveness, safety, acceptability, and complication rates of firstÃƒÂ¢Ã¢â€šÂ¬Ã‚Â, secondÃƒÂ¢Ã¢â€šÂ¬Ã‚Â and thirdÃƒÂ¢Ã¢â€šÂ¬Ã‚Âgeneration methods available to destroy the endometrium (lining of the uterus) for treatment of heavy menstrual bleeding (heavy periods) in premenopausal women. Background Medication and hysterectomy (surgery to remove the womb) used to be the main treatment options for heavy menstrual bleeding. Both are still effective and safe options, but available new treatments focus on removing the lining of the womb (endometrium) from which the bleeding comes. These procedures involve either removing the endometrium (resection) or destroying it with thermal (heat) energy from a laser, electrical instruments, or other devices (ablation). These treatments can stop or reduce menstrual bleeding. Study characteristics This review identified 28 randomised controlled trials undertaken in 4287 women. Most of the women knew which treatment they were receiving, which may have influenced their judgements about menstrual blood loss and satisfaction. Other aspects of study quality varied among trials. Evidence is current to May 2018. Nineteen of the 28 trials acknowledged that they received funding, supplies of equipment, or technical assistance from the pharmaceutical industry and from equipment manufacturers. Key results ModerateÃƒÂ¢Ã¢â€šÂ¬Ã‚Â to very lowÃƒÂ¢Ã¢â€šÂ¬Ã‚Âquality evidence suggests that firstÃƒÂ¢Ã¢â€šÂ¬Ã‚Â and secondÃƒÂ¢Ã¢â€šÂ¬Ã‚Âgeneration approaches were equally effective in the treatment of HMB. Newer (secondÃƒÂ¢Ã¢â€šÂ¬Ã‚Âgeneration) treatment approaches were safer in terms of rate of fluid overload, cervical lacerations, and haematometra, with similar rates of uterine perforation. The newer approaches (secondÃƒÂ¢Ã¢â€šÂ¬Ã‚Âgeneration ablation) w re quicker and were more likely to be done under local (rather than general) anaesthesia compared with firstÃƒÂ¢Ã¢â€šÂ¬Ã‚Âgeneration approaches. Most women in both groups were satisfied with results of the procedure. Not enough evidence is available to show which secondÃƒÂ¢Ã¢â€šÂ¬Ã‚Âgeneration approaches are superior to others, and information about thirdÃƒÂ¢Ã¢â€šÂ¬Ã‚Âgeneration approaches is not available for comparison. Quality of the evidence Evidence ranged from moderate to very low quality. Few studies were blinded, data were limited, and heterogeneity was substantial for some outcomes, leading to downgrading of the quality of evidence.</t>
  </si>
  <si>
    <t>Objectives The cost-effectiveness of molecular pathology testing is highly context dependent. The field is fast-moving, and national health technology assessment may not be relevant or timely for local decision makers. This study illustrates a method of context-specific economic evaluation that can be carried out in a limited timescale without extensive resources.Methods We established a multi-disciplinary group including an oncologist, pathologists and a health economist. We set out diagnostic and treatment pathways and costs using registry data, health technology assessments, guidelines, audit data, and estimates from the group. Sensitivity analysis varied input parameters across plausible ranges. The evaluation setting was the West of Scotland and UK NHS perspective was adopted. The evaluation was assessed against the AdHopHTA checklist for hospital-based health technology assessment.Results A context-specific economic evaluation could be carried out on a timely basis using limited resources. The evaluation met all relevant criteria in the AdHopHTA checklist. Health outcomes were expected to be at least equal to the current strategy. Annual cost savings of 637,000 were estimated resulting primarily from a reduction in the proportion of patients receiving intravenous infusional chemotherapy regimens. The result was not sensitive to any parameter. The data driving the main cost saving came from a small clinical audit. We recommended this finding was confirmed in a larger population.Conclusions The method could be used to evaluate testing changes elsewhere. The results of the case study may be transferable to other jurisdictions where the organization of cancer services is fragmented. Copyright Ãƒâ€šÃ‚Â© 2019 Cambridge University Press.</t>
  </si>
  <si>
    <t>Focus on preventive models for diet and physical activity.</t>
  </si>
  <si>
    <t>J551</t>
  </si>
  <si>
    <t>Cost effectiveness of letermovir as prophylaxis of clinically significant cytomegalovirus reactivation and disease in adult CMV-seropositive allogeneic haematopoietic stem cell transplant: A Scottish payer perspective</t>
  </si>
  <si>
    <t>Background: Data from a recent phase III clinical trial has demonstrated the efficacy of letermovir as prophylaxis against CMV reactivation in adult CMV-seropositive recipients of an allogeneic haematopoietic stem-cell transplant (HSCT). The objective of this cost-effectiveness analysis is to evaluate the clinical and economic value of letermovir when compared to pre-emptive treatment from the payer perspective in Scotland. Method(s): A decision-analytic model evaluated total costs and lifetime quality-adjusted life-years (QALY's) from the perspective of the National Health Service (NHS) and social work in Scotland. Efficacy data, including rates of preemptive therapy for CMV infection, CMV disease, rehospitalization, mortality, and quality of life were incorporated from clinical trial data at 24 weeks posttransplant. The primary endpoint of the trial was clinically significant CMV-infection at week 24 post-transplant. Costs of preemptive treatment, CMV disease, and other trial outcomes were obtained from published sources. Life-years during the first 24 weeks were estimated from the mortality observed in the clinical trial. Life-years post 24 weeks were estimated for the week 24 survivors by applying a relative risk of death for HSCT to the general mortality risk from the life tables for Scotland (2014-16). Utility values were applied based on EQ-5D data collected in the clinical trial and longer-term data from published sources. The annual cost to treat 1-year survivors was based on a proportion of patients receiving 2 years of immunosuppressive agent treatment for chronic graft-versus-host disease (onset 100 days after transplant). Sensitivity analysis explored the impact of including data from the extended follow-up period, where various endpoints were collected through 48 weeks post-transplant. The model used an annual discount rate of 3.5%. Result(s): In the base-case analysis, letermovir reduced the number CMV infections requiring pre-emptive treatment vs standard of care (SoC) (20.0% vs 49.3%) at 24 weeks posttransplant. Prophylaxis with letermovir resulted in lower allcause mortality at week 24 in comparison to SoC (10.2% vs. 15.9%), and a mean increase in life-years (+0.46), QALY's (+0.41) and total costs up to week 24 post-HSCT per patient. This resulted in an incremental costeffectiveness ratio (ICER) of 12,659 per QALY gained. The sensitivity analysis using data from 48 weeks posttransplant did not have a significant effect on the results. Results of a probabilistic sensitivity analysis indicated that letermovir was cost effective in 77.4% of iterations at 20,000 per QALY gained and 87.6% of iterations at 30,000 per QALY gained. Conclusion(s): The results of this model would suggest that the prophylaxis use of letermovir is a cost-effective treatment strategy at commonly accepted ICER thresholds. The model inputs with a greatest impact on the results were a reduction in the rate of mortality, increasing the age of patients treated with letermovir, and an increase in the cost of prophylaxis for letermovir.</t>
  </si>
  <si>
    <t>Focuses on cost-effectiveness of a drug, not NHS shifts.</t>
  </si>
  <si>
    <t>J552</t>
  </si>
  <si>
    <t>PharmacyÃƒÂ¢Ã¢â€šÂ¬Ã‚Âbased management for depression in adults</t>
  </si>
  <si>
    <t>- Background It is common for people not to take antidepressant medication as prescribed, with around 50% of people likely to prematurely discontinue taking their medication after six months. Community pharmacists may be well placed to have a role in antidepressant management because of their unique pharmacotherapeutic knowledge and ease of access for people. Pharmacists are in an ideal position to offer proactive interventions to people with depression or depressive symptoms. However, the effectiveness and acceptability of existing pharmacistÃƒÂ¢Ã¢â€šÂ¬Ã‚Âbased interventions is not yet well understood. The degree to which a pharmacyÃƒÂ¢Ã¢â€šÂ¬Ã‚Âbased management approach might be beneficial, acceptable to people, and effective as part of the overall management for those with depression is, to date, unclear. A systematic review of randomised controlled trials (RCTs) will help answer these questions and add important knowledge to the currently sparse evidence base. Objectives To examine the effects of pharmacyÃƒÂ¢Ã¢â€šÂ¬Ã‚Âbased management interventions compared with active control (e.g. patient information materials or any other active intervention delivered by someone other than the pharmacist or the pharmacy team), waiting list, or treatment as usual (e.g. standard pharmacist advice or antidepressant education, signposting to support available in primary care services, brief medication counselling, and/or (selfÃƒÂ¢Ã¢â€šÂ¬Ã‚Â)monitoring of medication adherence offered by a healthcare professional outside the pharmacy team) at improving depression outcomes in adults. Search methods We searched the Cochrane Common Mental Disorders Controlled Trials Register (CCMDÃƒÂ¢Ã¢â€šÂ¬Ã‚ÂCTR) to June 2016; the Cochrane Library (Issue 11, 2018); and Ovid MEDLINE, Embase, and PsycINFO to December 2018. We searched theses and dissertation databases and international trial registers for unpublished/ongoing trials. We applied no restrictions on date, language, or publication status to the searches. Selection criteria We included all RCTs and clusterÃƒÂ¢Ã¢â€šÂ¬Ã‚ÂRCTs where a pharmacyÃƒÂ¢Ã¢â€šÂ¬Ã‚Âbased intervention was compared with treatment as usual, waiting list, or an alternative intervention in the management of depression in adults over 16 years of age. Eligible studies had to report at least one of the following outcomes at any time point: depression symptom change, acceptability of the intervention, diagnosis of depression, nonÃƒÂ¢Ã¢â€šÂ¬Ã‚Âadherence to medication, frequency of primary care appointments, quality of life, social functioning, or adverse events. Data collection and analysis Two authors independently, and in duplicate, conducted all stages of study selection, data extraction, and quality assessment (including GRADE). We discussed disagreements within the team until we reached consensus. Where data did not allow metaÃƒÂ¢Ã¢â€šÂ¬Ã‚Âanalyses, we synthesised results narratively. Main results Twelve studies (2215 participants) met the inclusion criteria and compared pharmacyÃƒÂ¢Ã¢â€šÂ¬Ã‚Âbased management with treatment as usual. Two studies (291 participants) also included an active control (both used patient information leaflets providing information about the prescribed antidepressant). Neither of these studies reported depression symptom change. A narrative synthesis of results on acceptability of the intervention was inconclusive, with one study reporting better acceptability of pharmacyÃƒÂ¢Ã¢â€šÂ¬Ã‚Âbased management and the other better acceptability of the active control. One study reported that participants in the pharmacyÃƒÂ¢Ã¢â€šÂ¬Ã‚Âbased management group had better medication adherence than the control participants. One study reported adverse events with no difference between groups. The studies reported no other outcomes. MetaÃƒÂ¢Ã¢â€šÂ¬Ã‚Âanalyses comparing pharmacyÃƒÂ¢Ã¢â€šÂ¬Ã‚Âbased management with treatment as usual showed no evidence of a difference in the effect of the intervention on depression symptom change (dichotomous data; improvement in symptoms yes/no: risk ratio (RR), 0.95, 95% confidence interval (CI) 0.86 to 1.05; 4 RCTs, 475 participants; moderateÃƒÂ¢Ã¢â€šÂ¬Ã‚Âquality evidence; continuous data: standard mean difference (SMD) ÃƒÂ¢Ã¢â€šÂ¬Ã‚Â0.04, 95%</t>
  </si>
  <si>
    <t>J557</t>
  </si>
  <si>
    <t>Pns408 How Is the English Nhs Prescription Drugs Budget Spent</t>
  </si>
  <si>
    <t>Objectives: In Financial Year (FY) 2018/19, NHS England (NHSE) spent 7.9 billion on prescription drugs prescribed by GPs to their patients. This is 2.7% less than FY 2017/18. This study investigated drivers of this trend at regional and drug-class levels on a risk-adjusted basis and projected the results over a five year time period. Method(s): Publicly available data was used. Prescription drug and population data published by the NHS were used to derive the per person per month costs. The prescription drug risk-adjustment factors were based on those used in the NHS funding allocation formula. Prescription drug cost and activity trends were analysed at a drug-class (BNF chapter) and regional level. Regions were defined by sustainability and transformation plan (STP) area. Risk-adjustment helped determine what cost we would 'expect' based on each STP's risk profile compared to the English average. Costs were projected over a five-year period under various scenarios, using expected changes in population size and structure published by the NHS. Result(s): The reduction in expenditure is driven by a combination of lower average costs (3.83% decrease) and lower levels of activity (0.92% decrease). These decreases in total cost are slightly offset by the 1.19% increase in the English population size. The research highlights particular BNF chapters and STP regions that are driving these trends as well as how STP regions' experience compares to the English average on a risk-adjusted basis. The projection model shows that prescription drug costs can be expected to decrease by 3.6% p.a. over the next five years if historical trends persist. Conclusion(s): The insights provided by this research can help stakeholders with experience analysis and planning by identifying cost and activity drivers on a population risk-adjusted basis as well as having a view of how demand may develop over the projection period. Copyright Ãƒâ€šÃ‚Â© 2019</t>
  </si>
  <si>
    <t>J558</t>
  </si>
  <si>
    <t>Conservative interventions for treating functional daytime urinary incontinence in children</t>
  </si>
  <si>
    <t>- Background In children, functional daytime urinary incontinence is the term used to describe any leakage of urine while awake that is not the result of a known underlying neurological or congenital anatomic cause (such as conditions or injuries that affect the nerves that control the bladder or problems with the way the urinary system is formed). It can result in practical difficulties for both the child and their family and can have detrimental effects on a childÃƒÂ¢Ã¢â€šÂ¬Ã¢â€žÂ¢s wellÃƒÂ¢Ã¢â€šÂ¬Ã‚Âbeing, education and social engagement. Objectives To assess the effects of conservative interventions for treating functional daytime urinary incontinence in children. Search methods We searched the Cochrane Incontinence Specialised Register, which contains studies identified from CENTRAL, MEDLINE, MEDLINE InÃƒÂ¢Ã¢â€šÂ¬Ã‚ÂProcess, MEDLINE Epub Ahead of Print, CINAHL, ClinicalTrials.gov, WHO ICTRP and handsearching of journals and conference proceedings (searched 11 September 2018). We also searched Chinese language bibliographic databases: Chinese Biomedical Literature Database (CBM), China National Knowledge Infrastructure (CNKI), and Wanfang. No language restrictions were imposed. Selection criteria We included randomised controlled trials (RCTs), quasiÃƒÂ¢Ã¢â€šÂ¬Ã‚Ârandomised, multiÃƒÂ¢Ã¢â€šÂ¬Ã‚Âarm studies, crossÃƒÂ¢Ã¢â€šÂ¬Ã‚Âover studies and clusterÃƒÂ¢Ã¢â€šÂ¬Ã‚Ârandomised studies that included children aged between 5 and 18 years with functional daytime urinary incontinence. Data collection and analysis Two review authors independently screened records and determined the eligibility of studies for inclusion according to predefined criteria. Where data from the study were not provided, we contacted the study authors to request further information. Two review authors assessed risk of bias and processed included study data as described in the Cochrane Handbook for Systematic Reviews of Interventions . Where metaÃƒÂ¢Ã¢â€šÂ¬Ã‚Âanalysis was possible, we applied randomÃƒÂ¢Ã¢â€šÂ¬Ã‚Âeffects metaÃƒÂ¢Ã¢â€šÂ¬Ã‚Âanalysis using the MantelÃƒÂ¢Ã¢â€šÂ¬Ã‚ÂHaenszel method for dichotomous outcomes. Main results The review included 27 RCTs involving 1803 children. Of these, six were multiÃƒÂ¢Ã¢â€šÂ¬Ã‚Âarm and one was also a crossÃƒÂ¢Ã¢â€šÂ¬Ã‚Âover study. Most studies were small, with numbers randomised ranging from 16 to 202. A total of 19 studies were at high risk of bias for at least one domain. Few studies reported data suitable for pooling due to heterogeneity in interventions, outcomes and measurements. Individual conservative interventions (lifestyle, behavioural or physical) versus no treatment Transcutaneous electrical nerve stimulation (TENS) versus sham (placebo) TENS. M ore children receiving active TENS may achieve continence (risk ratio (RR) 4.89, 95% confidence interval (CI) 1.68 to 14.21; 3 studies; n = 93; lowÃƒÂ¢Ã¢â€šÂ¬Ã‚Âcertainty evidence). One individual conservative intervention versus another individual or combined conservative intervention Pelvic floor muscle training (PFMT) with urotherapy versus urotherapy alone. We are uncertain whether more children receiving PFMT with urotherapy achieve continence (RR 2.36, 95% CI 0.65 to 8.53, 95% CI 25 to 100; 3 studies; n = 91; very lowÃƒÂ¢Ã¢â€šÂ¬Ã‚Âcertainty evidence). Voiding education with uroflowmetry feedback and urotherapy versus urotherapy alone. Slightly more children receiving voiding education with uroflow feedback and urotherapy may achieve continence (RR 1.13, 95% CI 0.87 to 1.45; 3 studies; n = 151; lowÃƒÂ¢Ã¢â€šÂ¬Ã‚Âcertainty evidence). Urotherapy with timer watch versus urotherapy alone. We are uncertain whether urotherapy plus timer watch increases the number of children achieving continence compared to urotherapy alone (RR 1.42, 95% CI 1.12 to 1.80; 1 study; n = 58; very lowÃƒÂ¢Ã¢â€šÂ¬Ã‚Âcertainty evidence). Combined conservative interventions versus other combined conservative interventions TENS and standard urotherapy versus PFMT with electromyographic biofeedback and standard urotherapy. We are uncertain whether there is any evidence of a difference between treatment groups in the proportions of children achieving continence (RR 1.11, 95% CI 0.73 to 1.68; 1 study; n = 78; very lowÃƒÂ¢Ã¢â€šÂ¬Ã‚Âcertainty evidence). PFMT with electr myography biofeedback and standard urotherapy versus PFMT without feedback but with standard urotherapy. We are uncertain whether there is any evidence of a difference between treatment groups in the proportions of children achieving continence (RR 1.05, 95% CI 0.72 to 1.52; 1 study; n = 41; very lowÃƒÂ¢Ã¢â€šÂ¬Ã‚Âcertainty evidence). Individual conservative interventions versus nonÃƒÂ¢Ã¢â€šÂ¬Ã‚Âconservative interventions (pharmacological or invasive, combined or not with any conservative interventions) PFMT versus anticholinergics. We are uncertain whether more children receiving PFMT than anticholinergics achieve continence (RR 1.92, 95% CI 1.17 to 3.15; equivalent to an increase from 33 to 64 per 100 children; 2 studies; n = 86; very lowÃƒÂ¢Ã¢â€šÂ¬Ã‚Âcertainty evidence). TENS versus anticholinergics. We are uncertain whether there was any evidence of a difference between treatment groups in the proportions of children achieving continence (RR 0.81, 95% CI 0.05 to 12.50; 2 studies; n = 72; very lowÃƒÂ¢Ã¢â€šÂ¬Ã‚Âcertainty evidence). Combined conservative interventions versus nonÃƒÂ¢Ã¢â€šÂ¬Ã‚Âconservative interventions (pharmacological or invasive, combined or not with any conservative interventions) Voiding education with uroflowmetry feedback versus anticholinergics. We are uncertain whether there was any evidence of a difference between treatment groups in the proportion of children achieving continence (RR 1.02, 95% CI 0.58 to 1.78; 1 study; n = 64; very lowÃƒÂ¢Ã¢â€šÂ¬Ã‚Âcertainty evidence). Authors' conclusions The review found little reliable evidence that can help affected children, their carers and the clinicians working with them to make evidenceÃƒÂ¢Ã¢â€šÂ¬Ã‚Âbased treatment decisions. In this scenario, the clinical experience of individual clinicians and the support of carers may be the most valuable resources. More wellÃƒÂ¢Ã¢â€šÂ¬Ã‚Âdesigned research, with wellÃƒÂ¢Ã¢â€šÂ¬Ã‚Âdefined interventions and consistent outcome measurement, is needed. Plain language summary Conservative (nonÃƒÂ¢Ã¢â€šÂ¬Ã‚Âpharmaceutical and nonÃƒÂ¢Ã¢â€šÂ¬Ã‚Âsurgical) treatments for children who have daytime urinary incontinence Background Many children continue to have daytime wetting accidents (urinary incontinence) long after most become dry, some into teenage years. When there is no known cause, it is referred to as functional daytime urinary incontinence. Daytime wetting can be a practical problem for the child and their carers, leading to additional laundry, expenses on absorbent pads or underwear, wet or stained furnishings and difficulties attending school or travelling. It can also lead to emotional stress, poor school attendance and performance, difficulties with social activities and making friends, and even depression and behaviour problems. Finding an effective treatment can improve the quality of life of children and their carers. Review question Children, their carers, doctors and nurses may want to avoid treatments that involve drugs or surgery, at least until they have tried treatments that do not involve these. In this review researchers brought together the results of studies conducted around the world to combine the evidence and assess which treatment(s) are most effective for managing daytime urinary incontinence in children. How upÃƒÂ¢Ã¢â€šÂ¬Ã‚ÂtoÃƒÂ¢Ã¢â€šÂ¬Ã‚Âdate is this review? The evidence is current to 11 September 2018. Study characteristics and funding sources The review identified 27 studies involving 1803 children. Twelve studies declared funding from outside sources. One of these was funded by Astellas Pharma, while another study was provided with special batches of placebo and medication free of charge, as well as materials for pad tests free of charge from another company. Certainty of evidence Cochrane Reviews assess the 'certainty' or reliability of the evidence using standardised methods that consider the way studies were designed, conducted and reported, differences between studies or populations, and the combined results of studies. Most of the studies identified for this review were small and many were poorly designed and not reported clearly. Most of the evidence was considered to be of very low certainty, meaning that little can be sa d with any certainty about the effectiveness of treatments. Key results Transcutaneous electrical nerve stimulation (TENS) may be more effective than no treatment for ending or reducing daytime wetting. We are uncertain whether urotherapy (behavioural programmes in which children ÃƒÂ¢Ã¢â€šÂ¬Ã‚Â and sometimes carers ÃƒÂ¢Ã¢â€šÂ¬Ã‚Â are taught about how the bladder works, proper toileting postures and methods, scheduled toileting, and planning what and how much to drink) is more effective when supplemented with PFMT, voiding education with feedback, or watches with alarms set to remind children when to go to the toilet. We are uncertain whether feedback that shows children how their muscles are working or how their bladder is emptying improves the effectiveness of TENS with urotherapy compared to PFMT plus feedback and urotherapy. We are also uncertain whether PFMT and urotherapy plus feedback improves the effectiveness of PFMT and urotherapy alone. We are uncertain whether pelvic floor muscle training (PFMT) or TENS are more effective than anticholinergics (drugs that can reduce signals from the brain that cause the bladder to contract and empty). We are uncertain whether voiding education plus uroflowmetry (a test to measure the volume of urine) and feedback increases the number of continent children compared to anticholinergics. No serious adverse events were reported that were considered to be related to study treatments. Most nonÃƒÂ¢Ã¢â€šÂ¬Ã‚Âserious adverse events and side effects were mild or moderate in severity and were in children receiving pharmaceutical interventions. These included common pharmaceutical side effects such as nausea, abdominal pain, dry mouth, drowsiness and headache. Authors' conclusions There is a lack of goodÃƒÂ¢Ã¢â€šÂ¬Ã‚Âquality research evidence that can help children, their carers and doctors and nurses to make decisions about treatments. More wellÃƒÂ¢Ã¢â€šÂ¬Ã‚Âdesigned research may provide much needed evidence about the effectiveness of promising interventions in children with daytime urinary incontinence, such as TENS, PFMT and timers on watches (or mobile phones) to remind children about toileting schedules. However, it is hoped that this review will draw attention to the need for research into effective treatments for daytime wetting in children.</t>
  </si>
  <si>
    <t>J561</t>
  </si>
  <si>
    <t>Dietary interventions for adult cancer survivors</t>
  </si>
  <si>
    <t>- Background International dietary recommendations include guidance on healthy eating and weight management for people who have survived cancer; however dietary interventions are not provided routinely for people living beyond cancer. Objectives To assess the effects of dietary interventions for adult cancer survivors on morbidity and mortality, changes in dietary behaviour, body composition, healthÃƒÂ¢Ã¢â€šÂ¬Ã‚Ârelated quality of life, and clinical measurements. Search methods We ran searches on 18 September 2019 and searched the Cochrane Central Register of Controlled trials (CENTRAL), in the Cochrane Library; MEDLINE via Ovid; Embase via Ovid; the Allied and Complementary Medicine Database (AMED); the Cumulative Index to Nursing and Allied Health Literature (CINAHL); and the Database of Abstracts of Reviews of Effects (DARE). We searched other resources including reference lists of retrieved articles, other reviews on the topic, the International Trials Registry for ongoing trials, metaRegister, Physicians Data Query, and appropriate websites for ongoing trials. We searched conference abstracts and WorldCat for dissertations. Selection criteria We included randomised controlled trials (RCTs) that recruited people following a cancer diagnosis. The intervention was any dietary advice provided by any method including group sessions, telephone instruction, written materials, or a webÃƒÂ¢Ã¢â€šÂ¬Ã‚Âbased approach. We included comparisons that could be usual care or written information, and outcomes measured included overall survival, morbidities, secondary malignancies, dietary changes, anthropometry, quality of life (QoL), and biochemistry. Data collection and analysis We used standard Cochrane methodological procedures. Two people independently assessed titles and fullÃƒÂ¢Ã¢â€šÂ¬Ã‚Âtext articles, extracted data, and assessed risk of bias. For analysis, we used a randomÃƒÂ¢Ã¢â€šÂ¬Ã‚Âeffects statistical model for all metaÃƒÂ¢Ã¢â€šÂ¬Ã‚Âanalyses, and the GRADE approach to rate the certainty of evidence, considering limitations, indirectness, inconsistencies, imprecision, and bias. Main results We included 25 RCTs involving 7259 participants including 977 (13.5%) men and 6282 (86.5%) women. Mean age reported ranged from 52.6 to 71 years, and range of age of included participants was 23 to 85 years. The trials reported 27 comparisons and included participants who had survived breast cancer (17 trials), colorectal cancer (2 trials), gynaecological cancer (1 trial), and cancer at mixed sites (5 trials). For overall survival, dietary intervention and control groups showed little or no difference in risk of mortality (hazard ratio (HR) 0.98, 95% confidence interval (CI) 0.77 to 1.23; 1 study; 3107 participants; lowÃƒÂ¢Ã¢â€šÂ¬Ã‚Âcertainty evidence). For secondary malignancies, dietary interventions versus control trials reported little or no difference (risk ratio (RR) 0.99, 95% CI 0.84 to 1.15; 1 study; 3107 participants; lowÃƒÂ¢Ã¢â€šÂ¬Ã‚Âcertainty evidence). CoÃƒÂ¢Ã¢â€šÂ¬Ã‚Âmorbidities were not measured in any included trials. Subsequent outcomes reported after 12 months found that dietary interventions versus control probably make little or no difference in energy intake at 12 months (mean difference (MD) ÃƒÂ¢Ã¢â€šÂ¬Ã‚Â59.13 kcal, 95% CI ÃƒÂ¢Ã¢â€šÂ¬Ã‚Â159.05 to 37.79; 5 studies; 3283 participants; moderateÃƒÂ¢Ã¢â€šÂ¬Ã‚Âcertainty evidence). Dietary interventions versus control probably led to slight increases in fruit and vegetable servings (MD 0.41 servings, 95% CI 0.10 to 0.71; 5 studies; 834 participants; moderateÃƒÂ¢Ã¢â€šÂ¬Ã‚Âcertainty evidence); mixed results for fibre intake overall (MD 5.12 g, 95% CI 0.66 to 10.9; 2 studies; 3127 participants; very lowÃƒÂ¢Ã¢â€šÂ¬Ã‚Âcertainty evidence); and likely improvement in Diet Quality Index (MD 3.46, 95% CI 1.54 to 5.38; 747 participants; moderateÃƒÂ¢Ã¢â€šÂ¬Ã‚Âcertainty evidence). For anthropometry, dietary intervention versus control probably led to a slightly decreased body mass index (BMI) (MD ÃƒÂ¢Ã¢â€šÂ¬Ã‚Â0.79 kg/mÃƒâ€šÃ‚Â², 95% CI ÃƒÂ¢Ã¢â€šÂ¬Ã‚Â1.50 to ÃƒÂ¢Ã¢â€šÂ¬Ã‚Â0.07; 4 studies; 777 participants; moderateÃƒÂ¢Ã¢â€šÂ¬Ã‚Âcertainty evidence). Dietary interventions versus control probably had little or no effect on waistÃƒÂ¢Ã¢â€šÂ¬Ã‚ÂtoÃƒÂ¢Ã¢â€šÂ¬Ã‚Âhip ratio (MD ÃƒÂ¢Ã¢â€šÂ¬Ã‚Â0.01, 95% CI ÃƒÂ¢Ã¢â€šÂ¬Ã‚Â0.04 to 0.02; 2 studies; 106 participants; lowÃƒÂ¢Ã¢â€šÂ¬Ã‚Âcertainty evidence). For QoL, there were mixed results; several different quality assessment tools were used and evidence was of low to very lowÃƒÂ¢Ã¢â€šÂ¬Ã‚Âcertainty. No adverse events were reported in any of the included studies. Authors' conclusions Evidence demonstrated little effects of dietary interventions on overall mortality and secondary cancers. For comorbidities, no evidence was identified. For nutritional outcomes, there was probably little or no effect on energy intake, although probably a slight increase in fruit and vegetable intake and Diet Quality Index. Results were mixed for fibre. For anthropometry, there was probably a slight decrease in body mass index (BMI) but probably little or no effect on waistÃƒÂ¢Ã¢â€šÂ¬Ã‚ÂtoÃƒÂ¢Ã¢â€šÂ¬Ã‚Âhip ratio. For QoL, results were highly varied. Additional highÃƒÂ¢Ã¢â€šÂ¬Ã‚Âquality research is needed to examine the effects of dietary interventions for different cancer sites, and to evaluate important outcomes including comorbidities and body composition. Evidence on new technologies used to deliver dietary interventions was limited. Plain language summary Dietary intake in people living beyond cancer Background ÃƒÂ¢Ã¢â€šÂ¬Ã‚Â¨ Diet has been linked to cancer, and dietary guidelines are available for cancer prevention. People after cancer have been found to have higher rates of other conditions including cardiovascular disease, diabetes, and other cancers. It is therefore sensible for people after cancer to look at changing their diet. It was important to undertake this review to assess the evidence on dietary advice for people who have survived cancer. Aim of the review ÃƒÂ¢Ã¢â€šÂ¬Ã‚Â¨ This review evaluates evidence on dietary interventions for people after cancer. Quality of evidence ÃƒÂ¢Ã¢â€šÂ¬Ã‚Â¨ The quality of evidence is generally low to very low. Most studies did not evaluate dietary interventions for key review outcomes, particularly mortality and morbidity. However, a few study outcomes with moderateÃƒÂ¢Ã¢â€šÂ¬Ã‚Âcertainty evidence focused on dietary intake and physical measurements. Included studies compared dietary interventions versus control or usual care. We pooled data from similar randomised controlled trials (RCTs) to provide a summary estimate of the effects of an intervention, and we judged how confident (certain) we were of these findings by using an established method (GRADE). Main findings ÃƒÂ¢Ã¢â€šÂ¬Ã‚Â¨ We identified 25 RCTs involving 27 different comparisons. For some outcomes, we found absence of evidence for dietary interventions. We found some evidence showing that dietary interventions probably did not modify energy intake; however, some evidence shows what is probably a slight increase in fruit and vegetable intake (moderateÃƒÂ¢Ã¢â€šÂ¬Ã‚Âcertainty evidence ) . Evidence on dietary fibre was mixed for different advice on weight reducing or healthy eating. Dietary interventions compared to control probably improved the Diet Quality Index (moderateÃƒÂ¢Ã¢â€šÂ¬Ã‚Âcertainty evidence ) . For physical measurements, we found a probable reduction in body mass index (BMI) with dietary interventions compared to controls (moderateÃƒÂ¢Ã¢â€šÂ¬Ã‚Âcertainty evidence) but little evidence showing any change in waistÃƒÂ¢Ã¢â€šÂ¬Ã‚ÂtoÃƒÂ¢Ã¢â€šÂ¬Ã‚Âhip ratio (lowÃƒÂ¢Ã¢â€šÂ¬Ã‚Âcertainty evidence ) . For quality of life (QoL), results were mixed due to the wide variety of tools used. No adverse events were reported. Conclusion ÃƒÂ¢Ã¢â€šÂ¬Ã‚Â¨ Available evidence shows that dietary interventions can be helpful in modifying fruit and vegetable servings and diet quality; modification of fibre intake was variable, and some benefits were seen for anthropometric measurements, including BMI. Most of the evidence is based on women with breast cancer, so more research is needed for patients with other cancers. Gaps identified in the evidence involved the use of new technologies, comorbidities, and body composition data.</t>
  </si>
  <si>
    <t>J567</t>
  </si>
  <si>
    <t>Hospital nurseÃƒÂ¢Ã¢â€šÂ¬Ã‚Âstaffing models and patientÃƒÂ¢Ã¢â€šÂ¬Ã‚Â and staffÃƒÂ¢Ã¢â€šÂ¬Ã‚Ârelated outcomes</t>
  </si>
  <si>
    <t>- Background Nurses comprise the largest component of the health workforce worldwide and numerous models of workforce allocation and profile have been implemented. These include changes in skill mix, grade mix or qualification mix, staffÃƒÆ’Ã‚Â¢ÃƒÂ¢Ã¢â‚¬Å¡Ã‚Â¬Ãƒâ€šÃ‚Âallocation models, staffing levels, nursing shifts, or nursesÃƒÆ’Ã‚Â¢ÃƒÂ¢Ã¢â‚¬Å¡Ã‚Â¬ÃƒÂ¢Ã¢â‚¬Å¾Ã‚Â¢ work patterns. This is the first update of our review published in 2011. Objectives The purpose of this review was to explore the effect of hospital nurseÃƒÆ’Ã‚Â¢ÃƒÂ¢Ã¢â‚¬Å¡Ã‚Â¬Ãƒâ€šÃ‚Âstaffing models on patient and staffÃƒÆ’Ã‚Â¢ÃƒÂ¢Ã¢â‚¬Å¡Ã‚Â¬Ãƒâ€šÃ‚Ârelated outcomes in the hospital setting, specifically to identify which staffing model(s) are associated with: 1) better outcomes for patients, 2) better staffÃƒÆ’Ã‚Â¢ÃƒÂ¢Ã¢â‚¬Å¡Ã‚Â¬Ãƒâ€šÃ‚Ârelated outcomes, and, 3) the impact of staffing model(s) on cost outcomes. Search methods CENTRAL, MEDLINE, Embase, two other databases and two trials registers were searched on 22 March 2018 together with reference checking, citation searching and contact with study authors to identify additional studies. Selection criteria We included randomised trials, nonÃƒÆ’Ã‚Â¢ÃƒÂ¢Ã¢â‚¬Å¡Ã‚Â¬Ãƒâ€šÃ‚Ârandomised trials, controlled beforeÃƒÆ’Ã‚Â¢ÃƒÂ¢Ã¢â‚¬Å¡Ã‚Â¬Ãƒâ€šÃ‚Âafter studies and interruptedÃƒÆ’Ã‚Â¢ÃƒÂ¢Ã¢â‚¬Å¡Ã‚Â¬Ãƒâ€šÃ‚ÂtimeÃƒÆ’Ã‚Â¢ÃƒÂ¢Ã¢â‚¬Å¡Ã‚Â¬Ãƒâ€šÃ‚Âseries or repeatedÃƒÆ’Ã‚Â¢ÃƒÂ¢Ã¢â‚¬Å¡Ã‚Â¬Ãƒâ€šÃ‚Âmeasures studies of interventions relating to hospital nurseÃƒÆ’Ã‚Â¢ÃƒÂ¢Ã¢â‚¬Å¡Ã‚Â¬Ãƒâ€šÃ‚Âstaffing models. Participants were patients and nursing staff working in hospital settings. We included any objective reported measure of patientÃƒÆ’Ã‚Â¢ÃƒÂ¢Ã¢â‚¬Å¡Ã‚Â¬Ãƒâ€šÃ‚Â, staffÃƒÆ’Ã‚Â¢ÃƒÂ¢Ã¢â‚¬Å¡Ã‚Â¬Ãƒâ€šÃ‚Ârelated, or economic outcome. The most important outcomes included in this review were: nursingÃƒÆ’Ã‚Â¢ÃƒÂ¢Ã¢â‚¬Å¡Ã‚Â¬Ãƒâ€šÃ‚Âstaff turnover, patient mortality, patient readmissions, patient attendances at the emergency department (ED), length of stay, patients with pressure ulcers, and costs. Data collection and analysis We worked independently in pairs to extract data from each potentially relevant study and to assess risk of bias and the certainty of the evidence. Main results We included 19 studies, 17 of which were included in the analysis and eight of which we identified for this update. We identified four types of interventions relating to hospital nurseÃƒÆ’Ã‚Â¢ÃƒÂ¢Ã¢â‚¬Å¡Ã‚Â¬Ãƒâ€šÃ‚Âstaffing models: ÃƒÆ’Ã‚Â¢ÃƒÂ¢Ã¢â‚¬Å¡Ã‚Â¬Ãƒâ€šÃ‚Â introduction of advanced or specialist nurses to the nursing workforce; ÃƒÆ’Ã‚Â¢ÃƒÂ¢Ã¢â‚¬Å¡Ã‚Â¬Ãƒâ€šÃ‚Â introduction of nursing assistive personnel to the hospital workforce; ÃƒÆ’Ã‚Â¢ÃƒÂ¢Ã¢â‚¬Å¡Ã‚Â¬Ãƒâ€šÃ‚Â primary nursing; and ÃƒÆ’Ã‚Â¢ÃƒÂ¢Ã¢â‚¬Å¡Ã‚Â¬Ãƒâ€šÃ‚Â staffing models. The studies were conducted in the USA, the Netherlands, UK, Australia, and Canada and included patients with cancer, asthma, diabetes and chronic illness, on medical, acute care, intensive care and longÃƒÆ’Ã‚Â¢ÃƒÂ¢Ã¢â‚¬Å¡Ã‚Â¬Ãƒâ€šÃ‚Âstay psychiatric units. The risk of bias across studies was high, with limitations mainly related to blinding of patients and personnel, allocation concealment, sequence generation, and blinding of outcome assessment. The addition of advanced or specialist nurses to hospital nurse staffing may lead to little or no difference in patient mortality (3 studies, 1358 participants). It is uncertain whether this intervention reduces patient readmissions (7 studies, 2995 participants), patient attendances at the ED (6 studies, 2274 participants), length of stay (3 studies, 907 participants), number of patients with pressure ulcers (1 study, 753 participants), or costs (3 studies, 617 participants), as we assessed the evidence for these outcomes as being of very low certainty. It is uncertain whether adding nursing assistive personnel to the hospital workforce reduces costs (1 study, 6769 participants), as we assessed the evidence for this outcome to be of very low certainty. It is uncertain whether primary nursing (3 studies, &gt; 464 participants) or staffing models (1 study, 647 participants) reduces nursingÃƒÆ’Ã‚Â¢ÃƒÂ¢Ã¢â‚¬Å¡Ã‚Â¬Ãƒâ€šÃ‚Âstaff turnover, or if primary nursing (2 studies, &gt; 138 participants) reduces costs, as we assessed the evidence for these outcomes to be of very low certainty. Authors' conclusions The findings of this review should be treated with caution due to the limited amount and quality of the published research that was included. We have most confidence in our finding that the introduction of advanced or specialist nurses may lead to little or no difference in one patient outcome (i.e. mortality) with greater uncertainty about other patient outcomes ( .e. readmissions, ED attendance, length of stay and pressure ulcer rates). The evidence is of insufficient certainty to draw conclusions about the effectiveness of other types of interventions, including new nurseÃƒÆ’Ã‚Â¢ÃƒÂ¢Ã¢â‚¬Å¡Ã‚Â¬Ãƒâ€šÃ‚Âstaffing models and introduction of nursing assistive personnel, on patient, staff and cost outcomes. Although it has been seven years since the original review was published, the certainty of the evidence about hospital nurse staffing still remains very low. Plain language summary What do we know about the impact of hospital nurse staffing on patients, staff and the costs of care? What is the aim of this review? The aim of this Cochrane Review was to find out if changes made to nurse staffing in hospitals improve outcomes for patients or nurses, or have an impact on the cost of health care. Nurse staffing can refer to the number of nurses per patient, the mix of different types of nurses in a hospital unit, or models used to allocate nurses to patients in a hospital unit. Key messages The research relating to hospital nurse staffing is very limited and the findings should be treated with caution. It is unlikely that adding nurses with advanced nursing skills (Nurse Practitioners (NPs)) or with expertise in a particular area of practice (Clinical Nurse Specialists (CNSs)) to hospital nurse staffing makes any difference to patient death rates. We cannot be sure what other effect it might have on patients, for example, if it reduces the time patients spend in hospital or the costs of patient care. We cannot be sure if changes to the way in which nurses are allocated to patient care reduces the numbers of nurses resigning, or if introducing unqualified nurses to the nursing workforce reduces costs, as the research here is very limited too. What was studied in the review? We found studies that looked at the effects of four main strategies or models of nurse staffing: adding advanced or specialist nurses to the nursing workforce, introducing lessÃƒÆ’Ã‚Â¢ÃƒÂ¢Ã¢â‚¬Å¡Ã‚Â¬Ãƒâ€šÃ‚Âqualified nursing personnel to the nursing workforce, changing the way in which nurses are allocated within a hospital unit to provide patient care, and changing the way hospital units schedule nursing shifts. We were most interested in the impact of these interventions on seven main outcomes: nursingÃƒÆ’Ã‚Â¢ÃƒÂ¢Ã¢â‚¬Å¡Ã‚Â¬Ãƒâ€šÃ‚Âstaff resignations (turnover), patient deaths, patients being readmitted following discharge from the hospital, patients attending the Emergency Department (ED) for care following discharge, the number of days patients stayed in the hospital, the number of patients with pressure sores, and the costs of care. What are the main results of the review? We found 11 studies where advanced or specialist nurses were added to the nursing workforce. None of the studies reported the impact of this intervention on nursingÃƒÆ’Ã‚Â¢ÃƒÂ¢Ã¢â‚¬Å¡Ã‚Â¬Ãƒâ€šÃ‚Âstaff resignations; three studies found that it may make little or no difference to patient deaths. We cannot be sure whether this intervention has an effect on reducing the number of patients being readmitted following discharge from hospital or attending an ED for care after discharge because the research is very limited. As well, we are uncertain about its effect on reducing the number of days patients stayed in the hospital, the number of patients with pressure sores, or healthcare costs, again because the research is very limited. We found one relevant study that looked at adding nursing assistants to the nursing workforce, which was aimed at reducing costs. We cannot be sure about the effect on costs as the research is very limited. We found five studies of primary nursing (where one nurse is responsible for the total care of a number of patients 24 hours a day, seven days a week) and two studies of nurseÃƒÆ’Ã‚Â¢ÃƒÂ¢Ã¢â‚¬Å¡Ã‚Â¬Ãƒâ€šÃ‚Âstaffing models. One nurseÃƒÆ’Ã‚Â¢ÃƒÂ¢Ã¢â‚¬Å¡Ã‚Â¬Ãƒâ€šÃ‚Âstaffing model study tested hospital units scheduling their own nursing shifts (selfÃƒÆ’Ã‚Â¢ÃƒÂ¢Ã¢â‚¬Å¡Ã‚Â¬Ãƒâ€šÃ‚Âstaffing), and the other study compared different ways to schedule nursing shifts. We cannot be sure about the impact of primary nursing or nurseÃƒÆ’Ã‚Â¢ÃƒÂ¢Ã¢â‚¬Å¡Ã‚Â¬Ãƒâ€šÃ‚Âstaffing models on nurse resignations or costs because the research is very limited. How upÃƒÆ’Ã‚Â¢ Ãƒâ€šÃ‚ÂtoÃƒÆ’Ã‚Â¢ÃƒÂ¢Ã¢â‚¬Å¡Ã‚Â¬Ãƒâ€šÃ‚Âdate is this review? The review authors searched for studies that had been published up to March 2018.</t>
  </si>
  <si>
    <t>Focuses on hospital staffing, not NHS shifts.</t>
  </si>
  <si>
    <t>J570</t>
  </si>
  <si>
    <t>Interventions for involving older patients with multiÃƒÂ¢Ã¢â€šÂ¬Ã‚Âmorbidity in decisionÃƒÂ¢Ã¢â€šÂ¬Ã‚Âmaking during primary care consultations</t>
  </si>
  <si>
    <t>- Background Older patients with multiple health problems (multiÃƒÂ¢Ã¢â€šÂ¬Ã‚Âmorbidity) value being involved in decisionÃƒÂ¢Ã¢â€šÂ¬Ã‚Âmaking about their health care. However, they are less frequently involved than younger patients. To maximise quality of life, dayÃƒÂ¢Ã¢â€šÂ¬Ã‚ÂtoÃƒÂ¢Ã¢â€šÂ¬Ã‚Âday function, and patient safety, older patients require support to identify unmet healthcare needs and to prioritise treatment options. Objectives To assess the effects of interventions for older patients with multiÃƒÂ¢Ã¢â€šÂ¬Ã‚Âmorbidity aiming to involve them in decisionÃƒÂ¢Ã¢â€šÂ¬Ã‚Âmaking about their health care during primary care consultations. Search methods We searched the Cochrane Central Register of Controlled Trials (CENTRAL; all years to August 2018), in the Cochrane Library; MEDLINE (OvidSP) (1966 to August 2018); Embase (OvidSP) (1988 to August 2018); PsycINFO (OvidSP) (1806 to August 2018); the Cumulative Index to Nursing and Allied Health Literature (CINAHL) (Ovid) (1982 to September 2008), then in Ebsco (2009 to August 2018); Centre for Reviews and Dissemination Databases (Database of Abstracts and Reviews of Effects (DARE)) (all years to August 2018); the Health Technology Assessment (HTA) Database (all years to August 2018); the Ongoing Reviews Database (all years to August 2018); and Dissertation Abstracts International (1861 to August 2018). Selection criteria We sought randomised controlled trials (RCTs), clusterÃƒÂ¢Ã¢â€šÂ¬Ã‚ÂRCTs, and quasiÃƒÂ¢Ã¢â€šÂ¬Ã‚ÂRCTs of interventions to involve patients in decisionÃƒÂ¢Ã¢â€šÂ¬Ã‚Âmaking about their health care versus usual care/control/another intervention, for patients aged 65 years and older with multiÃƒÂ¢Ã¢â€šÂ¬Ã‚Âmorbidity in primary care. Data collection and analysis We used standard Cochrane methodological procedures. MetaÃƒÂ¢Ã¢â€šÂ¬Ã‚Âanalysis was not possible; therefore we prepared a narrative synthesis. Main results We included three studies involving 1879 participants: two RCTs and one clusterÃƒÂ¢Ã¢â€šÂ¬Ã‚ÂRCT. Interventions consisted of: Ãƒâ€šÃ‚Â· patient workshop and individual coaching using behaviour change techniques; Ãƒâ€šÃ‚Â· individual patient coaching utilising cognitiveÃƒÂ¢Ã¢â€šÂ¬Ã‚Âbehavioural therapy and motivational interviewing; and Ãƒâ€šÃ‚Â· holistic patient review, multiÃƒÂ¢Ã¢â€šÂ¬Ã‚Âdisciplinary practitioner training, and organisational change. No studies reported the primary outcome ÃƒÂ¢Ã¢â€šÂ¬Ã‹Å“patient involvement in decisionÃƒÂ¢Ã¢â€šÂ¬Ã‚ÂmakingÃƒÂ¢Ã¢â€šÂ¬Ã¢â€žÂ¢ or the primary adverse outcome ÃƒÂ¢Ã¢â€šÂ¬Ã‹Å“less patient involvement as a result of the interventionÃƒÂ¢Ã¢â€šÂ¬Ã¢â€žÂ¢. Comparing interventions (patient workshop and individual coaching, holistic patient review plus practitioner training, and organisational change) to usual care: we are uncertain whether interventions had any effect on patient reports of high selfÃƒÂ¢Ã¢â€šÂ¬Ã‚Ârated health (risk ratio (RR) 1.40, 95% confidence interval (CI) 0.36 to 5.49; very lowÃƒÂ¢Ã¢â€šÂ¬Ã‚Âcertainty evidence) or on patient enablement (mean difference (MD) 0.60, 95% CI ÃƒÂ¢Ã¢â€šÂ¬Ã‚Â9.23 to 10.43; very lowÃƒÂ¢Ã¢â€šÂ¬Ã‚Âcertainty evidence) compared with usual care. Interventions probably had no effect on healthÃƒÂ¢Ã¢â€šÂ¬Ã‚Ârelated quality of life (adjusted difference in means 0.00, 95% CI ÃƒÂ¢Ã¢â€šÂ¬Ã‚Â0.02 to 0.02; moderateÃƒÂ¢Ã¢â€šÂ¬Ã‚Âcertainty evidence) or on medication adherence (MD 0.06, 95% CI ÃƒÂ¢Ã¢â€šÂ¬Ã‚Â0.05 to 0.17; moderateÃƒÂ¢Ã¢â€šÂ¬Ã‚Âcertainty evidence) but probably improved the number of patients discussing their priorities (adjusted odds ratio 1.85, 95% CI 1.44 to 2.38; moderateÃƒÂ¢Ã¢â€šÂ¬Ã‚Âcertainty evidence) and probably increased the number of nurse consultations (incident rate ratio from adjusted multiÃƒÂ¢Ã¢â€šÂ¬Ã‚Âlevel Poisson model 1.37, 95% CI 1.17 to 1.61; moderateÃƒÂ¢Ã¢â€šÂ¬Ã‚Âcertainty evidence) compared with usual care. Practitioner outcomes were not measured. Interventions were not reported to adversely affect rates of participant death or anxiety, emergency department attendance, or hospital admission compared with usual care. Comparing interventions (patient workshop and coaching, individual patient coaching) to attentionÃƒÂ¢Ã¢â€šÂ¬Ã‚Âcontrol conditions: we are uncertain whether interventions affect patientÃƒÂ¢Ã¢â€šÂ¬Ã‚Âreported high selfÃƒÂ¢Ã¢â€šÂ¬Ã‚Ârated health (RR 0.38, 95% CI 0.15 to 1.00, favouring attention control, with very lowÃƒÂ¢Ã¢â€šÂ¬Ã‚Âcertainty evidence; RR 2.17, 95% CI 0.85 to 5.52, favouring the intervention, with very lowÃƒÂ¢Ã¢â€šÂ¬Ã‚Âcertain y evidence). We are uncertain whether interventions affect patient enablement and engagement by increasing either patient activation (MD 1.20, 95% CI ÃƒÂ¢Ã¢â€šÂ¬Ã‚Â8.21 to 10.61; very lowÃƒÂ¢Ã¢â€šÂ¬Ã‚Âcertainty evidence) or selfÃƒÂ¢Ã¢â€šÂ¬Ã‚Âefficacy (MD 0.29, 95% CI ÃƒÂ¢Ã¢â€šÂ¬Ã‚Â0.21 to 0.79; very lowÃƒÂ¢Ã¢â€šÂ¬Ã‚Âcertainty evidence); or whether interventions affect the number of general practice visits (MD 0.51, 95% CI ÃƒÂ¢Ã¢â€šÂ¬Ã‚Â0.34 to 1.36; very lowÃƒÂ¢Ã¢â€šÂ¬Ã‚Âcertainty evidence), compared to attentionÃƒÂ¢Ã¢â€šÂ¬Ã‚Âcontrol conditions. The intervention may however lead to more patientÃƒÂ¢Ã¢â€šÂ¬Ã‚Âreported changes in management of their health conditions (RR 1.82, 95% CI 1.35 to 2.44; lowÃƒÂ¢Ã¢â€šÂ¬Ã‚Âcertainty evidence). Practitioner outcomes were not measured. Interventions were not reported to adversely affect emergency department attendance nor hospital admission when compared with attention control. Comparing one form of intervention with another: not measured. There was 'unclear' risk across studies for performance bias, detection bias, and reporting bias; however, no aspects were 'high' risk. Evidence was downgraded via GRADE, most often because of 'small sample size' and 'evidence from a single study'. Authors' conclusions Limited available evidence does not allow a robust conclusion regarding the objectives of this review. Whilst patient involvement in decisionÃƒÂ¢Ã¢â€šÂ¬Ã‚Âmaking is seen as a key mechanism for improving care, it is rarely examined as an intervention and was not measured by included studies. Consistency in design, analysis, and evaluation of interventions would enable a greater likelihood of robust conclusions in future reviews. Plain language summary Interventions for involving older patients with more than one longÃƒÂ¢Ã¢â€šÂ¬Ã‚Âterm health problem in decisionÃƒÂ¢Ã¢â€šÂ¬Ã‚Âmaking during primary care consultations Background The number of older people with more than one longÃƒÂ¢Ã¢â€šÂ¬Ã‚Âterm health problem is steadily increasing worldwide. Such individuals can have complicated healthcare needs. Although they frequently want to be involved in making decisions about their health care, they are less often involved than younger, healthier people. As a result, they may not be offered the same treatment options. Review question We reviewed available evidence about the effects of interventions intended to involve older people with more than one longÃƒÂ¢Ã¢â€šÂ¬Ã‚Âterm health problem in decisionÃƒÂ¢Ã¢â€šÂ¬Ã‚Âmaking about their health care during primary care consultations. Study characteristics We included research published up until August 2018. We found three relevant studies involving 1879 participants. These studies were reported from three countries. Participants were over 65 years of age with three or more longÃƒÂ¢Ã¢â€šÂ¬Ã‚Âterm health problems on average. Interventions investigated included: Ãƒâ€šÃ‚Â· patient workshops and individual patient coaching; Ãƒâ€šÃ‚Â· patient coaching including cognitiveÃƒÂ¢Ã¢â€šÂ¬Ã‚Âbehavioural therapy; and Ãƒâ€šÃ‚Â· wholeÃƒÂ¢Ã¢â€šÂ¬Ã‚Âperson patient review, practitioner training, and organisational changes. All studies were funded by national research bodies. Key results None of the studies reported the main outcome ÃƒÂ¢Ã¢â€šÂ¬Ã‹Å“patient involvement in decisionÃƒÂ¢Ã¢â€šÂ¬Ã‚Âmaking about their health careÃƒÂ¢Ã¢â€šÂ¬Ã¢â€žÂ¢ nor whether there was less patient involvement as a result of the intervention. Interventions were not found to increase adverse outcomes such as death, anxiety, emergency department attendance, or hospital admissions.. We are uncertain whether interventions for involving older people with more than one longÃƒÂ¢Ã¢â€šÂ¬Ã‚Âterm health problem in decisionÃƒÂ¢Ã¢â€šÂ¬Ã‚Âmaking about their health care can improve their selfÃƒÂ¢Ã¢â€šÂ¬Ã‚Ârated health or healthcare engagement, or make any difference in selfÃƒÂ¢Ã¢â€šÂ¬Ã‚Âefficacy (one's belief in one's ability to succeed in specific situations) or in the overall number of general practice visits. We can report that these interventions probably make little or no difference in patients' quality of life but probably increase the number of patients discussing their priorities, and are associated with more patient consultations with nurses, when compared to usual care. Interventions may be associated with more changes in the management of health conditions when considered from the patientÃƒÂ¢Ã¢â€šÂ¬Ã¢â€žÂ¢s perspective whe compared with a control group. The quality of the evidence was limited by small studies, and by studies choosing to measure different outcomes, resulting in lack of data that could be combined in analyses. Conclusions Further research in this developing area is required before firm conclusions can be drawn.</t>
  </si>
  <si>
    <t>J571</t>
  </si>
  <si>
    <t>Alternative community-based models of care for young people with anorexia nervosa: the CostED national surveillance study</t>
  </si>
  <si>
    <t>&lt;b&gt;BACKGROUND&lt;/b&gt;: Evidence suggests that investing in specialist eating disorders services for young people with anorexia nervosa could have important implications for the NHS, with the potential to improve health outcomes and reduce costs through reductions in the number and length of hospital admissions._x000D_
&lt;b&gt;OBJECTIVES&lt;/b&gt;: The primary objectives were to evaluate the costs and cost-effectiveness of alternative community-based models of service provision for young people with anorexia nervosa and to model the impact of potential changes to the provision of specialist services._x000D_
&lt;b&gt;DESIGN&lt;/b&gt;: Observational surveillance study using the Child and Adolescent Psychiatry Surveillance System._x000D_
&lt;b&gt;SETTING&lt;/b&gt;: Community-based secondary or tertiary child and adolescent mental health services (CAMHS) in the UK and the Republic of Ireland._x000D_
&lt;b&gt;PARTICIPANTS&lt;/b&gt;: A total of 298 young people aged 8-17 years in contact with CAMHS for a first episode of anorexia nervosa in accordance with Diagnostic and Statistical Manual of Mental Disorders, Fifth Edition, diagnostic criteria._x000D_
&lt;b&gt;INTERVENTIONS&lt;/b&gt;: Community-based specialist eating disorders services and generic CAMHS._x000D_
&lt;b&gt;MAIN OUTCOME MEASURES&lt;/b&gt;: Children's Global Assessment Scale (CGAS) score (primary outcome) and percentage of median expected body mass index (BMI) for age and sex (%mBMI) (secondary outcome) were assessed at baseline and at 6 and 12 months._x000D_
&lt;b&gt;DATA SOURCES&lt;/b&gt;: Data were collected by clinicians from clinical records._x000D_
&lt;b&gt;RESULTS&lt;/b&gt;: Total costs incurred by young people initially assessed in specialist eating disorders services were not significantly different from those incurred by young people initially assessed in generic CAMHS. However, adjustment for baseline covariates resulted in observed differences favouring specialist services (costs were lower, on average) because of the significantly poorer clinical status of the specialist group at baseline. At the 6-month follow-up, mean %mBMI was significantly higher in the specialist group, but no other significant differences in outcomes were evident. Cost-effectiveness analyses suggest that initial assessment in a specialist service has a higher probability of being cost-effective than initial assessment in generic CAMHS, as determined by CGAS score and %mBMI. However, no firm conclusion can be drawn without knowledge of society's willingness to pay for improvements in these outcomes. Decision modelling did not support the hypothesis that changes to the provision of specialist services would generate savings for the NHS, with results suggesting that cost per 10-point improvement in CGAS score (improvement from one CGAS category to the next) varies little as the percentage of participants taking the specialist or generic pathway is varied._x000D_
&lt;b&gt;LIMITATIONS&lt;/b&gt;: Follow-up rates were lower than expected, but the sample was still larger than has been achieved to date in RCTs carried out in this population in the UK, and an exploration of the impact of missing cost and outcome data produced very similar results to those of the main analyses._x000D_
&lt;b&gt;CONCLUSIONS&lt;/b&gt;: The results of this study suggest that initial assessment in a specialist eating disorders service for young people with anorexia nervosa may have a higher probability of being cost-effective than initial assessment in generic CAMHS, although the associated uncertainty makes it hard to draw firm conclusions. Although costs and outcomes were similar, young people in specialist services were more severely ill at baseline, suggesting that specialist services were achieving larger clinical effectiveness gains without the need for additional expenditure. The results did not suggest that providing more specialist services would save money for the NHS, given similar costs and outcomes, so decisions about which service type to fund could be made with reference to other factors, such as the preferences of patients and carers._x000D_
&lt;b&gt;FUTURE WORK&lt;/b&gt;: Data on measures of quality of life capable of generating quality-adjusted life-years are needed to confirm the cost-effectiveness of specialist services._x000D_
&lt;b&gt;TRIAL REGISTRATION&lt;/b&gt;: Current Controlled Trials ISRCTN12676087._x000D_
&lt;b&gt;FUNDING&lt;/b&gt;: This project was funded by the National Institute for Health Research (NIHR) Health Services and Delivery Research programme and will be published in full in Health Services and Delivery Research; Vol. 7, No. 37. See the NIHR Journals Library website for further project information.</t>
  </si>
  <si>
    <t>Evaluates community-based care for anorexia nervosa.</t>
  </si>
  <si>
    <t>J574</t>
  </si>
  <si>
    <t>Abstract 2415: Polygenic risk-tailored screening for prostate cancer: A costeffectiveness Analysis</t>
  </si>
  <si>
    <t>Background Screening for prostate cancer with prostate specific antigen (PSA) remains controversial. Risk-tailoring based on age and polygenic profile might conserve the benefits of PSA screening whilst reducing overdiagnosis. This study evaluates the cost-effectiveness and benefit-to-harm balance of polygenic risk-tailored screening for prostate cancer. Methods A life-table approach was used. A hypothetical cohort of 4.48 million men in England between the ages of 55 and 70 was followed to the age of 90. Three scenarios were compared: No screening, age-based screening (PSA testing every four years from 55 to 70), and risk-tailored screening based on age and polygenic risk profile (men above the risk threshold receive PSA testing four-yearly from the age they reach the risk threshold to 70). The number of prostate cancer cases, deaths from prostate cancer, overdiagnosed cases, life-years and quality-adjusted life-years (QALYs), incremental cost per QALY, and net monetary benefit were calculated. Sensitivity analyses investigated the impact of parameter uncertainty, and the impact of varying the risk threshold, on outcomes. Costs were estimated from the perspective of the UK National Health Service; both costs and benefits were discounted at 3.5%. Results The incremental cost per additional QALY for age-based screening compared to no screening was 58,254 ($75,899), with 27% simulations having an incremental cost-effectiveness ratio of less than 20,000 ($26,058), the threshold set by the UK National Institute for Health and Care Excellence for an intervention to be considered costeffective. In risk-tailored screening, as the 10-year absolute risk-threshold was progressively increased from 2.6%, equivalent to the 10-year absolute risk of a 55-year old man, to 7.1%, the corresponding risk of a 69-year old man, the cost per additional QALY gained reduced from 36,065 ($46,989) to 26,210 ($34,149), when compared to no screening. By comparison with age-based screening, risk-tailored screening with a threshold between 2.6% and 7.1% led to 8 (2.5%) and 45 (13%) fewer deaths prevented from prostate cancer per 10,000 men, with a 0.1% rise and 10% reduction in costs, respectively. Raising the risk threshold from 2.6% to 7.1% led to fewer men being screened (cumulative total of 35% of men screened by comparison with 83%), 53% fewer overdiagnosed cases, 22% fewer biopsies and 10% lower costs, at the expense of 10% fewer prostate cancer deaths averted. Conclusion Risk-tailored screening reduces the harms of screening for prostate cancer whilst preserving much of the mortality benefit. This study raises the prospect of risktailored population-based screening for prostate cancer; the precise risk-thresholds selected will depend on societal judgements regarding the appropriate trade-offs between harms and benefits.</t>
  </si>
  <si>
    <t>Focus on risk-tailored screening aligns with prevention shift.</t>
  </si>
  <si>
    <t>J575</t>
  </si>
  <si>
    <t>Polygenic risk-tailored screening for prostate cancer: A benefit-harm and cost-effectiveness modelling study</t>
  </si>
  <si>
    <t>Background The United States Preventive Services Task Force supports individualised decision-making for prostate-specific antigen (PSA)-based screening in men aged 55-69. Knowing how the potential benefits and harms of screening vary by an individual's risk of developing prostate cancer could inform decision-making about screening at both an individual and population level. This modelling study examined the benefit-harm tradeoffs and the cost-effectiveness of a risk-tailored screening programme compared to age-based and no screening. Methods and findings A life-table model, projecting age-specific prostate cancer incidence and mortality, was developed of a hypothetical cohort of 4.48 million men in England aged 55 to 69 years with follow-up to age 90. Risk thresholds were based on age and polygenic profile. We compared no screening, age-based screening (quadrennial PSA testing from 55 to 69), and risk-tailored screening (men aged 55 to 69 years with a 10-year absolute risk greater than a threshold receive quadrennial PSA testing from the age they reach the risk threshold). The analysis was undertaken from the health service perspective, including direct costs borne by the health system for risk assessment, screening, diagnosis, and treatment. We used probabilistic sensitivity analyses to account for parameter uncertainty and discounted future costs and benefits at 3.5% per year. Our analysis should be considered cautiously in light of limitations related to our model's cohort-based structure and the uncertainty of input parameters in mathematical models. Compared to no screening over 35 years follow-up, age-based screening prevented the most deaths from prostate cancer (39,272, 95% uncertainty interval [UI]: 16,792-59,685) at the expense of 94,831 (95% UI: 84,827-105,630) overdiagnosed cancers. Age-based screening was the least cost-effective strategy studied. The greatest number of quality-adjusted life-years (QALYs) was generated by risk-based screening at a 10-year absolute risk threshold of 4%. At this threshold, risk-based screening led to one-third fewer overdiagnosed cancers (64,384, 95% UI: 57,382-72,050) but averted 6.3% fewer (9,695, 95% UI: 2,853-15,851) deaths from prostate cancer by comparison with age-based screening. Relative to no screening, risk-based screening at a 4% 10-year absolute risk threshold was cost-effective in 48.4% and 57.4% of the simulations at willingness-to-pay thresholds of GBP20,000 (US$26,000) and 30,000 ($39,386) per QALY, respectively. The cost-effectiveness of risk-tailored screening improved as the threshold rose. Conclusions Based on the results of this modelling study, offering screening to men at higher risk could potentially reduce overdiagnosis and improve the benefit-harm tradeoff and the cost-effectiveness of a prostate cancer screening program. The optimal threshold will depend on societal judgements of the appropriate balance of benefits-harms and cost-effectiveness. Copyright: Ãƒâ€šÃ‚Â© 2019 Callender et al. This is an open access article distributed under the terms of the Creative Commons Attribution License, which permits unrestricted use, distribution, and reproduction in any medium, provided the original author and source are credited.</t>
  </si>
  <si>
    <t>J583</t>
  </si>
  <si>
    <t>Community pharmacy personnel interventions for smoking cessation</t>
  </si>
  <si>
    <t>- Background Community pharmacists could provide effective smoking cessation treatment because they offer easy access to members of the community. They are well placed to provide both advice on the correct use of smoking cessation products and behavioural support to aid smoking cessation. Objectives To assess the effectiveness of interventions delivered by community pharmacy personnel to assist people to stop smoking, with or without concurrent use of pharmacotherapy. Search methods We searched the Cochrane Tobacco Addiction Group Specialised Register, along with clinicaltrials.gov and the ICTRP, for smoking cessation studies conducted in a community pharmacy setting, using the search terms pharmacist* or pharmacy or pharmacies. Date of the most recent search: January 2019. Selection criteria Randomised controlled trials of interventions delivered by community pharmacy personnel to promote smoking cessation amongst their clients who were smokers, compared with usual pharmacy support or any less intensive programme. The main outcome measure was smoking cessation rates at six months or more after the start of the intervention. Data collection and analysis We used standard methodological procedures expected by Cochrane for study screening, data extraction and management. We conducted a metaÃƒÂ¢Ã¢â€šÂ¬Ã‚Âanalysis using a MantelÃƒÂ¢Ã¢â€šÂ¬Ã‚ÂHaenszel randomÃƒÂ¢Ã¢â€šÂ¬Ã‚Âeffects model to generate risk ratios (RRs) and 95% confidence intervals (CIs). Main results We identified seven studies including 1774 participants. We judged three studies to be at high risk of bias and four to be at unclear risk. Each study provided faceÃƒÂ¢Ã¢â€šÂ¬Ã‚ÂtoÃƒÂ¢Ã¢â€šÂ¬Ã‚Âface behavioural support delivered by pharmacy staff, and required pharmacy personnel training. Typically such programmes comprised support starting before quit day and continuing with weekly appointments for several weeks afterwards. Comparators were either minimal or less intensive behavioural support for smoking cessation, typically comprising a few minutes of oneÃƒÂ¢Ã¢â€šÂ¬Ã‚Âoff advice on how to quit. Participants in both intervention and control arms received equivalent smoking cessation pharmacotherapy in all but one study. All studies took place in highÃƒÂ¢Ã¢â€šÂ¬Ã‚Âincome countries, and recruited participants visiting pharmacies. We pooled six studies of 1614 participants and detected a benefit of more intensive behavioural smoking cessation interventions delivered by community pharmacy personnel compared with less intensive cessation interventions at longest followÃƒÂ¢Ã¢â€šÂ¬Ã‚Âup (RR 2.30, 95% CI 1.33 to 3.97; I 2 = 54%; lowÃƒÂ¢Ã¢â€šÂ¬Ã‚Âcertainty evidence). Authors' conclusions Community pharmacists can provide effective behavioural support to people trying to stop smoking. However, this conclusion is based on lowÃƒÂ¢Ã¢â€šÂ¬Ã‚Âcertainty evidence, limited by risk of bias and imprecision. Further research could change this conclusion. Plain language summary Does quitÃƒÂ¢Ã¢â€šÂ¬Ã‚Âsmoking support delivered by community pharmacy staff help people to stop smoking? Background Tobacco smoking is the leading cause of preventable death and disease worldwide. Community pharmacists are respected healthcare professionals who provide easily accessible and convenient healthcare services to their communities, and they are well placed to provide their clients with help to quit smoking. Indeed, many governments recognise community pharmacies as a useful way of delivering many healthcare services. However, we need evidence that these services are effective before we develop them more widely. Study characteristics We searched for relevant studies in January 2019, and found seven studies including 1774 people. Three studies took place in the UK, and one each in Australia, United States, Qatar, and Italy. Each study provided faceÃƒÂ¢Ã¢â€šÂ¬Ã‚ÂtoÃƒÂ¢Ã¢â€šÂ¬Ã‚Âface behavioural support delivered by pharmacy staff, who received specific training. Studies compared the structured programme to less intensive support to stop smoking. Key results We found evidence that more intensive structured care given by community pharmacy staff probably helps more people to quit smoking than less intensive support to quit. Qualit of the evidence We found lowÃƒÂ¢Ã¢â€šÂ¬Ã‚Âquality evidence that community pharmacy support helps people to quit smoking. Limitations of the evidence came from potential problems with the ways some of the studies were carried out and the low numbers of people who quit smoking across the included studies, which means we are not sure how effective these programmes really are.</t>
  </si>
  <si>
    <t>Community pharmacies provide accessible smoking cessation support.</t>
  </si>
  <si>
    <t>Community; Prevention</t>
  </si>
  <si>
    <t>J586</t>
  </si>
  <si>
    <t>Medical treatment for botulism</t>
  </si>
  <si>
    <t>- Background Botulism is an acute paralytic illness caused by a neurotoxin produced by Clostridium botulinum . Supportive care, including intensive care, is key, but the role of other medical treatments is unclear. This is an update of a review first published in 2011. Objectives To assess the effects of medical treatments on mortality, duration of hospitalization, mechanical ventilation, tube or parenteral feeding, and risk of adverse events in botulism. Search methods We searched the Cochrane Neuromuscular Specialised Register, CENTRAL, MEDLINE, and Embase on 23 January 2018. We reviewed bibliographies and contacted authors and experts. We searched two clinical trials registers, WHO ICTRP and clinicaltrials.gov, on 21 February 2019. Selection criteria Randomized controlled trials (RCTs) and quasiÃƒÂ¢Ã¢â€šÂ¬Ã‚ÂRCTs examining the medical treatment of any of the four major types of botulism (infant intestinal botulism, foodÃƒÂ¢Ã¢â€šÂ¬Ã‚Âborne botulism, wound botulism, and adult intestinal toxemia). Potential medical treatments included equine serum trivalent botulism antitoxin, humanÃƒÂ¢Ã¢â€šÂ¬Ã‚Âderived botulinum immune globulin intravenous (BIGÃƒÂ¢Ã¢â€šÂ¬Ã‚ÂIV), plasma exchange, 3,4ÃƒÂ¢Ã¢â€šÂ¬Ã‚Âdiaminopyridine, and guanidine. Data collection and analysis We followed standard Cochrane methodology. Our primary outcome was inÃƒÂ¢Ã¢â€šÂ¬Ã‚Âhospital death from any cause occurring within four weeks from randomization or the beginning of treatment. Secondary outcomes were death from any cause occurring within 12 weeks, duration of hospitalization, duration of mechanical ventilation, duration of tube or parenteral feeding, and proportion of participants with adverse events or complications of treatment. Main results A single RCT met the inclusion criteria. Our 2018 search update identified no additional trials. The included trial evaluated BIGÃƒÂ¢Ã¢â€šÂ¬Ã‚ÂIV for the treatment of infant botulism and included 59 treatment participants and 63 control participants. The control group received a control immune globulin that did not have an effect on botulinum toxin. Participants were followed during the length of their hospitalization to measure the outcomes of interest. There was some violation of intentionÃƒÂ¢Ã¢â€šÂ¬Ã‚ÂtoÃƒÂ¢Ã¢â€šÂ¬Ã‚Âtreat principles, and possibly some betweenÃƒÂ¢Ã¢â€šÂ¬Ã‚Âtreatment group imbalances among participants admitted to the intensive care unit and mechanically ventilated, but otherwise the risk of bias was low. There were no deaths in either group, making any treatment effect on mortality inestimable. There was a benefit in the treatment group on mean duration of hospitalization (BIGÃƒÂ¢Ã¢â€šÂ¬Ã‚ÂIV: 2.60 weeks, 95% confidence interval (CI) 1.95 to 3.25; control: 5.70 weeks, 95% CI 4.40 to 7.00; mean difference (MD) ÃƒÂ¢Ã¢â€šÂ¬Ã‚Â3.10 weeks, 95% CI ÃƒÂ¢Ã¢â€šÂ¬Ã‚Â4.52 to ÃƒÂ¢Ã¢â€šÂ¬Ã‚Â1.68; moderateÃƒÂ¢Ã¢â€šÂ¬Ã‚Âcertainty evidence); mechanical ventilation (BIGÃƒÂ¢Ã¢â€šÂ¬Ã‚ÂIV: 1.80 weeks, 95% CI 1.20 to 2.40; control: 4.40 weeks, 95% CI 3.00 to 5.80; MD ÃƒÂ¢Ã¢â€šÂ¬Ã‚Â2.60 weeks, 95% CI ÃƒÂ¢Ã¢â€šÂ¬Ã‚Â4.06 to ÃƒÂ¢Ã¢â€šÂ¬Ã‚Â1.14; lowÃƒÂ¢Ã¢â€šÂ¬Ã‚Âcertainty evidence); and tube or parenteral feeding (BIGÃƒÂ¢Ã¢â€šÂ¬Ã‚ÂIV: 3.60 weeks, 95% CI 1.70 to 5.50; control: 10.00 weeks, 95% CI 6.85 to 13.15; MD ÃƒÂ¢Ã¢â€šÂ¬Ã‚Â6.40 weeks, 95% CI ÃƒÂ¢Ã¢â€šÂ¬Ã‚Â10.00 to ÃƒÂ¢Ã¢â€šÂ¬Ã‚Â2.80; moderateÃƒÂ¢Ã¢â€šÂ¬Ã‚Âcertainty evidence), but not on proportion of participants with adverse events or complications (BIGÃƒÂ¢Ã¢â€šÂ¬Ã‚ÂIV: 63.08%; control: 68.75%; risk ratio 0.92, 95% CI 0.72 to 1.18; absolute risk reduction 0.06, 95% CI 0.22 to ÃƒÂ¢Ã¢â€šÂ¬Ã‚Â0.11; moderateÃƒÂ¢Ã¢â€šÂ¬Ã‚Âcertainty evidence). Authors' conclusions We found lowÃƒÂ¢Ã¢â€šÂ¬Ã‚Â and moderateÃƒÂ¢Ã¢â€šÂ¬Ã‚Âcertainty evidence supporting the use of BIGÃƒÂ¢Ã¢â€šÂ¬Ã‚ÂIV in infant intestinal botulism. A single RCT demonstrated that BIGÃƒÂ¢Ã¢â€šÂ¬Ã‚ÂIV probably decreases the duration of hospitalization; may decrease the duration of mechanical ventilation; and probably decreases the duration of tube or parenteral feeding. Adverse events were probably no more frequent with immune globulin than with placebo. Our search did not reveal any evidence examining the use of other medical treatments including serum trivalent botulism antitoxin. Plain language summary Medical treatment for botulism Review question We reviewed the evidence on the effect of medical treatment on human botulism. Background Botuli m is a serious illness that starts suddenly and causes paralysis (an inability to use muscles). The cause of botulism is a germ called Clostridium botulinum . If the illness is left untreated, many people with botulism will die. There are four main types of botulism: adult and infant types where the intestine (gut) is infected; botulism from contaminated food; and wound botulism. We searched for clinical trials of medical treatments for any of the four major types of botulism. We assessed the effects of treatment on the rate of deaths in hospital from any cause within four weeks of infection. We were also interested in deaths within 12 weeks, length of hospital stay, the need for a ventilator to help with breathing (mechanical ventilation), feeding by tube, and harmful events of treatment. Study characteristics Our searches of the medical literature revealed one relevant study, which was in infant botulism. The treatment was a single dose of a medicine made from human immune proteins (humanÃƒÂ¢Ã¢â€šÂ¬Ã‚Âderived botulinum immune globulin intravenous, or BIGÃƒÂ¢Ã¢â€šÂ¬Ã‚ÂIV). FiftyÃƒÂ¢Ã¢â€šÂ¬Ã‚Ânine infants received BIGÃƒÂ¢Ã¢â€šÂ¬Ã‚ÂIV, and 63 infants received a placebo (inactive treatment). Each study participant was followed up for the duration of their hospitalization. This study was sponsored by the California Department of Health Services. Key results and certainty of the evidence There were no deaths in either group in the trial. Infants treated with BIGÃƒÂ¢Ã¢â€šÂ¬Ã‚ÂIV spent, on average, about three weeks less time in hospital (i.e. 3.1 weeks versus 5.7 weeks) than infants who received the inactive treatment, and spent about three weeks less on a ventilator (1.8 weeks versus 4.4 weeks). The average duration of tube feeding in the BIGÃƒÂ¢Ã¢â€šÂ¬Ã‚ÂIV group was more than six weeks less than in the placebo group (i.e. 3.6 versus 10 weeks). The risk of harmful effects of the treatment was probably no greater with BIGÃƒÂ¢Ã¢â€šÂ¬Ã‚ÂIV than with the inactive treatment. The evidence was mostly of moderate certainty (low certainty for time spent on a ventilator). The review shows that BIGÃƒÂ¢Ã¢â€šÂ¬Ã‚ÂIV probably shortens hospitalization; may shorten time spent on a ventilator; and probably reduces the duration of tube feeding compared to placebo. On the other hand, we found no evidence for or against botulism antitoxin or other treatments for botulism. The evidence is upÃƒÂ¢Ã¢â€šÂ¬Ã‚ÂtoÃƒÂ¢Ã¢â€šÂ¬Ã‚Âdate to January 2018, when we updated the searches and found no new trials.</t>
  </si>
  <si>
    <t>J590</t>
  </si>
  <si>
    <t>Lost cost savings to the NHS in England due to the delayed entry of multiple generic low-dose transdermal buprenorphine: A case scenario analysis</t>
  </si>
  <si>
    <t>Objective: Originator pharmaceutical companies prolonging the patent of a medicine prevents rivals' entry to the market and competition. As the entry of generic alternatives usually results in price reduction, any delay in their entry potentially deprives the National Health Service (NHS) of much-needed savings. This study estimates the potential cost savings lost to the NHS as a result of delayed entry of generic low-dose buprenorphine (LDTB) patches in England. Design(s): Two case scenarios were modelled to determine the savings from the entry of generic LDTB Butec only between February and August 2016 and the potential savings which could have been achieved if all generic LDTB patches had entered the market at the same time. Setting(s): The volume of utilisation of branded and generic LDTB in UK primary care was derived from the NHS business services authority website for prescriptions dispensed between February 2015 and January 2018. Main Outcome Measure(s): Cost savings associated with the entry of generic LDTB. Result(s): The cumulative cost savings from the introduction of Butec alone was 0.7 ($0.92) million. The model predicted that if all generic buprenorphine entered the market at the same time with Butec, they could have been achieved a 1.2 ($1.57) million saving. This means that approximately 0.5 ($0.65) million savings was lost to the NHS over the 6-month time period. Conclusion(s): The entry of Butec was associated with cost savings. We estimated that more cost savings could have been achieved if other generic LDTB patches had entered the market at the same time to drive competition between rivals. Patent protection strategies which delayed the entry of multiple generics were responsible for the reduced cost savings to the NHS in England. Copyright Ãƒâ€šÃ‚Â© 2019 Author(s).</t>
  </si>
  <si>
    <t>J594</t>
  </si>
  <si>
    <t>Cost-effectiveness of ventricular tachycardia catheter ablation: Limitations in the current trial evidence base</t>
  </si>
  <si>
    <t>Introduction Comparative effectiveness research has emerged as a main area of focus in order to highlight and develop more cost-effective evidence based treatments. Within cardiovascular medicine, randomised clinical trials (RCTs) have suffered from criticisms including a lack of generalisability as well as a lack of analysis of the cost-effectiveness of the different interventions being studied. Such analyses are used by organisations including the National institute for Health and Care excellence (NICE) to inform system-level decisions regarding which treatments the NHS should fund. In cardiology, treatments often involve expensive technologies, with the potential for a growing chasm to exist between what is the latest and greatest innovation and what can be afforded on the frontline. Aim To evaluate the cost-effectiveness of ventricular tachycardia (VT) catheter ablation versus anti-arrhythmic drug (AAD) therapy in ischemic heart disease. Methods A decision-analytic Markov model was used to calculate the costs and health outcomes of catheter ablation or AAD treatment of VT for a hypothetical cohort of patients with ischaemic cardiomyopathy and an implantable cardioverter defibrillator (ICD). Model inputs where informed using RCT-level evidence [table 1] wherever possible and health states were selected according to evidence of pragmatically measurable differences between each state [figure 1]. Health states that did not have any patientreported HRQL data supporting the calculation of a QALY value were excluded. Costs were calculated from a UK perspective. Results Catheter ablation versus AAD therapy had an incremental cost-effectiveness ratio (ICER) of 144,150 (161,448) per quality adjusted life year (QALY) gained, over a five-year time horizon [table 2]. The ICER for a tenyear time horizon was 75,074 (84,083) and 69,986 (e78,384) over the cohort's lifetime. Using probabilistic sensitivity analyses to account for model parameter uncertainty, the likelihood of catheter ablation being cost-effective was only 11%, assuming a willingness to pay threshold of 30,000 used by the NICE [figure 2]. One-way sensitivity analyses suggested that cost-effectiveness inferences were robust to a wide range of departures from base-case assumptions, including changes in baseline mortality, procedural mortality and readmission rate. Conclusion Catheter ablation of VT is unlikely to be costeffective compared with AAD therapy alone in patients with ischaemic cardiomyopathy implanted with an ICD based on pooled trial evidence. However, better designed studies incorporating detailed and more frequent quality of life assessment are needed to advise health policy in this field and to provide more informed cost-effectiveness analyses. (Figure Presented) .</t>
  </si>
  <si>
    <t>J595</t>
  </si>
  <si>
    <t>Peer support for people with schizophrenia or other serious mental illness</t>
  </si>
  <si>
    <t>- Background Peer support provides the opportunity for peers with experiential knowledge of a mental illness to give emotional, appraisal and informational assistance to current service users, and is becoming an important recoveryÃƒÂ¢Ã¢â€šÂ¬Ã‚Âoriented approach in healthcare for people with mental illness. Objectives To assess the effects of peerÃƒÂ¢Ã¢â€šÂ¬Ã‚Âsupport interventions for people with schizophrenia or other serious mental disorders, compared to standard care or other supportive or psychosocial interventions not from peers. Search methods We searched the Cochrane Schizophrenia Group's StudyÃƒÂ¢Ã¢â€šÂ¬Ã‚ÂBased Register of Trials on 27 July 2016 and 4 July 2017. There were no limitations regarding language, date, document type or publication status. Selection criteria We selected all randomised controlled clinical studies involving people diagnosed with schizophrenia or other related serious mental illness that compared peer support to standard care or other psychosocial interventions and that did not involve 'peer' individual/group(s). We included studies that met our inclusion criteria and reported useable data. Our primary outcomes were service use and global state (relapse). Data collection and analysis The authors of this review complied with the Cochrane recommended standard of conduct for data screening and collection. Two review authors independently screened the studies, extracted data and assessed the risk of bias of the included studies. Any disagreement was resolved by discussion until the authors reached a consensus. We calculated the risk ratio (RR) and 95% confidence interval (CI) for binary data, and the mean difference and its 95% CI for continuous data. We used a randomÃƒÂ¢Ã¢â€šÂ¬Ã‚Âeffects model for analyses. We assessed the quality of evidence and created a 'Summary of findings' table using the GRADE approach. Main results This review included 13 studies with 2479 participants. All included studies compared peer support in addition to standard care with standard care alone. We had significant concern regarding risk of bias of included studies as over half had an unclear risk of bias for the majority of the risk domains (i.e. random sequence generation, allocation concealment, blinding, attrition and selective reporting). Additional concerns regarding blinding of participants and outcome assessment, attrition and selective reporting were especially serious, as about a quarter of the included studies were at high risk of bias for these domains. All included studies provided useable data for analyses but only two trials provided useable data for two of our main outcomes of interest, and there were no data for one of our primary outcomes, relapse. Peer support appeared to have little or no effect on hospital admission at medium term (RR 0.44, 95% CI 0.11 to 1.75; participants = 19; studies = 1, very lowÃƒÂ¢Ã¢â€šÂ¬Ã‚Âquality evidence) or allÃƒÂ¢Ã¢â€šÂ¬Ã‚Âcause death in the long term (RR 1.52, 95% CI 0.43 to 5.31; participants = 555; studies = 1, very lowÃƒÂ¢Ã¢â€šÂ¬Ã‚Âquality evidence). There were no useable data for our other prespecified important outcomes: days in hospital, clinically important change in global state (improvement), clinically important change in quality of life for peer supporter and service user, or increased cost to society. One trial compared peer support with clinicianÃƒÂ¢Ã¢â€šÂ¬Ã‚Âled support but did not report any useable data for the above main outcomes. Authors' conclusions Currently, very limited data are available for the effects of peer support for people with schizophrenia. The risk of bias within trials is of concern and we were unable to use the majority of data reported in the included trials. In addition, the few that were available, were of very low quality. The current body of evidence is insufficient to either refute or support the use of peerÃƒÂ¢Ã¢â€šÂ¬Ã‚Âsupport interventions for people with schizophrenia and other mental illness. Plain language summary Peer support for schizophrenia and other serious mental illnesses Background Schizophrenia and other serious mental illnesses are chronic disruptive mental disorders with disturbing psychot c, affective and cognitive symptoms such as delusions, hallucinations, depression, anxiety, insomnia, difficulty in concentration, suspiciousness and social withdrawal. The primary treatment is antipsychotic medicine, but these are not always fully effective. Peer support provides the opportunity for both a service user and a provider of care to share knowledge, direct experience of their illness and to help each other along the path to recovery. The support is given alongside antipsychotic treatment. Through interpersonal sharing, modelling and assistance within or outside of group sessions, it is believed that these supportive strategies can help combat feelings of hopelessness and behavioural problems that may result from having an illness and empower people to continue their treatment and help them to resume key roles in real life. However, findings from research have been inconsistent regarding the effectiveness of peer support for people with schizophrenia and other serious mental illnesses. Review aims This review aimed to find highÃƒÂ¢Ã¢â€šÂ¬Ã‚Âquality evidence from relevant randomised clinical trials (studies where people are randomly put into one of two or more treatment groups) so we could assess the effects of peerÃƒÂ¢Ã¢â€šÂ¬Ã‚Âsupport interventions for people with serious mental illness in comparison to standard care or other supportive or psychosocial interventions not from peers. We were interested in finding clinically meaningful data that could provide information regarding the effect peer support has on hospital admission, relapse, global state, quality of life, death and cost to society for people with schizophrenia. Searches We searched Cochrane Schizophrenia's specialised register of trials (up to 2017) and found 13 trials that randomised 2479 people with schizophrenia or other similar serious mental illnesses to receive either peer support plus their standard care, clinicianÃƒÂ¢Ã¢â€šÂ¬Ã‚Âled support plus their standard care or standard care alone. Key results Thirteen trials were available but the evidence was very low quality. Useable data were reported for only two of our prespecified outcomes of importance and showed adding peer support to standard care appeared to have little or no clear impact on hospital admission or death for people with schizophrenia and other serious mental illnesses. One of these trials (participants = 156) also compared peer support with clinicianÃƒÂ¢Ã¢â€šÂ¬Ã‚Âled support (where a health professional provided support). However, there were no useable data for this comparison reported for the main outcomes. Conclusions We have little confidence in the above findings. Currently, there is no highÃƒÂ¢Ã¢â€šÂ¬Ã‚Âquality evidence available to either support or refute the effectiveness of peerÃƒÂ¢Ã¢â€šÂ¬Ã‚Âsupport interventions for people with schizophrenia or other serious mental illnesses.</t>
  </si>
  <si>
    <t>J598</t>
  </si>
  <si>
    <t>A modelling study of the budget impact of improved glycaemic control in adults with Type 1 diabetes in the UK</t>
  </si>
  <si>
    <t>Aims: To develop a novel interactive budget impact model that assesses affordability of diabetes treatments in specific populations, and to test the model in a hypothetical scenario by estimating cost savings resulting from reduction in HbA&lt;inf&gt;1c&lt;/inf&gt; from &gt;=69 mmol/mol (8.5%) to a target of 53 mmol/mol (7.0%) in adults with Type 1 diabetes in the UK. Method(s): A dynamic, interactive model was created using the projected incidence and progression over a 5-year horizon of diabetes-related complications (micro- and macrovascular disease, severe hypoglycaemia and diabetic ketoacidosis) for different HbA&lt;inf&gt;1c&lt;/inf&gt; levels, with flexible input of population size, complications and therapy costs, HbA&lt;inf&gt;1c&lt;/inf&gt; distribution and other variables. The model took a National Health Service and societal perspective. Result(s): The model was developed, and in the proposed hypothetical situation, reductions in complications and expected costs evaluated. Achievement of target HbA&lt;inf&gt;1c&lt;/inf&gt; in individuals with HbA&lt;inf&gt;1c&lt;/inf&gt; &gt;=69 mmol/mol (8.5%) would reduce expected chronic complications from 6.8 to 1.2 events per 100 person-years, and diabetic ketoacidosis from 14.5 to 1.0 events per 100 person-years. Potential cumulative direct cost savings achievable in the modelled population were estimated at 687 m over 5 years (5,585/person), with total (direct and indirect) savings of 1,034 m (8,400/person). Conclusion(s): Implementation of strategies aimed at achieving target glucose levels in people with Type 1 diabetes in the UK has the potential to drive a significant reduction in complication costs. This estimate may provide insights into the potential for investment in achieving savings through improved diabetes care in the UK. Copyright Ãƒâ€šÃ‚Â© 2019 Diabetes UK</t>
  </si>
  <si>
    <t>Focus on preventing diabetes complications aligns with prevention shift.</t>
  </si>
  <si>
    <t>J599</t>
  </si>
  <si>
    <t>Interventions for hand eczema</t>
  </si>
  <si>
    <t>- Background Hand eczema is an inflammation of the skin of the hands that tends to run a chronic, relapsing course. This common condition is often associated with itch, social stigma, and impairment in employment. Many different interventions of unknown effectiveness are used to treat hand eczema. Objectives To assess the effects of topical and systemic interventions for hand eczema in adults and children. Search methods We searched the following up to April 2018: Cochrane Skin Group Specialised Register, CENTRAL, MEDLINE, Embase, AMED, LILACS, GREAT, and four trials registries. We checked the reference lists of included studies for further references to relevant trials. Selection criteria We included randomised controlled trials (RCTs) that compared interventions for hand eczema, regardless of hand eczema type and other affected sites, versus no treatment, placebo, vehicle, or active treatments. Data collection and analysis We used standard methodological procedures expected by Cochrane. Primary outcomes were participantÃƒÂ¢Ã¢â€šÂ¬Ã‚Â and investigatorÃƒÂ¢Ã¢â€šÂ¬Ã‚Ârated good/excellent control of symptoms, and adverse events. Main results We included 60 RCTs, conducted in secondary care (5469 participants with mild to severe chronic hand eczema). Most participants were over 18 years old. The duration of treatment was short, generally up to four months. Only 24 studies included a followÃƒÂ¢Ã¢â€šÂ¬Ã‚Âup period. Clinical heterogeneity in treatments and outcome measures was evident. Few studies performed headÃƒÂ¢Ã¢â€šÂ¬Ã‚ÂtoÃƒÂ¢Ã¢â€šÂ¬Ã‚Âhead comparisons of different interventions. Risk of bias varied considerably, with only five studies at low risk in all domains. TwentyÃƒÂ¢Ã¢â€šÂ¬Ã‚Âtwo studies were industryÃƒÂ¢Ã¢â€šÂ¬Ã‚Âfunded. Eighteen trials studied topical corticosteroids or calcineurin inhibitors; 10 studies, phototherapy; three studies, systemic immunosuppressives; and five studies, oral retinoids. Most studies compared an active intervention against no treatment, variants of the same medication, or placebo (or vehicle). Below, we present results from the main comparisons. Corticosteroid creams/ointments: when assessed 15 days after the start of treatment, clobetasol propionate 0.05% foam probably improves participantÃƒÂ¢Ã¢â€šÂ¬Ã‚Ârated control of symptoms compared to vehicle (risk ratio (RR) 2.32, 95% confidence interval (CI) 1.38 to 3.91; number needed to treat for an additional beneficial outcome (NNTB) 3, 95% CI 2 to 8; 1 study, 125 participants); the effect of clobetasol compared to vehicle for investigatorÃƒÂ¢Ã¢â€šÂ¬Ã‚Ârated improvement is less clear (RR 1.43, 95% CI 0.86 to 2.40). More participants had at least one adverse event with clobetasol (11/62 versus 5/63; RR 2.24, 95% CI 0.82 to 6.06), including application site burning/pruritus. This evidence was rated as moderate certainty. When assessed 36 weeks after the start of treatment, mometasone furoate cream used thrice weekly may slightly improve investigatorÃƒÂ¢Ã¢â€šÂ¬Ã‚Ârated symptom control compared to twice weekly (RR 1.23, 95% CI 0.94 to 1.61; 1 study, 72 participants) after remission is reached. ParticipantÃƒÂ¢Ã¢â€šÂ¬Ã‚Ârated symptoms were not measured. Some mild atrophy was reported in both groups (RR 1.76, 95% CI 0.45 to 6.83; 5/35 versus 3/37). This evidence was rated as low certainty. Irradiation with ultraviolet (UV) light: local combination ultraviolet light therapy (PUVA) may lead to improvement in investigatorÃƒÂ¢Ã¢â€šÂ¬Ã‚Ârated symptom control when compared to local narrowÃƒÂ¢Ã¢â€šÂ¬Ã‚Âband UVB after 12 weeks of treatment (RR 0.50, 95% CI 0.22 to 1.16; 1 study, 60 participants). However, the 95% CI indicates that PUVA might make little or no difference. ParticipantÃƒÂ¢Ã¢â€šÂ¬Ã‚Ârated symptoms were not measured. Adverse events (mainly erythema) were reported by 9/30 participants in the narrowÃƒÂ¢Ã¢â€šÂ¬Ã‚Âband UVB group versus none in the PUVA group. This evidence was rated as moderate certainty. Topical calcineurin inhibitors: tacrolimus 0.1% over two weeks probably improves investigatorÃƒÂ¢Ã¢â€šÂ¬Ã‚Ârated symptom control measured after three weeks compared to vehicle (14/14 tacrolimus versus 0/14 vehicle; 1 study). ParticipantÃƒÂ¢Ã¢â€šÂ¬Ã‚Ârated symptoms were not measured. Four of 14 people in the tacroli us group versus zero in the vehicle group had wellÃƒÂ¢Ã¢â€šÂ¬Ã‚Âtolerated application site burning/itching. A withinÃƒÂ¢Ã¢â€šÂ¬Ã‚Âparticipant study in 16 participants compared 0.1% tacrolimus to 0.1% mometasone furoate but did not measure investigatorÃƒÂ¢Ã¢â€šÂ¬Ã‚Â or participantÃƒÂ¢Ã¢â€šÂ¬Ã‚Ârated symptoms. Both treatments were well tolerated when assessed at two weeks during four weeks of treatment. Evidence from these studies was rated as moderate certainty. Oral interventions: oral cyclosporin 3 mg/kg/d probably slightly improves investigatorÃƒÂ¢Ã¢â€šÂ¬Ã‚Ârated (RR 1.88, 95% CI 0.88 to 3.99; 1 study, 34 participants) or participantÃƒÂ¢Ã¢â€šÂ¬Ã‚Ârated (RR 1.25, 95% CI 0.69 to 2.27) control of symptoms compared to topical betamethasone dipropionate 0.05% after six weeks of treatment. The risk of adverse events such as dizziness was similar between groups (up to 36 weeks; RR 1.22, 95% CI 0.80 to 1.86, n = 55; 15/27 betamethasone versus 19/28 cyclosporin). The evidence was rated as moderate certainty. Alitretinoin 10 mg improves investigatorÃƒÂ¢Ã¢â€šÂ¬Ã‚Ârated symptom control compared with placebo (RR 1.58, 95% CI 1.20 to 2.07; NNTB 11, 95% CI 6.3 to 26.5; 2 studies, n = 781) and alitretinoin 30 mg also improves this outcome compared with placebo (RR 2.75, 95% CI 2.20 to 3.43; NNTB 4, 95% CI 3 to 5; 2 studies, n = 1210). Similar results were found for participantÃƒÂ¢Ã¢â€šÂ¬Ã‚Ârated symptom control: alitretinoin 10 mg RR 1.73 (95% CI 1.25 to 2.40) and 30 mg RR 2.75 (95% CI 2.18 to 3.48). Evidence was rated as high certainty. The number of adverse events (including headache) probably did not differ between alitretinoin 10 mg and placebo (RR 1.01, 95% CI 0.66 to 1.55; 1 study, n = 158; moderateÃƒÂ¢Ã¢â€šÂ¬Ã‚Âcertainty evidence), but the risk of headache increased with alitretinoin 30 mg (RR 3.43, 95% CI 2.45 to 4.81; 2 studies, n = 1210; highÃƒÂ¢Ã¢â€šÂ¬Ã‚Âcertainty evidence). Outcomes were assessed between 48 and 72 weeks. Authors' conclusions Most findings were from single studies with low precision, so they should be interpreted with caution. Topical corticosteroids and UV phototherapy were two of the major standard treatments, but evidence is insufficient to support one specific treatment over another. The effect of topical calcineurin inhibitors is not certain. Alitretinoin is more effective than placebo in controlling symptoms, but advantages over other treatments need evaluating. WellÃƒÂ¢Ã¢â€šÂ¬Ã‚Âdesigned and wellÃƒÂ¢Ã¢â€šÂ¬Ã‚Âreported, longÃƒÂ¢Ã¢â€šÂ¬Ã‚Âterm (more than three months), headÃƒÂ¢Ã¢â€šÂ¬Ã‚ÂtoÃƒÂ¢Ã¢â€šÂ¬Ã‚Âhead studies comparing different treatments are needed. Consensus is required regarding the definition of hand eczema and its subtypes, and a standard severity scale should be established. The main limitation was heterogeneity between studies. Small sample size impacted our ability to detect differences between treatments. Plain language summary Treatments for hand eczema Review question We reviewed evidence on the effects of topical and systemic (oral or injected medicines that work throughout the entire body) treatments for hand eczema when compared against placebo (an identical but inactive treatment), no treatment, vehicle (inactive ingredients that help deliver an active treatment), or another treatment. We included 60 randomised trials (5469 participants) published up to April 2018. Background Hand eczema is an inflammation of the skin of the hands that can be caused by contact allergens (i.e. substances that cause an allergic reaction) such as rubber chemicals, but other external factors (e.g. irritants such as water or detergents) and atopic predisposition are often important triggers. Hand eczema can cause a reduction in quality of life leading to many workÃƒÂ¢Ã¢â€šÂ¬Ã‚Ârelated problems. Various types of hand eczema exist, and different topical (creams, ointments, or lotions) and systemic treatments with unknown effectiveness can be used. Study characteristics Most participants were hospital outpatients over 18 years of age with mild to severe chronic hand eczema. Treatment was usually given for up to four months, and outcomes were mainly assessed after treatment. A large variety of treatments were studied and compared to no treatment, variants of the same medication placebo, or vehicle. TwentyÃƒÂ¢Ã¢â€šÂ¬Ã‚Âtwo studies were funded by pharmaceutical companies. Key results Limited data are available to support the best way of managing hand eczema due to varying study quality and inability to pool data from studies with similar interventions. Corticosteroid creams/ointments and phototherapy (irradiation with UV light) are the major treatment options, although comparisons between these options are lacking. Below, we present results for the main comparisons of interest. Corticosteroid creams/ointments: clobetasol propionate foam probably increases participantÃƒÂ¢Ã¢â€šÂ¬Ã‚Ârated good/excellent control of hand eczema when compared to vehicle (516 versus 222 per 1000), but the difference between groups was less clear for investigatorÃƒÂ¢Ã¢â€šÂ¬Ã‚Ârated control, and more adverse events were reported with clobetasol propionate (178 versus 79 per 1000) (all based on moderateÃƒÂ¢Ã¢â€šÂ¬Ã‚Âcertainty evidence). Mometasone furoate cream used thrice weekly may slightly improve investigatorÃƒÂ¢Ã¢â€šÂ¬Ã‚Ârated good/excellent control compared to twice weekly treatment, and participantÃƒÂ¢Ã¢â€šÂ¬Ã‚Ârated control was not measured. Mild skin thinning occurred in both groups, but cases were few (all based on lowÃƒÂ¢Ã¢â€šÂ¬Ã‚Âcertainty evidence). Irradiation with UV light: various types of irradiation (i.e. exposure to radiation) were compared. Local PUVA may improve investigatorÃƒÂ¢Ã¢â€šÂ¬Ã‚Ârated good/excellent control compared to narrowÃƒÂ¢Ã¢â€šÂ¬Ã‚Âband UVB (400 versus 200 per 1000); however, we are uncertain of this finding because results also show that local PUVA may make little or no difference. ParticipantÃƒÂ¢Ã¢â€šÂ¬Ã‚Ârated symptoms were not measured. Nine out of 30 participants in the narrowÃƒÂ¢Ã¢â€šÂ¬Ã‚Âband UVB group reported adverse events (mainly redness) compared to none in the PUVA group (all based on moderateÃƒÂ¢Ã¢â€šÂ¬Ã‚Âcertainty evidence). Topical calcineurin inhibitors: people receiving tacrolimus are probably more likely to achieve improved investigatorÃƒÂ¢Ã¢â€šÂ¬Ã‚Ârated good/excellent symptom control compared to those given vehicle (14/14 participants with tacrolimus compared to none with vehicle), but participantÃƒÂ¢Ã¢â€šÂ¬Ã‚Ârated control of symptoms was not measured. Four of 14 people in the tacrolimus group versus zero in the vehicle group had wellÃƒÂ¢Ã¢â€šÂ¬Ã‚Âtolerated application site burning/itching. One small study compared tacrolimus to mometasone furoate, which were both well tolerated, but did not measure investigatorÃƒÂ¢Ã¢â€šÂ¬Ã‚Â or participantÃƒÂ¢Ã¢â€šÂ¬Ã‚Ârated control (all based on moderateÃƒÂ¢Ã¢â€šÂ¬Ã‚Âcertainty evidence). Oral interventions: oral immunosuppressant (a drug that hinders the immune response) cyclosporin probably slightly improves investigatorÃƒÂ¢Ã¢â€šÂ¬Ã‚Â or participantÃƒÂ¢Ã¢â€šÂ¬Ã‚Ârated control of good/excellent symptoms compared to topical betamethasone cream (a corticosteroid). The risk of adverse events such as dizziness was similar between groups (all based on moderateÃƒÂ¢Ã¢â€šÂ¬Ã‚Âcertainty evidence). The oral vitamin A derivative (retinoid) alitretinoin (10 mg) achieved investigatorÃƒÂ¢Ã¢â€šÂ¬Ã‚Ârated good/excellent symptom control in 307 compared to 194 participants per 1000 with placebo, and alitretinoin 30 mg achieved investigatorÃƒÂ¢Ã¢â€šÂ¬Ã‚Ârated control in 432 compared to 157 participants per 1000 with placebo. Similar results were shown for participantÃƒÂ¢Ã¢â€šÂ¬Ã‚Ârated control (highÃƒÂ¢Ã¢â€šÂ¬Ã‚Âcertainty evidence). When the dosage of alitretinoin was increased to 30 mg, risk of headache was higher compared to placebo (74 versus 251 per 1000; highÃƒÂ¢Ã¢â€šÂ¬Ã‚Âcertainty evidence), but this probably does not differ between alitretinoin 10 mg and placebo (based on moderateÃƒÂ¢Ã¢â€šÂ¬Ã‚Âcertainty evidence). Quality of the evidence The quality of evidence was mainly moderate, with most analyses based on single studies that had small sample sizes; therefore, some results should be interpreted with care.</t>
  </si>
  <si>
    <t>J2830</t>
  </si>
  <si>
    <t>P-284 Exploratory magnetic resonance imaging histogram biomarkers for response prediction to neoadjuvant treatment in oesophageal/gastro-oesophageal cancer</t>
  </si>
  <si>
    <t>Background: The optimal modality and sequencing of neoadjuvant treatment in gastroesophageal cancer is currently being investigated in clinical trials. Early response biomarkers are needed to guide treatment adaptation. This exploratory analysis of a prospective, non-interventional clinical trial (Magnetic resonance IMaging assessment in OeSophageal cAncer) assessed the potential of histogram T2- and diffusion-weighted imaging biomarkers in response prediction to neoadjuvant treatment in oesophageal cancer. Method(s): Patients with locally advanced T2-4N0-3M0 oesophageal/gastroesophageal squamous cell or adenocarcinoma underwent MRI at baseline (Timepoint_0), in week 3 (Timepoint_1) and on completion of neoadjuvant treatment (Timepoint_2). Free-hand regions of interest (ROI) were drawn on each slice with visible tumour on axial T2-weighted and axial high-b-value (b=800) diffusion-weighted MRI. Gross tumour volume (GTV), maximum tumour diameter (MTD) and 9 histogram features were extracted for the tumour at each timepoint. Univariate logistic regression analysis was used to select features with OR &gt;2 or &lt; 0.5 for the primary outcome of pathological response (Mandard score 1 and 2). Variables which met the cut-off criteria were used to fit multivariate logistic regression models combining clinical variables (age, gender, T-stage and N-stage) with imaging features. Performance of the combined models was compared with that of baseline clinical model and the area under the curve (AUC), and two-tailed p values were reported. Result(s): 37 patients (6 female, 31 male, median 65 years, range 41-80) were included in this analysis. 13/37 patients achieved a pathological response. Diffusion-weighted MTD at Timepoint_1 (OR 0.33, 95%CI 0.14-0.81, p 0.02) and T2-weighted kurtosis at Timepoint_2 (OR 0.09, 95%CI 0.01-0.91, p 0.04) were associated with pathological response. These statistically improved the predictive performance of the clinical model (AUC 0.88 and 0.94, respectively versus 0.75 for baseline clinical model). Conclusion(s): Diffusion-weighted maximal tumour dimension at week-3 and T2-weighted kurtosis on neoadjuvant treatment completion have the potential to improve the predictive value of clinical models for response to treatment, but would require external validation in subsequent studies. Clinical trial identification: Multiparametric Magnetic Resonance Imaging for Oesophageal cancer assessment: A pilot study; IRAS 115752. Legal entity responsible for the study: The author. Funding(s): Department of Health via the NIHR Comprehensive Biomedical Research Centre award to Guy's &amp; St Thomas' NHS Foundation Trust in partnership with King's College London/King's College Hospital NHS Foundation Trust; from King's College London/University College London Comprehensive Cancer Imaging Centre funded by Cancer Research UK and EPSRC in association with the Medical Research Council and Department of Health (C1519/A16463); and Wellcome EPSRC Centre for Medical Engineering at King's College London (WT 203148/Z/16/Z). Disclosure: All authors have declared no conflicts of interest. Copyright Ãƒâ€šÃ‚Â© 2021 European Society for Medical Oncology</t>
  </si>
  <si>
    <t>J2833</t>
  </si>
  <si>
    <t>Mobile phoneÃƒÂ¢Ã¢â€šÂ¬Ã‚Âbased interventions for improving adherence to medication prescribed for the primary prevention of cardiovascular disease in adults</t>
  </si>
  <si>
    <t>- Background Cardiovascular disease (CVD) is a major cause of disability and mortality globally. Premature fatal and nonÃƒÂ¢Ã¢â€šÂ¬Ã‚Âfatal CVD is considered to be largely preventable through the control of risk factors by lifestyle modifications and preventive medication. LipidÃƒÂ¢Ã¢â€šÂ¬Ã‚Âlowering and antihypertensive drug therapies for primary prevention are costÃƒÂ¢Ã¢â€šÂ¬Ã‚Âeffective in reducing CVD morbidity and mortality among highÃƒÂ¢Ã¢â€šÂ¬Ã‚Ârisk people and are recommended by international guidelines. However, adherence to medication prescribed for the prevention of CVD can be poor. Approximately 9% of CVD cases in the EU are attributed to poor adherence to vascular medications. LowÃƒÂ¢Ã¢â€šÂ¬Ã‚Âcost, scalable interventions to improve adherence to medications for the primary prevention of CVD have potential to reduce morbidity, mortality and healthcare costs associated with CVD. Objectives To establish the effectiveness of interventions delivered by mobile phone to improve adherence to medication prescribed for the primary prevention of CVD in adults. Search methods We searched CENTRAL, MEDLINE, Embase, and two other databases on 7 January 2020. We also searched two clinical trials registers on 5 February 2020. We searched reference lists of relevant papers. We applied no language or date restrictions. Selection criteria We included randomised controlled trials investigating interventions delivered wholly or partly by mobile phones to improve adherence to cardiovascular medications prescribed for the primary prevention of CVD. We only included trials with a minimum of oneÃƒÂ¢Ã¢â€šÂ¬Ã‚Âyear followÃƒÂ¢Ã¢â€šÂ¬Ã‚Âup in order that the outcome measures related to longerÃƒÂ¢Ã¢â€šÂ¬Ã‚Âterm, sustained medication adherence behaviours and outcomes. Eligible comparators were usual care or control groups receiving no mobile phoneÃƒÂ¢Ã¢â€šÂ¬Ã‚Âdelivered component of the intervention. Data collection and analysis We used standard methodological procedures recommended by Cochrane. The main outcomes of interest were objective measures of medication adherence (blood pressure (BP) and cholesterol), CVD events, and adverse events. We contacted study authors for further information when this was not reported. Main results We included 14 trials with 25,633 randomised participants. Participants were recruited from communityÃƒÂ¢Ã¢â€šÂ¬Ã‚Âbased primary and tertiary care or outpatient clinics. The interventions varied widely from those delivered solely through short messaging service (SMS) to those involving a combination of modes of delivery, such as SMS in addition to healthcare worker training, faceÃƒÂ¢Ã¢â€šÂ¬Ã‚ÂtoÃƒÂ¢Ã¢â€šÂ¬Ã‚Âface counselling, electronic pillboxes, written materials, and home blood pressure monitors. Some interventions only targeted medication adherence, while others additionally targeted lifestyle changes such as diet and exercise. Due to heterogeneity in the nature and delivery of the interventions and study populations, we reported most results narratively, with the exception of two trials which were similar enough to meaningfully pool in metaÃƒÂ¢Ã¢â€šÂ¬Ã‚Âanalyses. The body of evidence for the effect of mobile phoneÃƒÂ¢Ã¢â€šÂ¬Ã‚Âbased interventions on objective outcomes of adherence (BP and cholesterol) was of low certainty, due to most trials being at high risk of bias, and inconsistency in outcome effects. Two trials were at low risk of bias. Among five trials (total study enrolment: 5441 participants) recording lowÃƒÂ¢Ã¢â€šÂ¬Ã‚Âdensity lipoprotein cholesterol (LDLÃƒÂ¢Ã¢â€šÂ¬Ã‚ÂC), two studies found evidence for a small beneficial intervention effect on reducing LDLÃƒÂ¢Ã¢â€šÂ¬Ã‚ÂC (ÃƒÂ¢Ã‹â€ Ã¢â‚¬â„¢5.30 mg/dL, 95% confidence interval (CI) ÃƒÂ¢Ã‹â€ Ã¢â‚¬â„¢8.30 to ÃƒÂ¢Ã‹â€ Ã¢â‚¬â„¢2.30; and ÃƒÂ¢Ã‹â€ Ã¢â‚¬â„¢9.20 mg/dL, 95% CI ÃƒÂ¢Ã‹â€ Ã¢â‚¬â„¢17.70 to ÃƒÂ¢Ã‹â€ Ã¢â‚¬â„¢0.70). The other three studies found results varying from a small reduction (ÃƒÂ¢Ã‹â€ Ã¢â‚¬â„¢7.7 mg/dL) to a small increase in LDLÃƒÂ¢Ã¢â€šÂ¬Ã‚ÂC (0.77 mg/dL). All of which had wide confidence intervals that included no effect. Across 13 studies (25,166 participants) measuring systolic blood pressure, effect estimates ranged from a large reduction (MD ÃƒÂ¢Ã‹â€ Ã¢â‚¬â„¢12.45 mmHg, 95% CI ÃƒÂ¢Ã‹â€ Ã¢â‚¬â„¢15.02 to ÃƒÂ¢Ã‹â€ Ã¢â‚¬â„¢9.88) to a small increase (MD 2.80 mmHg, 95% CI 0.30 to 5.30). We found a similar range of effect estimates for diastolic BP, ranging from ÃƒÂ¢Ã‹â€ Ã¢â‚¬â„¢12.23 mmHg (95% CI ÃƒÂ¢Ã‹â€ Ã¢â‚¬â„¢14.03 to ÃƒÂ¢Ã‹â€ Ã¢â‚¬â„¢10.43) to 1.64 mmHg (95% CI ÃƒÂ¢Ã‹â€ Ã¢â‚¬â„¢0.55 to 3.83) (11 trials, 19,716 participants). Four trials showed intervention benefits for systolic and diastolic BP with confidence intervals excluding no effect, and among these were all three of the trials evaluating selfÃƒÂ¢Ã¢â€šÂ¬Ã‚Âmonitoring of blood pressure with mobile phoneÃƒÂ¢Ã¢â€šÂ¬Ã‚Âbased telemedicine. The fourth trial included SMS and provider support (with additional varied features). Seven studies (19,185 participants) reported 'controlled' BP as an outcome, and intervention effect estimates varied from negligible effects (odds ratio (OR) 1.01, 95% CI 0.76 to 1.34) to large improvements in BP control (OR 2.41, 95% CI: 1.57 to 3.68). The three trials of clinician training or decision support combined with SMS (with additional varied features) had confidence intervals encompassing benefits and harms, with point estimates close to zero. Pooled analyses of the two trials of interventions solely delivered through SMS were indicative of little or no beneficial intervention effect on systolic BP (MD ÃƒÂ¢Ã‹â€ Ã¢â‚¬â„¢1.55 mmHg, 95% CI ÃƒÂ¢Ã‹â€ Ã¢â‚¬â„¢3.36 to 0.25; I 2 = 0%) and small increases in controlled BP (OR 1.32, 95% CI 1.06 to 1.65; I 2 = 0%). Based on four studies (12,439 participants), there was very lowÃƒÂ¢Ã¢â€šÂ¬Ã‚Âcertainty evidence (downgraded twice for imprecision and once for risk of bias) relating to the intervention effect on combined (fatal and nonÃƒÂ¢Ã¢â€šÂ¬Ã‚Âfatal) CVD events. Two studies (2535 participants) provided lowÃƒÂ¢Ã¢â€šÂ¬Ã‚Âcertainty evidence for the effect of the intervention on cognitive outcomes, with little or no difference between trial arms for perceived quality of care and satisfaction with treatment. There was moderateÃƒÂ¢Ã¢â€šÂ¬Ã‚Âcertainty evidence (downgraded due to risk of bias) that the interventions did not cause harm, based on six studies (8285 participants). Three studies reported no adverse events attributable to the intervention. One study reported no difference between groups in experience of adverse effects of statins, and that no participants reported interventionÃƒÂ¢Ã¢â€šÂ¬Ã‚Ârelated adverse events. One study stated that potential side effects were similar between groups. One study reported a similar number of deaths in each arm, but did not provide further information relating to potential adverse events. Authors' conclusions There is lowÃƒÂ¢Ã¢â€šÂ¬Ã‚Âcertainty evidence on the effects of mobile phoneÃƒÂ¢Ã¢â€šÂ¬Ã‚Âdelivered interventions to increase adherence to medication prescribed for the primary prevention of CVD. Trials of BP selfÃƒÂ¢Ã¢â€šÂ¬Ã‚Âmonitoring with mobileÃƒÂ¢Ã¢â€šÂ¬Ã‚Âphone telemedicine support reported modest benefits. One trial at low risk of bias reported modest reductions in LDL cholesterol but no benefits for BP. There is moderateÃƒÂ¢Ã¢â€šÂ¬Ã‚Âcertainty evidence that these interventions do not result in harm. Further trials of these interventions are warranted. Plain language summary Interventions delivered by mobile phone to help people adhere to medication to prevent heart and circulatory disease Review question We reviewed the evidence on the effect of interventions delivered by mobile phone to help people in taking their medication to prevent cardiovascular disease (for example, heart attacks and strokes). Background Around 17.6 million people die from cardiovascular disease every year. Medications can help to prevent cardiovascular disease, but many people who have been given these medications do not take them as often or as consistently as recommended. This means that the medication will not work as well as it could to prevent cardiovascular disease. Interventions delivered through mobile phones, for example, prompting by text messaging, may be a lowÃƒÂ¢Ã¢â€šÂ¬Ã‚Âcost way to help people to take their medication as recommended. Study characteristics The evidence is up to date to January 2020. We found 14 studies that tested interventions delivered at least partly by mobile phone, which followed up participants for at least 12 months. Key results We were not able to combine the results of most of the trials, because the interventions were very different. Two studies were at low risk of bias and 12 were at high risk of bias. T e effects of the interventions were inconsistent across studies, and so we are not confident about their findings. SelfÃƒÂ¢Ã¢â€šÂ¬Ã‚Âmonitoring of blood pressure plus telemedicine support by mobile phone may improve blood pressure control, but we are not confident about the findings due to trials being at risk of bias. Interventions delivered by text message alone may have little or no effect on blood pressure control. Interventions which included text messages and clinician training or clinician decision support (with or without additional features) may have little or no effect on blood pressure or cholesterol. The effects of the interventions which included text messages and provider support (with or without other features) were inconsistent across studies, and so we are not confident about their findings. We are uncertain about the effects of apps held by the patient or apps with additional provider support. Some interventions delivered by mobile phone may help people to take their medication, but the benefits are small or modest. Some trials found that the interventions did not have any beneficial effect. There was no evidence to suggest that these types of interventions caused harm.</t>
  </si>
  <si>
    <t>Mobile interventions for medication adherence in CVD prevention.</t>
  </si>
  <si>
    <t>Digital; Prevention</t>
  </si>
  <si>
    <t>J2835</t>
  </si>
  <si>
    <t>Anticholinergics combined with alphaÃƒÂ¢Ã¢â€šÂ¬Ã‚Âblockers for treating lower urinary tract symptoms related to benign prostatic obstruction</t>
  </si>
  <si>
    <t>- Background Lower urinary tract symptoms (LUTS) due to benign prostatic obstruction (BPO) represent one of the most common clinical complaints in men. AlphaÃƒÂ¢Ã¢â€šÂ¬Ã‚Âblockers are widely used as firstÃƒÂ¢Ã¢â€šÂ¬Ã‚Âline therapy for men with LUTS secondary to BPO, but up to one third of men report no improvement in their LUTS after taking alphaÃƒÂ¢Ã¢â€šÂ¬Ã‚Âblockers. Anticholinergics used in addition to alphaÃƒÂ¢Ã¢â€šÂ¬Ã‚Âblockers may help improve symptoms but it is uncertain how effective they are. Objectives To assess the effects of combination therapy with anticholinergics and alphaÃƒÂ¢Ã¢â€šÂ¬Ã‚Âblockers in men with LUTS related to BPO. Search methods We performed a comprehensive search of medical literature, including the Cochrane Library, MEDLINE, Embase, and trials registries, with no restrictions on the language of publication or publication status. The date of the latest search was 7 August 2020. Selection criteria We included randomized controlled trials. Inclusion criteria were men with LUTS secondary to BPO, ages 40 years or older, and a total International Prostate Symptom Score of 8 or greater. We excluded trials of men with a known neurogenic bladder due to spinal cord injury, multiple sclerosis, or central nervous system disease, and those examining medical therapy for men who were treated with surgery for BPO. We performed three comparisons: combination therapy versus placebo, combination therapy versus alphaÃƒÂ¢Ã¢â€šÂ¬Ã‚Âblockers monotherapy, and combination therapy versus anticholinergics monotherapy. Data collection and analysis Two review authors independently screened the literature, extracted data, and assessed risk of bias. We performed statistical analyses using a randomÃƒÂ¢Ã¢â€šÂ¬Ã‚Âeffects model and interpreted data according to the Cochrane Handbook for Systematic Reviews of Interventions . We used the GRADE approach to rate the certainty of evidence. Main results We included 23 studies with 6285 randomized men across three comparisons. The mean age of participants ranged from 54.4 years to 73.9 years (overall mean age 65.7 years). Of the included studies, 12 were conducted with a singleÃƒÂ¢Ã¢â€šÂ¬Ã‚Âcenter setting, while 11 used a multiÃƒÂ¢Ã¢â€šÂ¬Ã‚Âcenter setting. We only found shortÃƒÂ¢Ã¢â€šÂ¬Ã‚Âterm effect (12 weeks to 12 months) of combination therapy based on available evidence. Combination therapy versus placebo: based on five studies with 2369 randomized participants, combination therapy may result in little or no difference in urologic symptom scores (mean difference (MD) ÃƒÂ¢Ã¢â€šÂ¬Ã¢â‚¬Å“2.73, 95% confidence interval (CI) ÃƒÂ¢Ã¢â€šÂ¬Ã¢â‚¬Å“5.55 to 0.08; lowÃƒÂ¢Ã¢â€šÂ¬Ã‚Âcertainty evidence). We are very uncertain about the effect of combination therapy on quality of life (QoL) (MD ÃƒÂ¢Ã¢â€šÂ¬Ã¢â‚¬Å“0.97, 95% CI ÃƒÂ¢Ã¢â€šÂ¬Ã¢â‚¬Å“2.11 to 0.16; very lowÃƒÂ¢Ã¢â€šÂ¬Ã‚Âcertainty evidence). Combination therapy likely increases adverse events (risk ratio (RR) 1.24, 95% CI 1.04 to 1.47; moderateÃƒÂ¢Ã¢â€šÂ¬Ã‚Âcertainty evidence); based on 252 adverse events per 1000 participants in the placebo group, this corresponds to 61 more adverse events (95% CI 10 more to 119 more) per 1000 participants treated with combination therapy. Combination therapy versus alphaÃƒÂ¢Ã¢â€šÂ¬Ã‚Âblockers alone: based on 22 studies with 4904 randomized participants, we are very uncertain about the effect of combination therapy on urologic symptom scores (MD ÃƒÂ¢Ã¢â€šÂ¬Ã¢â‚¬Å“2.04, 95% CI ÃƒÂ¢Ã¢â€šÂ¬Ã¢â‚¬Å“3.56 to ÃƒÂ¢Ã¢â€šÂ¬Ã¢â‚¬Å“0.52; very lowÃƒÂ¢Ã¢â€šÂ¬Ã‚Âcertainty evidence) and QoL (MD ÃƒÂ¢Ã¢â€šÂ¬Ã¢â‚¬Å“0.71, 95% CI ÃƒÂ¢Ã¢â€šÂ¬Ã¢â‚¬Å“1.03 to ÃƒÂ¢Ã¢â€šÂ¬Ã¢â‚¬Å“0.38; very lowÃƒÂ¢Ã¢â€šÂ¬Ã‚Âcertainty evidence). Combination therapy may result in little or no difference in adverse events rate (RR 1.10, 95% CI 0.90 to 1.34; lowÃƒÂ¢Ã¢â€šÂ¬Ã‚Âcertainty evidence); based on 228 adverse events per 1000 participants in the alphaÃƒÂ¢Ã¢â€šÂ¬Ã‚Âblocker group, this corresponds to 23 more adverse events (95% CI 23 fewer to 78 more) per 1000 participants treated with combination therapy. Combination therapy compared to anticholinergics alone: based on three studies with 1218 randomized participants, we are very uncertain about the effect of combination therapy on urologic symptom scores (MD ÃƒÂ¢Ã¢â€šÂ¬Ã¢â‚¬Å“3.71, 95% CI ÃƒÂ¢Ã¢â€šÂ¬Ã¢â‚¬Å“9.41 to 1.98; very lowÃƒÂ¢Ã¢â€šÂ¬Ã‚Âcertainty evidence). Combination therapy may result in an improvement in QoL (MD ÃƒÂ¢Ã¢â€šÂ¬Ã¢â‚¬Å“1.49, 95% CI ÃƒÂ¢Ã¢â€šÂ¬Ã¢â‚¬Å“1.88 to ÃƒÂ¢Ã¢â€šÂ¬Ã¢â‚¬Å“1.11; lo ÃƒÂ¢Ã¢â€šÂ¬Ã‚Âcertainty evidence). Combination therapy likely results in little to no difference in adverse events (RR 1.26, 95% CI 0.81 to 1.95; moderateÃƒÂ¢Ã¢â€šÂ¬Ã‚Âcertainty evidence); based on 115 adverse events per 1000 participants in the anticholinergic alone group, this corresponds to 4 fewer adverse events (95% CI 7 fewer to 13 more) per 1000 participants treated with combination therapy. Authors' conclusions Based on the findings of the review, combination therapy with anticholinergics and alphaÃƒÂ¢Ã¢â€šÂ¬Ã‚Âblockers are associated with little or uncertain effects on urologic symptom scores compared to placebo, alphaÃƒÂ¢Ã¢â€šÂ¬Ã‚Âblockers, or anticholinergics monotherapy. However, combination therapy may result in an improvement in quality of life compared to anticholinergics monotherapy, but an uncertain effect compared to placebo, or alphaÃƒÂ¢Ã¢â€šÂ¬Ã‚Âblockers. Combination therapy likely increases adverse events compared to placebo, but not compared to alphaÃƒÂ¢Ã¢â€šÂ¬Ã‚Âblockers or anticholinergics monotherapy. The findings of this review were limited by study limitations, inconsistency, and imprecision. We were unable to conduct any of the predefined subgroup analyses. Plain language summary Anticholinergics combined with alphaÃƒÂ¢Ã¢â€šÂ¬Ã‚Âblockers for treating lower urinary tract symptoms related to benign prostatic obstruction Review question Is combination therapy with anticholinergics, a type of medicine that can relieve abnormal bladder contraction (where a man cannot control when he urinates), and alphaÃƒÂ¢Ã¢â€šÂ¬Ã‚Âblockers, a type of medicine that can relax the urethral muscle (the tube that carries urine from the bladder out through the penis during urination), effective and safe for managing urination difficulties and urgency related to enlarged prostate? Background Urination difficulties and urgency caused by enlarged prostate (a male organ near the bladder and surrounding a part of the urethra) are common in men. Although alphaÃƒÂ¢Ã¢â€šÂ¬Ã‚Âblockers have been used to relieve the urinary symptoms, up to one third of men get no benefit. Combination therapy with alphaÃƒÂ¢Ã¢â€šÂ¬Ã‚Âblockers and anticholinergics provides a treatment option for men with urinary symptoms. Study characteristics The search is upÃƒÂ¢Ã¢â€šÂ¬Ã‚ÂtoÃƒÂ¢Ã¢â€šÂ¬Ã‚Âdate to 7 August 2020. We identified 23 studies involving 6285 men. Five studies compared combination therapy with anticholinergics and alphaÃƒÂ¢Ã¢â€šÂ¬Ã‚Âblockers versus placebo (a pill with no therapeutic effects). A total of 22 studies compared combination therapy with anticholinergics and alphaÃƒÂ¢Ã¢â€šÂ¬Ã‚Âblockers versus alphaÃƒÂ¢Ã¢â€šÂ¬Ã‚Âblockers alone. Three studies compared combination therapy with anticholinergics and alphaÃƒÂ¢Ã¢â€šÂ¬Ã‚Âblockers versus anticholinergics alone. The followÃƒÂ¢Ã¢â€šÂ¬Ã‚Âup period in the studies ranged from 12 weeks to one year. Key results Combination therapy versus placebo: combination therapy with anticholinergics and alphaÃƒÂ¢Ã¢â€šÂ¬Ã‚Âblockers was associated with little effect in urinary symptoms and uncertain improvement on quality of life, but combination therapy may increase unwanted side effects. Combination therapy versus alphaÃƒÂ¢Ã¢â€šÂ¬Ã‚Âblockers: combination therapy with anticholinergics and alphaÃƒÂ¢Ã¢â€šÂ¬Ã‚Âblockers may have uncertain effects on improvement of urinary symptoms and quality of life compared to alphaÃƒÂ¢Ã¢â€šÂ¬Ã‚Âblockers alone. Combination therapy may not increase unwanted side effects. Combination therapy compared to anticholinergics: combination therapy with anticholinergics and alphaÃƒÂ¢Ã¢â€šÂ¬Ã‚Âblockers may be associated with uncertain effects on urinary symptoms, but an improvement in quality of life in comparison with anticholinergics alone. Combination therapy may not increase unwanted side effects. Quality of the evidence A majority of included studies were not well conducted or reported, which is why we rated down the certainty of evidence (the confidence to state the conclusion is right) to moderate, low or very low. This means that the true effect may be substantially different from what this review found.</t>
  </si>
  <si>
    <t>J2841</t>
  </si>
  <si>
    <t>Withdrawal or continuation of cholinesterase inhibitors or memantine or both, in people with dementia</t>
  </si>
  <si>
    <t>- Background Dementia is a progressive syndrome characterised by deterioration in memory, thinking and behaviour, and by impaired ability to perform daily activities. Two classes of drug ÃƒÂ¢Ã¢â€šÂ¬Ã‚Â cholinesterase inhibitors (donepezil, galantamine and rivastigmine) and memantine ÃƒÂ¢Ã¢â€šÂ¬Ã‚Â are widely licensed for dementia due to Alzheimer's disease, and rivastigmine is also licensed for Parkinson's disease dementia. These drugs are prescribed to alleviate symptoms and delay disease progression in these and sometimes in other forms of dementia. There are uncertainties about the benefits and adverse effects of these drugs in the long term and in severe dementia, about effects of withdrawal, and about the most appropriate time to discontinue treatment. Objectives To evaluate the effects of withdrawal or continuation of cholinesterase inhibitors or memantine, or both, in people with dementia on: cognitive, neuropsychiatric and functional outcomes, rates of institutionalisation, adverse events, dropout from trials, mortality, quality of life and carerÃƒÂ¢Ã¢â€šÂ¬Ã‚Ârelated outcomes. Search methods We searched the Cochrane Dementia and Cognitive Improvement GroupÃƒÂ¢Ã¢â€šÂ¬Ã¢â€žÂ¢s Specialised Register up to 17 October 2020 using terms appropriate for the retrieval of studies of cholinesterase inhibitors or memantine. The Specialised Register contains records of clinical trials identified from monthly searches of a number of major healthcare databases, numerous trial registries and grey literature sources. Selection criteria We included all randomised, controlled clinical trials (RCTs) which compared withdrawal of cholinesterase inhibitors or memantine, or both, with continuation of the same drug or drugs. Data collection and analysis Two review authors independently assessed citations and fullÃƒÂ¢Ã¢â€šÂ¬Ã‚Âtext articles for inclusion, extracted data from included trials and assessed risk of bias using the Cochrane risk of bias tool. Where trials were sufficiently similar, we pooled data for outcomes in the short term (up to 2 months after randomisation), medium term (3ÃƒÂ¢Ã¢â€šÂ¬Ã‚Â11 months) and long term (12 months or more). We assessed the overall certainty of the evidence for each outcome using GRADE methods. Main results We included six trials investigating cholinesterase inhibitor withdrawal, and one trial investigating withdrawal of either donepezil or memantine. No trials assessed withdrawal of memantine only. Drugs were withdrawn abruptly in five trials and stepwise in two trials. All participants had dementia due to Alzheimer's disease, with severities ranging from mild to very severe, and were taking cholinesterase inhibitors without known adverse effects at baseline. The included trials randomised 759 participants to treatment groups relevant to this review. Study duration ranged from 6 weeks to 12 months. There were too few included studies to allow planned subgroup analyses. We considered some studies to be at unclear or high risk of selection, performance, detection, attrition or reporting bias. Compared to continuing cholinesterase inhibitors, discontinuing treatment may be associated with worse cognitive function in the short term (standardised mean difference (SMD) ÃƒÂ¢Ã¢â€šÂ¬Ã‚Â0.42, 95% confidence interval (CI) ÃƒÂ¢Ã¢â€šÂ¬Ã‚Â0.64 to ÃƒÂ¢Ã¢â€šÂ¬Ã‚Â0.21; 4 studies; low certainty), but the effect in the medium term is very uncertain (SMD ÃƒÂ¢Ã¢â€šÂ¬Ã‚Â0.40, 95% CI ÃƒÂ¢Ã¢â€šÂ¬Ã‚Â0.87 to 0.07; 3 studies; very low certainty). In a sensitivity analysis omitting data from a study which only included participants who had shown a relatively poor prior response to donepezil, inconsistency was reduced and we found that cognitive function may be worse in the discontinuation group in the medium term (SMD ÃƒÂ¢Ã¢â€šÂ¬Ã‚Â0.62; 95% CI ÃƒÂ¢Ã¢â€šÂ¬Ã‚Â0.94 to ÃƒÂ¢Ã¢â€šÂ¬Ã‚Â0.31). Data from one longerÃƒÂ¢Ã¢â€šÂ¬Ã‚Âterm study suggest that discontinuing a cholinesterase inhibitor is probably associated with worse cognitive function at 12 months (mean difference (MD) ÃƒÂ¢Ã¢â€šÂ¬Ã‚Â2.09 Standardised MiniÃƒÂ¢Ã¢â€šÂ¬Ã‚ÂMental State Examination (SMMSE) points, 95% CI ÃƒÂ¢Ã¢â€šÂ¬Ã‚Â3.43 to ÃƒÂ¢Ã¢â€šÂ¬Ã‚Â0.75; moderate certainty). Discontinuation may make little or no difference to functional status in the short term (SM ÃƒÂ¢Ã¢â€šÂ¬Ã‚Â0.25, 95% CI ÃƒÂ¢Ã¢â€šÂ¬Ã‚Â0.54 to 0.04; 2 studies; low certainty), and its effect in the medium term is uncertain (SMD ÃƒÂ¢Ã¢â€šÂ¬Ã‚Â0.38, 95% CI ÃƒÂ¢Ã¢â€šÂ¬Ã‚Â0.74 to ÃƒÂ¢Ã¢â€šÂ¬Ã‚Â0.01; 2 studies; very low certainty). After 12 months, discontinuing a cholinesterase inhibitor probably results in greater functional impairment than continuing treatment (MD ÃƒÂ¢Ã¢â€šÂ¬Ã‚Â3.38 Bristol Activities of Daily Living Scale (BADLS) points, 95% CI ÃƒÂ¢Ã¢â€šÂ¬Ã‚Â6.67 to ÃƒÂ¢Ã¢â€šÂ¬Ã‚Â0.10; one study; moderate certainty). Discontinuation may be associated with a worsening of neuropsychiatric symptoms over the short term and medium term, although we cannot exclude a minimal effect (SMD ÃƒÂ¢Ã¢â€šÂ¬Ã‚Â 0.48, 95% CI ÃƒÂ¢Ã¢â€šÂ¬Ã‚Â0.82 to ÃƒÂ¢Ã¢â€šÂ¬Ã‚Â0.13; 2 studies; low certainty; and SMD ÃƒÂ¢Ã¢â€šÂ¬Ã‚Â0.27, 95% CI ÃƒÂ¢Ã¢â€šÂ¬Ã‚Â0.47 to ÃƒÂ¢Ã¢â€šÂ¬Ã‚Â0.08; 3 studies; low certainty, respectively). Data from one study suggest that discontinuing a cholinesterase inhibitor may result in little to no change in neuropsychiatric status at 12 months (MD ÃƒÂ¢Ã¢â€šÂ¬Ã‚Â0.87 Neuropsychiatric Inventory (NPI) points; 95% CI ÃƒÂ¢Ã¢â€šÂ¬Ã‚Â8.42 to 6.68; moderate certainty). We found no clear evidence of an effect of discontinuation on dropout due to lack of medication efficacy or deterioration in overall medical condition (odds ratio (OR) 1.53, 95% CI 0.84 to 2.76; 4 studies; low certainty), on number of adverse events (OR 0.85, 95% CI 0.57 to 1.27; 4 studies; low certainty) or serious adverse events (OR 0.80, 95% CI 0.46 to 1.39; 4 studies; low certainty), and on mortality (OR 0.75, 95% CI 0.36 to 1.55; 5 studies; low certainty). Institutionalisation was reported in one trial, but it was not possible to extract data for the groups relevant to this review. Authors' conclusions This review suggests that discontinuing cholinesterase inhibitors may result in worse cognitive, neuropsychiatric and functional status than continuing treatment, although this is supported by limited evidence, almost all of low or very low certainty. As all participants had dementia due to Alzheimer's disease, our findings are not transferable to other dementia types. We were unable to determine whether the effects of discontinuing cholinesterase inhibitors differed with baseline dementia severity. There is currently no evidence to guide decisions about discontinuing memantine. There is a need for further wellÃƒÂ¢Ã¢â€šÂ¬Ã‚Âdesigned RCTs, across a range of dementia severities and settings. We are aware of two ongoing registered trials. In making decisions about discontinuing these drugs, clinicians should exercise caution, considering the evidence from existing trials along with other factors important to patients and their carers. Plain language summary Stopping or continuing antiÃƒÂ¢Ã¢â€šÂ¬Ã‚Âdementia drugs in patients with dementia Background Dementia is the term used to describe a group of illnesses, usually developing in late life, in which there is a deterioration in a personÃƒÂ¢Ã¢â€šÂ¬Ã¢â€žÂ¢s ability to think, remember, communicate and manage daily activities independently. It can be caused by several different brain diseases, but the most common form is dementia due to AlzheimerÃƒÂ¢Ã¢â€šÂ¬Ã¢â€žÂ¢s disease. At the moment, there are no medical treatments which can prevent dementia or stop it from progressing, but there are two classes of drugs ÃƒÂ¢Ã¢â€šÂ¬Ã¢â‚¬Å“ the cholinesterase inhibitors (donepezil, rivastigmine and galantamine) and memantine ÃƒÂ¢Ã¢â€šÂ¬Ã‚Â which are approved and widely prescribed to treat some of the symptoms. They are used mainly for dementia due to Alzheimer's disease but also sometimes for other types of dementia. Most of the trials studying the effects of these drugs have been quite short (typically six months) even though dementia usually lasts for years. The drugs can have unwanted side effects in some people. There is uncertainty about their longÃƒÂ¢Ã¢â€šÂ¬Ã‚Âterm effects and about how useful they are for severe dementia, with different countries making different recommendations. Therefore it can be difficult for doctors and patients to decide if and when these drugs should be stopped once they have been started. What was the aim of this review? In this review, we aimed to summarise the best evidence about whether stopping cholinesterase inhibitors or memantine was beneficial or harmfu to people with dementia who had been taking them for at least two months. What we did We searched up to October 2020 for trials which had: recruited people with dementia who were taking a cholinesterase inhibitor or memantine, or both; divided them randomly into a group of patients who continued treatment and a group of patients who stopped treatment; and compared what happened in the two groups. What we found We found seven trials (759 participants) to include in the review. All of the participants had dementia due to AlzheimerÃƒÂ¢Ã¢â€šÂ¬Ã¢â€žÂ¢s disease, but in some trials, the disease was mild to moderate and in others, it was moderate to severe or very severe. Six trials investigated the effects of stopping a cholinesterase inhibitor and one trial investigated stopping either a cholinesterase inhibitor (specifically, donepezil) or memantine. We decided not to pool its results with the other six trials. Effects were measured over different periods of time in different trials. We looked separately at effects in the first 2 months (short term), between 3 and 11 months (medium term), and after a year or more (long term). When we looked at the effect on thinking skills and memory, we found that, compared to stopping treatment, continuing treatment with a cholinesterase inhibitor may be beneficial in the short term and medium term and is probably beneficial in the long term. For ability to carry out daily activities, there may be little or no effect in the short term, and the effect in the medium term was very uncertain, but there is probably a benefit to continuing treatment over the longer term. For mood and behavioural problems, continuing treatment may have benefits in the short term and medium term, but not in the long term. We found no clear evidence about the effects of stopping these drugs on patientsÃƒÂ¢Ã¢â€šÂ¬Ã¢â€žÂ¢ physical health or risk of dying. There was very little evidence about effects on quality of life or on the likelihood of moving to a care home to live. There was not enough evidence for us to see whether results differed with the severity of dementia. Our certainty in the results varied from moderate to very low, mainly because of small numbers of trials and participants, some problems with the way the trials were conducted, and imprecise statistical results. Our conclusions Although there was uncertainty about the results, most of the evidence pointed to benefits of continuing treatment with cholinesterase inhibitors. There was no evidence about types of dementia other than AlzheimerÃƒÂ¢Ã¢â€šÂ¬Ã¢â€žÂ¢s disease, and we were unable to draw specific conclusions about continuing or stopping treatment at different stages of the illness. We found no trials that just investigated stopping memantine. These results may help patients and their doctors to make decisions about whether or not to continue treatment, although other factors, such as side effects in an individual patient and the patientÃƒÂ¢Ã¢â€šÂ¬Ã¢â€žÂ¢s preferences, are also important.</t>
  </si>
  <si>
    <t>J2842</t>
  </si>
  <si>
    <t>A case management occupational health model to facilitate earlier return to work of NHS staff with common mental health disorders: A feasibility study</t>
  </si>
  <si>
    <t>Background: The NHS is the biggest employer in the UK. Depression and anxiety are common reasons for sickness absence among staff. Evidence suggests that an intervention based on a case management model using a biopsychosocial approach could be cost-effective and lead to earlier return to work for staff with common mental health disorders. Objective(s): The objective was to assess the feasibility and acceptability of conducting a trial of the clinical effectiveness and cost-effectiveness of an early occupational health referral and case management intervention to facilitate the return to work of NHS staff on sick leave with any common mental health disorder (e.g. depression or anxiety). Design(s): A multicentre mixed-methods feasibility study with embedded process evaluation and economic analyses. The study comprised an updated systematic review, survey of care as usual, and development of an intervention in consultation with key stakeholders. Although this was not a randomised controlled trial, the study design comprised two arms where participants received either the intervention or care as usual. Participant(s): Participants were NHS staff on sick leave for 7 or more consecutive days but less than 90 consecutive days, with a common mental health disorder. Intervention(s): The intervention involved early referral to occupational health combined with standardised work-focused case management. Copyright Ãƒâ€šÃ‚Â© Queen's Printer and Controller of HMSO 2021.</t>
  </si>
  <si>
    <t>Focuses on occupational health, not NHS Three Shifts.</t>
  </si>
  <si>
    <t>J2843</t>
  </si>
  <si>
    <t>Organising Support for Carers of Stroke Survivors (OSCARSS): a cluster randomised controlled trial with economic evaluation</t>
  </si>
  <si>
    <t>Objective Investigated clinical effectiveness and cost-effectiveness of a person-centred intervention for informal carers/caregivers of stroke survivors. Design Pragmatic cluster randomised controlled trial (cRCT) with economic and process evaluation. Setting Clusters were services, from a UK voluntary sector specialist provider, delivering support primarily in the homes of stroke survivors and informal carers. Participants Adult carers in participating clusters were referred to the study by cluster staff following initial support contact. Interventions Intervention was the Carer Support Needs Assessment Tool for Stroke: a staff-facilitated, carer-led approach to help identify, prioritise and address the specific support needs of carers. It required at least one face-to-face support contact dedicated to carers, with reviews as required. Control was usual care, which included carer support (unstructured and variable). Outcome measures Participants provided study entry and self-reported outcome data by postal questionnaires, 3 and 6 months after first contact by cluster staff. Primary Outcome: 3-month caregiver strain (Family Appraisal of Caregiving Questionnaire, FACQ). Secondary Outcomes: FACQ subscales of caregiver distress and positive appraisals of caregiving, mood (Hospital Anxiety and Depression Scale) and satisfaction with stroke services (Pound). The economic evaluation included self-reported healthcare utilisation, intervention costs and EQ-5D-5L. Randomisation and masking Clusters were recruited before randomisation to intervention or control, with stratification for size of service. Cluster staff could not be masked as training was required for participation. Carer research participants provided self-reported outcome data unaware of allocation; they consented to follow-up data collection only. Results Between 1 February 2017 and 31 July 2018, 35 randomised clusters (18 intervention; 17 control) recruited 414 cRCT carers (208 intervention; 206 control). Study entry characteristics were well balanced. Primary outcome measure: intention-to-treat analysis for 84% retained participants (175 intervention; 174 control) found mean (SD) FACQ carer strain at 3 months to be 3.11 (0.87) in the control group compared with 3.03 (0.90) in the intervention group, adjusted mean difference of -0.04 (95% CI -0.20 to 0.13). Secondary outcomes had similarly small differences and tight CIs. Sensitivity analyses suggested robust findings. Intervention fidelity was not achieved. Intervention-related group costs were marginally higher with no additional health benefit observed on EQ-5D-5L. No adverse events were related to the intervention. Conclusions The intervention was not fully implemented in this pragmatic trial. As delivered, it conferred no clinical benefits and is unlikely to be cost-effective compared with usual care from a stroke specialist provider organisation. It remains unclear how best to support carers of stroke survivors. To overcome the implementation challenges of person-centred care in carers' research and service development, staff training and organisational support would need to be enhanced. Trial registration number ISRCTN58414120. Copyright Ãƒâ€šÃ‚Â© Author(s) (or their employer(s)) 2020. Re-use permitted under CC BY-NC. No commercial re-use. See rights and permissions. Published by BMJ.</t>
  </si>
  <si>
    <t>J2844</t>
  </si>
  <si>
    <t>1-year cost-utility analysis of prostate artery embolization (PAE) versus transurethral resection of the prostate (TURP) in benign prostatic hyperplasia (BPH)</t>
  </si>
  <si>
    <t>Objective To determine whether prostate artery embolization (PAE) is a cost-effective alternative to transurethral resection of the prostate (TURP) in the management of benign prostate hyperplasia (BPH) after 1-year follow-up. Design, setting and main outcome measures A retrospective cost-utility analysis over a 12-month time period was conducted to compare the two interventions from a National Health Service perspective. Effectiveness was measured as quality-adjusted life years (QALYs) derived from data collected during the observational UK Register of Prostate Embolisation (UK-ROPE) Study. Costs for both PAE and TURP were derived from University Hospital Southampton, a tertiary referral centre for BPH and the largest contributor to the UK-ROPE. An incremental cost-effectiveness ratio (ICER) was derived from cost and QALY values associated with both interventions to assess the cost-effectiveness of PAE versus TURP. Further sensitivity analyses involved a decision tree model to account for the impact of patient-reported complications on the cost-effectiveness of the interventions. Results The mean patient age for TURP (n=31) and PAE (n=133) was 69 and 65.6 years, respectively. In comparison to TURP, PAE was cheaper due to shorter patient stays and the lack of necessity for an operating theatre. Analysis revealed an ICER of 64 798.10 saved per QALY lost when comparing PAE to TURP after 1-year follow-up. Conclusion Our findings suggest that PAE is initially a cost-effective alternative to TURP for the management of BPH after 1-year follow-up. Due to a higher reintervention rate in the PAE group, this benefit may be lost in subsequent years. Trial registration number NCT02434575. Copyright Ãƒâ€šÃ‚Â© Authors 2021</t>
  </si>
  <si>
    <t>Focuses on cost-effectiveness of procedures, not NHS shifts.</t>
  </si>
  <si>
    <t>J2848</t>
  </si>
  <si>
    <t>Cost Effectiveness of Ranibizumab vs Aflibercept vs Bevacizumab for the Treatment of Macular Oedema Due to Central Retinal Vein Occlusion: The LEAVO Study</t>
  </si>
  <si>
    <t>Background: We aimed to assess the cost effectiveness of intravitreal ranibizumab (Lucentis), aflibercept (Eylea) and bevacizumab (Avastin) for the treatment of macular oedema due to central retinal vein occlusion. Method(s): We calculated costs and quality-adjusted life-years from the UK National Health Service and Personal Social Services perspective. We performed a within-trial analysis using the efficacy, safety, resource use and health utility data from a randomised controlled trial (LEAVO) over 100 weeks. We built a discrete event simulation to model long-term outcomes. We estimated utilities using the Visual-Functioning Questionnaire-Utility Index, EQ-5D and EQ-5D with an additional vision question. We used standard UK costs sources for 2018/19 and a cost of 28 per bevacizumab injection. We discounted costs and quality-adjusted life-years at 3.5% annually. Result(s): Bevacizumab was the least costly intervention followed by ranibizumab and aflibercept in both the within-trial analysis (bevacizumab: 6292, ranibizumab: 13,014, aflibercept: 14,328) and long-term model (bevacizumab: 18,353, ranibizumab: 30,226, aflibercept: 35,026). Although LEAVO did not demonstrate bevacizumab to be non-inferior for the visual acuity primary outcome, the three interventions generated similar quality-adjusted life-years in both analyses. Bevacizumab was always the most cost-effective intervention at a threshold of 30,000 per quality-adjusted life-year, even using the list price of 243 per injection. Conclusion(s): Wider adoption of bevacizumab for the treatment of macular oedema due to central retinal vein occlusion could result in substantial savings to healthcare systems and deliver similar health-related quality of life. However, patients, funders and ophthalmologists should be fully aware that LEAVO could not demonstrate that bevacizumab is non-inferior to the licensed agents. Copyright Ãƒâ€šÃ‚Â© 2021, The Author(s).</t>
  </si>
  <si>
    <t>J2849</t>
  </si>
  <si>
    <t>Systematic review and meta-analysis of the clinical utility of enhanced recovery after surgery pathways in adult spine surgery</t>
  </si>
  <si>
    <t>OBJECTIVE Spine surgery has been identified as a significant source of healthcare expenditures in the United States. Prolonged hospitalization has been cited as one source of increased spending, and there has been drive from providers and payors alike to decrease inpatient stays. One strategy currently being explored is the use of Enhanced Recovery After Surgery (ERAS) protocols. Here, the authors review the literature on adult spine ERAS protocols, focusing on clinical benefits and cost reductions. They also conducted a quantitative meta-analysis examining the following: 1) length of stay (LOS), 2) complication rate, 3) wound infection rate, 4) 30-day readmission rate, and 5) 30-day reoperation rate. METHODS Using the PRISMA guidelines, a search of the PubMed/Medline, Web of Science, Cochrane Reviews, Embase, CINAHL, and OVID Medline databases was conducted to identify all full-text articles in the English-language literature describing ERAS protocol implementation for adult spine surgery. A quantitative meta-analysis using random-effects modeling was performed for the identified clinical outcomes using studies that directly compared ERAS protocols with conventional care. RESULTS Of 950 articles reviewed, 34 were included in the qualitative analysis and 20 were included in the quantitative analysis. The most common protocol types were general spine surgery protocols and protocols for lumbar spine surgery patients. The most frequently cited benefits of ERAS protocols were shorter LOS (n = 12), lower postoperative pain scores (n = 6), and decreased complication rates (n = 4). The meta-analysis demonstrated shorter LOS for the general spine surgery (mean difference -1.22 days [95% CI -1.98 to -0.47]) and lumbar spine ERAS protocols (-1.53 days [95% CI -2.89 to -0.16]). Neither general nor lumbar spine protocols led to a significant difference in complication rates. Insufficient data existed to perform a meta-analysis of the differences in costs or postoperative narcotic use. CONCLUSIONS Present data suggest that ERAS protocol implementation may reduce hospitalization time among adult spine surgery patients and may lead to reductions in complication rates when applied to specific populations. To generate high-quality evidence capable of supporting practice guidelines, though, additional controlled trials are necessary to validate these early findings in larger populations. Copyright Ãƒâ€šÃ‚Â© AANS 2021.</t>
  </si>
  <si>
    <t>J2850</t>
  </si>
  <si>
    <t>Long-term monitoring in primary care for chronic kidney disease and chronic heart failure: a multi-method research programme</t>
  </si>
  <si>
    <t>&lt;b&gt;BACKGROUND&lt;/b&gt;: Long-term monitoring is important in chronic condition management. Despite considerable costs of monitoring, there is no or poor evidence on how, what and when to monitor. The aim of this study was to improve understanding, methods, evidence base and practice of clinical monitoring in primary care, focusing on two areas: chronic kidney disease and chronic heart failure._x000D_
&lt;b&gt;OBJECTIVES&lt;/b&gt;: The research questions were as follows: does the choice of test affect better care while being affordable to the NHS? Can the number of tests used to manage individuals with early-stage kidney disease, and hence the costs, be reduced? Is it possible to monitor heart failure using a simple blood test? Can this be done using a rapid test in a general practitioner consultation? Would changes in the management of these conditions be acceptable to patients and carers?_x000D_
&lt;b&gt;DESIGN&lt;/b&gt;: Various study designs were employed, including cohort, feasibility study, Clinical Practice Research Datalink analysis, seven systematic reviews, two qualitative studies, one cost-effectiveness analysis and one cost recommendation._x000D_
&lt;b&gt;SETTING&lt;/b&gt;: This study was set in UK primary care._x000D_
&lt;b&gt;DATA SOURCES&lt;/b&gt;: Data were collected from study participants and sourced from UK general practice and hospital electronic health records, and worldwide literature._x000D_
&lt;b&gt;PARTICIPANTS&lt;/b&gt;: The participants were NHS patients (Clinical Practice Research Datalink: 4.5 million patients), chronic kidney disease and chronic heart failure patients managed in primary care (including 750 participants in the cohort study) and primary care health professionals._x000D_
&lt;b&gt;INTERVENTIONS&lt;/b&gt;: The interventions were monitoring with blood and urine tests (for chronic kidney disease) and monitoring with blood tests and weight measurement (for chronic heart failure)._x000D_
&lt;b&gt;MAIN OUTCOME MEASURES&lt;/b&gt;: The main outcomes were the frequency, accuracy, utility, acceptability, costs and cost-effectiveness of monitoring._x000D_
&lt;b&gt;RESULTS&lt;/b&gt;: Chronic kidney disease: serum creatinine testing has increased steadily since 1997, with most results being normal (83% in 2013). Increases in tests of creatinine and proteinuria correspond to their introduction as indicators in the Quality and Outcomes Framework. The Chronic Kidney Disease Epidemiology Collaboration equation had 2.7% greater accuracy (95% confidence interval 1.6% to 3.8%) than the Modification of Diet in Renal Disease equation for estimating glomerular filtration rate. Estimated annual transition rates to the next chronic kidney disease stage are = 2% for people with normal urine albumin, 3-5% for people with microalbuminuria (3-30 mg/mmol) and 3-12% for people with macroalbuminuria (&gt; 30 mg/mmol). Variability in estimated glomerular filtration rate-creatinine leads to misclassification of chronic kidney disease stage in 12-15% of tests in primary care. Glycaemic-control and lipid-modifying drugs are associated with a 6% (95% confidence interval 2% to 10%) and 4% (95% confidence interval 0% to 8%) improvement in renal function, respectively. Neither estimated glomerular filtration rate-creatinine nor estimated glomerular filtration rate-Cystatin C have utility in predicting rate of kidney function change. Patients viewed phrases such as 'kidney damage' or 'kidney failure' as frightening, and the term 'chronic' was misinterpreted as serious. Diagnosis of asymptomatic conditions (chronic kidney disease) was difficult to understand, and primary care professionals often did not use 'chronic kidney disease' when managing patients at early stages. General practitioners relied on Clinical Commissioning Group or Quality and Outcomes Framework alerts rather than National Institute for Health and Care Excellence guidance for information. Cost-effectiveness modelling did not demonstrate a tangible benefit of monitoring kidney function to guide preventative treatments, except for individuals with an estimated glomerular filtration rate of 60-90 ml/minute/1.73 m&lt;sup&gt;2&lt;/sup&gt;, aged &lt; 70 years and without cardiovascular disease, where monitoring every 3-4 years to guide cardiovascular prevention may be cost-effective. Chronic heart failure: natriuretic peptide-guided treatment could reduce all-cause mortality by 13% and heart failure admission by 20%. Implementing natriuretic peptide-guided treatment is likely to require predefined protocols, stringent natriuretic peptide targets, relative targets and being located in a specialist heart failure setting. Remote monitoring can reduce all-cause mortality and heart failure hospitalisation, and could improve quality of life. Diagnostic accuracy of point-of-care N-terminal prohormone of B-type natriuretic peptide (sensitivity, 0.99; specificity, 0.60) was better than point-of-care B-type natriuretic peptide (sensitivity, 0.95; specificity, 0.57). Within-person variation estimates for B-type natriuretic peptide and weight were as follows: coefficient of variation, 46% and coefficient of variation, 1.2%, respectively. Point-of-care N-terminal prohormone of B-type natriuretic peptide within-person variability over 12 months was 881 pg/ml (95% confidence interval 380 to 1382 pg/ml), whereas between-person variability was 1972 pg/ml (95% confidence interval 1525 to 2791 pg/ml). For individuals, monitoring provided reassurance; future changes, such as increased testing, would be acceptable. Point-of-care testing in general practice surgeries was perceived positively, reducing waiting time and anxiety. Community heart failure nurses had greater knowledge of National Institute for Health and Care Excellence guidance than general practitioners and practice nurses. Health-care professionals believed that the cost of natriuretic peptide tests in routine monitoring would outweigh potential benefits. The review of cost-effectiveness studies suggests that natriuretic peptide-guided treatment is cost-effective in specialist settings, but with no evidence for its value in primary care settings._x000D_
&lt;b&gt;LIMITATIONS&lt;/b&gt;: No randomised controlled trial evidence was generated. The pathways to the benefit of monitoring chronic kidney disease were unclear._x000D_
&lt;b&gt;CONCLUSIONS&lt;/b&gt;: It is difficult to ascribe quantifiable benefits to monitoring chronic kidney disease, because monitoring is unlikely to change treatment, especially in chronic kidney disease stages G3 and G4. New approaches to monitoring chronic heart failure, such as point-of-care natriuretic peptide tests in general practice, show promise if high within-test variability can be overcome._x000D_
&lt;b&gt;FUTURE WORK&lt;/b&gt;: The following future work is recommended: improve general practitioner-patient communication of early-stage renal function decline, and identify strategies to reduce the variability of natriuretic peptide._x000D_
&lt;b&gt;STUDY REGISTRATION&lt;/b&gt;: This study is registered as PROSPERO CRD42015017501, CRD42019134922 and CRD42016046902._x000D_
&lt;b&gt;FUNDING&lt;/b&gt;: This project was funded by the National Institute for Health Research (NIHR) Programme Grants for Applied Research programme and will be published in full in Programme Grants for Applied Research; Vol. 9, No. 10. See the NIHR Journals Library website for further project information.</t>
  </si>
  <si>
    <t>J2851</t>
  </si>
  <si>
    <t>Adrenaline to improve survival in out-of-hospital cardiac arrest: the PARAMEDIC2 RCT</t>
  </si>
  <si>
    <t>&lt;b&gt;BACKGROUND&lt;/b&gt;: Adrenaline has been used as a treatment for cardiac arrest for many years, despite uncertainty about its effects on long-term outcomes and concerns that it may cause worse neurological outcomes.</t>
  </si>
  <si>
    <t>J2852</t>
  </si>
  <si>
    <t>Adrenaline to improve survival in out-of-hospital cardiac arrest: The PARAMEDIC2 RCT</t>
  </si>
  <si>
    <t>Background: Adrenaline has been used as a treatment for cardiac arrest for many years, despite uncertainty about its effects on long-term outcomes and concerns that it may cause worse neurological outcomes. Objective(s): The objectives were to evaluate the effects of adrenaline on survival and neurological outcomes, and to assess the cost-effectiveness of adrenaline use. Design(s): This was a pragmatic, randomised, allocation-concealed, placebo-controlled, parallel-group superiority trial and economic evaluation. Costs are expressed in Great British pounds and reported in 2016/17 prices. Setting(s): This trial was set in five NHS ambulance services in England and Wales. Participant(s): Adults treated for an out-of-hospital cardiac arrest were included. Patients were ineligible if they were pregnant, if they were aged &lt; 16 years, if the cardiac arrest had been caused by anaphylaxis or life-threatening asthma, or if adrenaline had already been given. Intervention(s): Participants were randomised to either adrenaline (1 mg) or placebo in a 1: 1 allocation ratio by the opening of allocation-concealed treatment packs. Main Outcome Measure(s): The primary outcome was survival to 30 days. The secondary outcomes were survival to hospital admission, survival to hospital discharge, survival at 3, 6 and 12 months, neurological outcomes and health-related quality of life through to 6 months. The economic evaluation assessed the incremental cost per quality-adjusted life-year gained from the perspective of the NHS and Personal Social Services. Participants, clinical teams and those assessing patient outcomes were masked to the treatment allocation. Result(s): From December 2014 to October 2017, 8014 participants were assigned to the adrenaline (n = 4015) or to the placebo (n = 3999) arm. At 30 days, 130 out of 4012 participants (3.2%) in the adrenaline arm and 94 out of 3995 (2.4%) in the placebo arm were alive (adjusted odds ratio for survival 1.47, 95% confidence interval 1.09 to 1.97). For secondary outcomes, survival to hospital admission was higher for those receiving adrenaline than for those receiving placebo (23.6% vs. 8.0%; adjusted odds ratio 3.83, 95% confidence interval 3.30 to 4.43). The rate of favourable neurological outcome at hospital discharge was not significantly different between the arms (2.2% vs. 1.9%; adjusted odds ratio 1.19, 95% confidence interval 0.85 to 1.68). The pattern of improved survival but no significant improvement in neurological outcomes continued through to 6 months. By 12 months, survival in the adrenaline arm was 2.7%, compared with 2.0% in the placebo arm (adjusted odds ratio 1.38, 95% confidence interval 1.00 to 1.92). An adjusted subgroup analysis did not identify significant interactions. The incremental cost-effectiveness ratio for adrenaline was estimated at 1,693,003 per quality-adjusted life-year gained over the first 6 months after the cardiac arrest event and 81,070 per quality-adjusted life-year gained over the lifetime of survivors. Additional economic analyses estimated incremental cost-effectiveness ratios for adrenaline at 982,880 per percentage point increase in overall survival and 377,232 per percentage point increase in neurological outcomes over the first 6 months after the cardiac arrest. Limitation(s): The estimate for survival with a favourable neurological outcome is imprecise because of the small numbers of patients surviving with a good outcome. Conclusion(s): Adrenaline improved long-term survival, but there was no evidence that it significantly improved neurological outcomes. The incremental cost-effectiveness ratio per quality-adjusted life-year exceeds the threshold of 20,000-30,000 per quality-adjusted life-year usually supported by the NHS. Future work: Further research is required to better understand patients' preferences in relation to survival and neurological outcomes after out-of-hospital cardiac arrest and to aid interpretation of the trial findings from a patient and public perspective. Trial registration: Current Controlled Trials ISRCTN73485024 and EudraCT 2014-000792-11. Copyright Ãƒâ€šÃ‚Â© 2021 Perkins et al.</t>
  </si>
  <si>
    <t>Focuses on treatment efficacy, not NHS Three Shifts.</t>
  </si>
  <si>
    <t>J2853</t>
  </si>
  <si>
    <t>Rehabilitation following surgery for flexor tendon injuries of the hand</t>
  </si>
  <si>
    <t>- Background Various rehabilitation treatments may be offered following surgery for flexor tendon injuries of the hand. Rehabilitation often includes a combination of an exercise regimen and an orthosis, plus other rehabilitation treatments, usually delivered together. The effectiveness of these interventions remains unclear. Objectives To assess the effects (benefits and harms) of different rehabilitation interventions after surgery for flexor tendon injuries of the hand. Search methods We searched the Cochrane Central Register of Controlled Trials, the Cochrane Bone, Joint and Muscle Trauma Group Specialised Register, MEDLINE, Embase, two additional databases and two international trials registries, unrestricted by language. The last date of searches was 11 August 2020. We checked the reference lists of included studies and relevant systematic reviews. Selection criteria We included randomised controlled trials (RCTs) and quasiÃƒÂ¢Ã¢â€šÂ¬Ã‚ÂRCTs that compared any postoperative rehabilitation intervention with no intervention, control, placebo, or another postoperative rehabilitation intervention in individuals who have had surgery for flexor tendon injuries of the hand. Trials comparing different mobilisation regimens either with another mobilisation regimen or with a control were the main comparisons of interest. Our main outcomes of interest were patientÃƒÂ¢Ã¢â€šÂ¬Ã‚Âreported function, active range of motion of the fingers, and number of participants experiencing an adverse event. Data collection and analysis Two review authors independently selected trials for inclusion, extracted data, assessed risk of bias and assessed the quality of the body of evidence for primary outcomes using the GRADE approach, according to standard Cochrane methodology. Main results We included 16 RCTs and one quasiÃƒÂ¢Ã¢â€šÂ¬Ã‚ÂRCT, with a total of 1108 participants, mainly adults. Overall, the participants were aged between 7 and 72 years, and 74% were male. Studies mainly focused on flexor tendon injuries in zone II. The 17 studies were heterogeneous with respect to the types of rehabilitation treatments provided, intensity, duration of treatment and the treatment setting. Each trial tested one of 14 comparisons, eight of which were of different exercise regimens. The other trials examined the timing of return to unrestricted functional activities after surgery (one study); the use of external devices applied to the participant to facilitate mobilisation, such as an exoskeleton (one study) or continuous passive motion device (one study); modalities such as laser therapy (two studies) or ultrasound therapy (one study); and a motor imagery treatment (one study). No trials tested different types of orthoses; different orthosis wearing regimens, including duration; different timings for commencing mobilisation; different types of scar management; or different timings for commencing strengthening. Trials were generally at high risk of bias for one or more domains, including lack of blinding, incomplete outcome data and selective outcome reporting. Data pooling was limited to tendon rupture data in a three trial comparison. We rated the evidence available for all reported outcomes of all comparisons as very lowÃƒÂ¢Ã¢â€šÂ¬Ã‚Âcertainty evidence, which means that we have very little confidence in the estimates of effect. We present the findings from three exercise regimen comparisons, as these are commonly used in clinical current practice. Early active flexion plus controlled passive exercise regimen versus early controlled passive exercise regimen (modified Kleinert protocol) was compared in one trial of 53 participants with mainly zone II flexor tendon repairs. There is very lowÃƒÂ¢Ã¢â€šÂ¬Ã‚Âcertainty evidence of no clinically important difference between the two groups in patientÃƒÂ¢Ã¢â€šÂ¬Ã‚Ârated function or active finger range of motion at 6 or 12 months followÃƒÂ¢Ã¢â€šÂ¬Ã‚Âup. There is very lowÃƒÂ¢Ã¢â€šÂ¬Ã‚Âcertainty evidence of little betweenÃƒÂ¢Ã¢â€šÂ¬Ã‚Âgroup difference in adverse events: there were 15 overall. All three tendon ruptures underwent secondary surgery. An active exercise regimen versus an immobilisation egimen for three weeks was compared in one trial reporting data for 84 participants with zone II flexor tendon repairs. The trial did not report on selfÃƒÂ¢Ã¢â€šÂ¬Ã‚Ârated function, on range of movement during three to six months or numbers of participants experiencing adverse events. The very lowÃƒÂ¢Ã¢â€šÂ¬Ã‚Âcertainty evidence for poor (under oneÃƒÂ¢Ã¢â€šÂ¬Ã‚Âquarter that of normal) range of finger movement at one to three years followÃƒÂ¢Ã¢â€šÂ¬Ã‚Âup means we are uncertain of the finding of zero cases in the active group versus seven cases in the immobilisation regimen. The same uncertainty applies to the finding of little difference between the two groups in adverse events (5 tendon ruptures in the active group versus 10 probable scar adhesion in the immobilisation group) indicated for surgery. Place and hold exercise regimen performed within an orthosis versus a controlled passive regimen using rubber band traction was compared in three heterogeneous trials, which reported data for a maximum of 194 participants, with mainly zone II flexor tendon repairs. The trials did not report on range of movement during three to six months, or numbers of participants experiencing adverse events. There was very lowÃƒÂ¢Ã¢â€šÂ¬Ã‚Âcertainty evidence of no difference in selfÃƒÂ¢Ã¢â€šÂ¬Ã‚Ârated function using the Disability of the Arm, Shoulder and Hand (DASH) functional assessment between the two groups at six months (one trial) or at 12 months (one trial). There is very lowÃƒÂ¢Ã¢â€šÂ¬Ã‚Âcertainty evidence from one trial of greater active finger range of motion at 12 months after place and hold. Secondary surgery data were not available; however, all seven recorded tendon ruptures would have required surgery. All the evidence for the other five exercise comparisons as well as those of the other six comparisons made by the included studies was incomplete and, where available, of very lowÃƒÂ¢Ã¢â€šÂ¬Ã‚Âcertainty. Authors' conclusions There is a lack of evidence from RCTs on most of the rehabilitation interventions used following surgery for flexor tendon injuries of the hand. The limited and very lowÃƒÂ¢Ã¢â€šÂ¬Ã‚Âcertainty evidence for all 14 comparisons examined in the 17 included studies means that we have very little confidence in the estimates of effect for all outcomes for which data were available for these comparisons. The dearth of evidence identified in this review points to the urgent need for sufficiently powered RCTs that examine key questions relating to the rehabilitation of these injuries. A consensus approach identifying these and establishing minimum study conduct and reporting criteria will be valuable. Our suggestions for future research are detailed in the review. Plain language summary What are the best ways for recovering movement in the hand after surgery to repair flexor tendons (tendons in the hand that enable fingers to bend)? Why is this question important? Flexor tendons are strong smooth cords that connect the muscles in the forearm (between the hand and elbow) to the bones in the fingers. These tendons allow us to bend our fingers. (Other tendons, known as extensor tendons, allow us to straighten them.) If flexor tendons become damaged ÃƒÂ¢Ã¢â€šÂ¬Ã¢â‚¬Å“ for example, because of a deep cut from broken glass ÃƒÂ¢Ã¢â€šÂ¬Ã¢â‚¬Å“ surgery is usually needed. The aim of surgery is to repair the tendons so that movement can be restored in the affected fingers. After surgery, the tendons need a lengthy period of rehabilitation to recover from the injury, the surgery and to restore movement. This period typically lasts 12 weeks, though it can be longer for people with complex injuries or with complications such as joint deformities. Rehabilitation usually involves several different steps. After surgery, people often must wear a splint or other devise to stabilise or immobilise the hand and wrist. They also often must do hand exercises to stop the repaired tendons from sticking to surrounding tissue and limiting hand movement. There are many kinds of different rehabilitation programmes, but it is unclear whether some are better than others. We set out to review the evidence from research studies, to find out: ÃƒÂ¢Ã¢â€šÂ¬Ã‚Â which approaches are most effect ve in restoring finger motion and function; and ÃƒÂ¢Ã¢â€šÂ¬Ã‚Â which approaches minimise the risk of adverse (unwanted) events, such as tendon ruptures, scar tissue sticking to other tissues, and joint stiffness. How did we identify and evaluate the evidence? First, we searched for studies in the medical literature that compared any rehabilitation approach after flexor tendon surgery against: ÃƒÂ¢Ã¢â€šÂ¬Ã‚Â no treatment; ÃƒÂ¢Ã¢â€šÂ¬Ã‚Â a placebo (dummy) treatment (in which, for example, someone thinks they may be receiving laser therapy but the machine is switched off); or ÃƒÂ¢Ã¢â€šÂ¬Ã‚Â another rehabilitation approach. We then compared the results, and summarised the evidence from all the studies. Finally, we rated our confidence in the evidence, based on factors such as study methods and sizes, and the consistency of findings across studies that tested the same comparison. What did we find? We found 17 studies that involved a total of 1108 people who had received surgery to repair torn flexor tendons. The people were aged between 7 and 72 years, and threeÃƒÂ¢Ã¢â€šÂ¬Ã‚Âquarters of them were male. Ten studies evaluated one each of eight different hand exercise programmes. The other seven studies evaluated a variety of other rehabilitation approaches, such as: ÃƒÂ¢Ã¢â€šÂ¬Ã‚Â laser therapy, in which light is directed at the tendons to encourage healing; ÃƒÂ¢Ã¢â€šÂ¬Ã‚Â ultrasound, in which sound waves are directed at the tendons to encourage healing; and ÃƒÂ¢Ã¢â€šÂ¬Ã‚Â a wearable machine (exoskeleton), designed to assist people in their movements. We found very little evidence about the benefits and risks of different rehabilitation approaches. The evidence we did find was not robust. For example, for the three most relevant exercise comparisons we identified only: ÃƒÂ¢Ã¢â€šÂ¬Ã‚Â one study (84 people) that compared finger exercises against immobilisation; ÃƒÂ¢Ã¢â€šÂ¬Ã‚Â one study (53 people) that evaluated the effects of adding regular finger exercises (20 to 30 times every waking hour for four weeks from the first day after surgery) to ÃƒÂ¢Ã¢â€šÂ¬Ã‹Å“passiveÃƒÂ¢Ã¢â€šÂ¬Ã¢â€žÂ¢ exercises (in which people regularly folded the fingers in the injured hand using the uninjured hand); and ÃƒÂ¢Ã¢â€šÂ¬Ã‚Â three studies (190 people) that evaluated the effects of adding ÃƒÂ¢Ã¢â€šÂ¬Ã‹Å“place and holdÃƒÂ¢Ã¢â€šÂ¬Ã¢â€žÂ¢ exercises (during which people use their uninjured hand to fold the fingers of the injured hand, and then have to hold the folded fingers in place for a few seconds without any support) to passive exercises. The studies were too small, or reported too little robust or usable information, for us to determine which approach is best. What does this mean? We do not know which method works best for people to recover movement in the hand after surgery to repair flexor tendons. This is because there is not enough robust evidence about the benefits and risks of different methods. Further research is needed to help inform cliniciansÃƒÂ¢Ã¢â€šÂ¬Ã¢â€žÂ¢ and patientsÃƒÂ¢Ã¢â€šÂ¬Ã¢â€žÂ¢ choice of rehabilitation after surgery for flexor tendon injuries. How upÃƒÂ¢Ã¢â€šÂ¬Ã‚ÂtoÃƒÂ¢Ã¢â€šÂ¬Ã‚Âdate is this review? The evidence in this Cochrane Review is current to August 2020.</t>
  </si>
  <si>
    <t>J2855</t>
  </si>
  <si>
    <t>Carbapenemase-producing organism (CPO) colonisation at a district general hospital: universal screening may help reduce transmission</t>
  </si>
  <si>
    <t>Objective: Assess the potential of hospital-wide routine screening by determining the prevalence and incidence of carbapenemase-producing organisms (CPOs) isolated from rectal screens at Barnet and Chase Farm Hospitals. Method(s): 3,553 samples were collected between 01/12/2018 and 31/08/2019: from adult critical care wards (universal screening - admission, discharge and weekly), from medical wards with risk-factor based screening according to the prevailing Public Health England (PHE) carbapenemase-producing Enterobacteriaceae (CPE) screening guidelines, or on an ad hoc basis. Prevalence was defined as previously documented positive CPO colonisation, or new positive status, as a proportion of all eligible samples. Incidence was defined as all newly positive patients per 1,000 patient-days. Result(s): Overall CPO prevalence was 2.1% (95% CI: 1.61-2.58%). Inpatient prevalence was significantly higher at 2.6% vs outpatient at 0.5% (p &lt; 0.001). Incidence was 0.44 per 1,000 patient-days (95% CI: 0.33-0.57), with a rate ratio between Barnet and Chase Farm of 4.9 (p = 0.013). Incidence was highest where universal screening strategy was applied (3.9 per 1000 patient-days, 95% CI: 2.4-5.91). This was 2.5 times higher than risk-factor based screening (p = 0.005) and 23.5 times that of wards without routine surveillance implemented (p &lt; 0.001). Conclusion(s): Surveillance remains a cornerstone in controlling CPO transmission. Our local incidence, lacking hospital-wide screening, significantly exceeded the reported UK average. Universal screening could help to uncover the true prevalence and incidence of CPO, thereby providing the necessary information to properly control transmission, reducing nosocomial outbreaks and ultimately reducing the overall cost to healthcare. Copyright Ãƒâ€šÃ‚Â© 2021 The Authors</t>
  </si>
  <si>
    <t>J2856</t>
  </si>
  <si>
    <t>Results of the avoiding late diagnosis of ovarian cancer (ALDO) project; A pilot national surveillance program for brca mutationcarriers</t>
  </si>
  <si>
    <t>Introduction/Background * Ovarian cancer (OC) in BRCA mutation-carriers is typically diagnosed clinically at &gt;=stage 3c, with consequent poor prognosis. Risk-reducing salpingooophorectomy (RRSO) is recommended for BRCA mutationcarriers as the only proven method of OC prevention. Women who defer RRSO to permit child-bearing/prevent premature menopause would benefit from surveillance which can downstage OC occurring prior to RRSO. We wanted to establish the 'real world' performance of OC surveillance which we have previously shown downstages OC in clinical trials. Methodology 875 female BRCA mutation-carriers were recruited at 13 UK centres and via a media campaign and underwent 4-monthly surveillance with the Risk of Ovarian Cancer Algorithm (ROCA) blood test. They had a 6 week repeat test if their ROCA score was &gt;1 in 1000, and a transvaginal scan (TVS) in addition, if their risk was &gt; 1 in 500. Women with a score &gt;1 in 33 or those with concerning TVS were referred to a rapid access clinic to rule out OC. RRSO was encouraged throughout the program. Participants were followed via questionnaires, notification by centres/GPs and direct contact. Surveillance performance was calculated after censoring 4 months after prior screen, with modelling of occult cancers detected at RRSO. Incremental cost-effectiveness was calculated using a Markov population cohort simulation. Result(s)* 8 OCs occurred during 1277 women screen years; 2 occult OCs at RRSO (both stage 1a), 6 screen-detected OCs (3 prevalent; stage 2a, 3aii and 3c, 3 incident; stage 1a, 3b and 4b). 4 of 6 (67%) screen-detected OCs were diagnosed at stages &lt;3c. 7 of 8 (87.5%) screen-detected cancers were completely cytoreduced. There were no interval cancers. Modelled sensitivity, specificity, PPV and NPV for OC were 87.5% (CI, 47.3-99.7), 99.9%(99.9-100), 75%(34.9-96.8) and 99.9% (99.9-100) respectively. Economic modelling indicated that surveillance would be cost-saving within the UK National Health Service. Conclusion* OC surveillance for women declining RRSO in a 'real-word' setting is feasible and equally effective as in research trials, resulting in successful downstaging with likely clinical benefit and healthcare cost savings. Whilst RRSO remains the recommended management for BRCA-carriers, ROCA-based surveillance is a viable interim option for those who defer such surgery.</t>
  </si>
  <si>
    <t>Focus on early detection and prevention of ovarian cancer.</t>
  </si>
  <si>
    <t>J2857</t>
  </si>
  <si>
    <t>Antiemetics for adults for prevention of nausea and vomiting caused by moderately or highly emetogenic chemotherapy: a network metaÃƒÂ¢Ã¢â€šÂ¬Ã‚Âanalysis</t>
  </si>
  <si>
    <t>- Background About 70% to 80% of adults with cancer experience chemotherapyÃƒÂ¢Ã¢â€šÂ¬Ã‚Âinduced nausea and vomiting (CINV). CINV remains one of the most distressing symptoms associated with cancer therapy and is associated with decreased adherence to chemotherapy. Combining 5ÃƒÂ¢Ã¢â€šÂ¬Ã‚ÂhydroxytryptamineÃƒÂ¢Ã¢â€šÂ¬Ã‚Â3 (5ÃƒÂ¢Ã¢â€šÂ¬Ã‚ÂHTÃƒÂ¢Ã¢â‚¬Å¡Ã†â€™) receptor antagonists with corticosteroids or additionally with neurokininÃƒÂ¢Ã¢â€šÂ¬Ã‚Â1 (NKÃƒÂ¢Ã¢â‚¬Å¡Ã‚Â) receptor antagonists is effective in preventing CINV among adults receiving highly emetogenic chemotherapy (HEC) or moderately emetogenic chemotherapy (MEC). Various treatment options are available, but direct headÃƒÂ¢Ã¢â€šÂ¬Ã‚ÂtoÃƒÂ¢Ã¢â€šÂ¬Ã‚Âhead comparisons do not allow comparison of all treatments versus another. Objectives ÃƒÂ¢Ã¢â€šÂ¬Ã‚Â¢ In adults with solid cancer or haematological malignancy receiving HEC ÃƒÂ¢Ã¢â€šÂ¬Ã‚Â To compare the effects of antiemetic treatment combinations including NKÃƒÂ¢Ã¢â‚¬Å¡Ã‚Â receptor antagonists, 5ÃƒÂ¢Ã¢â€šÂ¬Ã‚ÂHTÃƒÂ¢Ã¢â‚¬Å¡Ã†â€™ receptor antagonists, and corticosteroids on prevention of acute phase (Day 1), delayed phase (Days 2 to 5), and overall (Days 1 to 5) chemotherapyÃƒÂ¢Ã¢â€šÂ¬Ã‚Âinduced nausea and vomiting in network metaÃƒÂ¢Ã¢â€šÂ¬Ã‚Âanalysis (NMA) ÃƒÂ¢Ã¢â€šÂ¬Ã‚Â To generate a clinically meaningful treatment ranking according to treatment safety and efficacy ÃƒÂ¢Ã¢â€šÂ¬Ã‚Â¢ In adults with solid cancer or haematological malignancy receiving MEC ÃƒÂ¢Ã¢â€šÂ¬Ã‚Â To compare whether antiemetic treatment combinations including NKÃƒÂ¢Ã¢â‚¬Å¡Ã‚Â receptor antagonists, 5ÃƒÂ¢Ã¢â€šÂ¬Ã‚ÂHTÃƒÂ¢Ã¢â‚¬Å¡Ã†â€™ receptor antagonists, and corticosteroids are superior for prevention of acute phase (Day 1), delayed phase (Days 2 to 5), and overall (Days 1 to 5) chemotherapyÃƒÂ¢Ã¢â€šÂ¬Ã‚Âinduced nausea and vomiting to treatment combinations including 5ÃƒÂ¢Ã¢â€šÂ¬Ã‚ÂHTÃƒÂ¢Ã¢â‚¬Å¡Ã†â€™ receptor antagonists and corticosteroids solely, in network metaÃƒÂ¢Ã¢â€šÂ¬Ã‚Âanalysis ÃƒÂ¢Ã¢â€šÂ¬Ã‚Â To generate a clinically meaningful treatment ranking according to treatment safety and efficacy Search methods We searched CENTRAL, MEDLINE, Embase, conference proceedings, and study registries from 1988 to February 2021 for randomised controlled trials (RCTs). Selection criteria We included RCTs including adults with any cancer receiving HEC or MEC (according to the latest definition) and comparing combination therapies of NKÃƒÂ¢Ã¢â‚¬Å¡Ã‚Â and 5ÃƒÂ¢Ã¢â€šÂ¬Ã‚ÂHTÃƒÂ¢Ã¢â‚¬Å¡Ã†â€™ inhibitors and corticosteroids for prevention of CINV. Data collection and analysis We used standard methodological procedures expected by Cochrane. We expressed treatment effects as risk ratios (RRs). Prioritised outcomes were complete control of vomiting during delayed and overall phases, complete control of nausea during the overall phase, quality of life, serious adverse events (SAEs), and onÃƒÂ¢Ã¢â€šÂ¬Ã‚Âstudy mortality. We assessed GRADE and developed 12 'Summary of findings' tables. We report results of most crucial outcomes in the abstract, that is, complete control of vomiting during the overall phase and SAEs. For a comprehensive illustration of results, we randomly chose aprepitant plus granisetron as exemplary reference treatment for HEC, and granisetron as exemplary reference treatment for MEC. Main results Highly emetogenic chemotherapy ( HEC) We included 73 studies reporting on 25,275 participants and comparing 14 treatment combinations with NKÃƒÂ¢Ã¢â‚¬Å¡Ã‚Â and 5ÃƒÂ¢Ã¢â€šÂ¬Ã‚ÂHTÃƒÂ¢Ã¢â‚¬Å¡Ã†â€™ inhibitors. All treatment combinations included corticosteroids. Complete control of vomiting during the overall phase We estimated that 704 of 1000 participants achieve complete control of vomiting in the overall treatment phase (one to five days) when treated with aprepitant + granisetron. Evidence from NMA (39 RCTs, 21,642 participants; 12 treatment combinations with NKÃƒÂ¢Ã¢â‚¬Å¡Ã‚Â and 5ÃƒÂ¢Ã¢â€šÂ¬Ã‚ÂHTÃƒÂ¢Ã¢â‚¬Å¡Ã†â€™ inhibitors) suggests that the following drug combinations are more efficacious than aprepitant + granisetron for completely controlling vomiting during the overall treatment phase (one to five days): fosnetupitant + palonosetron (810 of 1000; RR 1.15, 95% confidence interval (CI) 0.97 to 1.37; moderate certainty), aprepitant + palonosetron (753 of 1000; RR 1.07, 95% CI 1.98 to 1.18; lowÃƒÂ¢Ã¢â€šÂ¬Ã‚Âcertainty), aprepitant + ramosetron (753 of 1000; RR 1.07, 95% CI 0.95 to 1.21; low certainty), and fosaprepitant + palonosetron (746 of 1000; RR 1.06, 95% CI 0.96 to .19; low certainty). Netupitant + palonosetron (704 of 1000; RR 1.00, 95% CI 0.93 to 1.08; highÃƒÂ¢Ã¢â€šÂ¬Ã‚Âcertainty) and fosaprepitant + granisetron (697 of 1000; RR 0.99, 95% CI 0.93 to 1.06; highÃƒÂ¢Ã¢â€šÂ¬Ã‚Âcertainty) have little to no impact on complete control of vomiting during the overall treatment phase (one to five days) when compared to aprepitant + granisetron, respectively. Evidence further suggests that the following drug combinations are less efficacious than aprepitant + granisetron in completely controlling vomiting during the overall treatment phase (one to five days) (ordered by decreasing efficacy): aprepitant + ondansetron (676 of 1000; RR 0.96, 95% CI 0.88 to 1.05; low certainty), fosaprepitant + ondansetron (662 of 1000; RR 0.94, 95% CI 0.85 to 1.04; low certainty), casopitant + ondansetron (634 of 1000; RR 0.90, 95% CI 0.79 to 1.03; low certainty), rolapitant + granisetron (627 of 1000; RR 0.89, 95% CI 0.78 to 1.01; moderate certainty), and rolapitant + ondansetron (598 of 1000; RR 0.85, 95% CI 0.65 to 1.12; low certainty). We could not include two treatment combinations (ezlopitant + granisetron, aprepitant + tropisetron) in NMA for this outcome because of missing direct comparisons. Serious adverse events We estimated that 35 of 1000 participants experience any SAEs when treated with aprepitant + granisetron. Evidence from NMA (23 RCTs, 16,065 participants; 11 treatment combinations) suggests that fewer participants may experience SAEs when treated with the following drug combinations than with aprepitant + granisetron: fosaprepitant + ondansetron (8 of 1000; RR 0.23, 95% CI 0.05 to 1.07; low certainty), casopitant + ondansetron (8 of 1000; RR 0.24, 95% CI 0.04 to 1.39; low certainty), netupitant + palonosetron (9 of 1000; RR 0.27, 95% CI 0.05 to 1.58; low certainty), fosaprepitant + granisetron (13 of 1000; RR 0.37, 95% CI 0.09 to 1.50; low certainty), and rolapitant + granisetron (20 of 1000; RR 0.57, 95% CI 0.19 to 1.70; low certainty). Evidence is very uncertain about the effects of aprepitant + ondansetron (8 of 1000; RR 0.22, 95% CI 0.04 to 1.14; very low certainty), aprepitant + ramosetron (11 of 1000; RR 0.31, 95% CI 0.05 to 1.90; very low certainty), fosaprepitant + palonosetron (12 of 1000; RR 0.35, 95% CI 0.04 to 2.95; very low certainty), fosnetupitant + palonosetron (13 of 1000; RR 0.36, 95% CI 0.06 to 2.16; very low certainty), and aprepitant + palonosetron (17 of 1000; RR 0.48, 95% CI 0.05 to 4.78; very low certainty) on the risk of SAEs when compared to aprepitant + granisetron, respectively. We could not include three treatment combinations (ezlopitant + granisetron, aprepitant + tropisetron, rolapitant + ondansetron) in NMA for this outcome because of missing direct comparisons. Moderately emetogenic chemotherapy (MEC) We included 38 studies reporting on 12,038 participants and comparing 15 treatment combinations with NKÃƒÂ¢Ã¢â‚¬Å¡Ã‚Â and 5ÃƒÂ¢Ã¢â€šÂ¬Ã‚ÂHTÃƒÂ¢Ã¢â‚¬Å¡Ã†â€™ inhibitors, or 5ÃƒÂ¢Ã¢â€šÂ¬Ã‚ÂHTÃƒÂ¢Ã¢â‚¬Å¡Ã†â€™ inhibitors solely. All treatment combinations included corticosteroids. Complete control of vomiting during the overall phase We estimated that 555 of 1000 participants achieve complete control of vomiting in the overall treatment phase (one to five days) when treated with granisetron. Evidence from NMA (22 RCTs, 7800 participants; 11 treatment combinations) suggests that the following drug combinations are more efficacious than granisetron in completely controlling vomiting during the overall treatment phase (one to five days): aprepitant + palonosetron (716 of 1000; RR 1.29, 95% CI 1.00 to 1.66; low certainty), netupitant + palonosetron (694 of 1000; RR 1.25, 95% CI 0.92 to 1.70; low certainty), and rolapitant + granisetron (660 of 1000; RR 1.19, 95% CI 1.06 to 1.33; high certainty). Palonosetron (588 of 1000; RR 1.06, 95% CI 0.85 to 1.32; low certainty) and aprepitant + granisetron (577 of 1000; RR 1.06, 95% CI 0.85 to 1.32; low certainty) may or may not increase complete response in the overall treatment phase (one to five days) when compared to granisetron, respectively. Azasetron (560 of 1000; RR 1.01, 95% CI 0.76 to 1.34; low certainty) may result in little to no difference in complete response in the overall treatment phase (one to five days) when compared to granisetron. Evidence further suggests that the following drug combinations are less efficacious than granisetron in completely controlling vomiting during the overall treatment phase (one to five days) (ordered by decreasing efficacy): fosaprepitant + ondansetron (500 of 1000; RR 0.90, 95% CI 0.66 to 1.22; low certainty), aprepitant + ondansetron (477 of 1000; RR 0.86, 95% CI 0.64 to 1.17; low certainty), casopitant + ondansetron (461 of 1000; RR 0.83, 95% CI 0.62 to 1.12; low certainty), and ondansetron (433 of 1000; RR 0.78, 95% CI 0.59 to 1.04; low certainty). We could not include five treatment combinations (fosaprepitant + granisetron, azasetron, dolasetron, ramosetron, tropisetron) in NMA for this outcome because of missing direct comparisons. Serious adverse events We estimated that 153 of 1000 participants experience any SAEs when treated with granisetron. Evidence from pairÃƒÂ¢Ã¢â€šÂ¬Ã‚Âwise comparison (1 RCT, 1344 participants) suggests that more participants may experience SAEs when treated with rolapitant + granisetron (176 of 1000; RR 1.15, 95% CI 0.88 to 1.50; low certainty). NMA was not feasible for this outcome because of missing direct comparisons. Certainty of evidence Our main reason for downgrading was serious or very serious imprecision (e.g. due to wide 95% CIs crossing or including unity, few events leading to wide 95% CIs, or small information size). Additional reasons for downgrading some comparisons or whole networks were serious study limitations due to high risk of bias or moderate inconsistency within networks. Authors' conclusions This field of supportive cancer care is very well researched. However, new drugs or drug combinations are continuously emerging and need to be systematically researched and assessed. For people receiving HEC, synthesised evidence does not suggest one superior treatment for prevention and control of chemotherapyÃƒÂ¢Ã¢â€šÂ¬Ã‚Âinduced nausea and vomiting. For people receiving MEC, synthesised evidence does not suggest superiority for treatments including both NKÃƒÂ¢Ã¢â‚¬Å¡Ã‚Â and 5ÃƒÂ¢Ã¢â€šÂ¬Ã‚ÂHTÃƒÂ¢Ã¢â‚¬Å¡Ã†â€™ inhibitors when compared to treatments including 5ÃƒÂ¢Ã¢â€šÂ¬Ã‚ÂHTÃƒÂ¢Ã¢â‚¬Å¡Ã†â€™ inhibitors only. Rather, the results of our NMA suggest that the choice of 5ÃƒÂ¢Ã¢â€šÂ¬Ã‚ÂHTÃƒÂ¢Ã¢â‚¬Å¡Ã†â€™ inhibitor may have an impact on treatment efficacy in preventing CINV. When interpreting the results of this systematic review, it is important for the reader to understand that NMAs are no substitute for direct headÃƒÂ¢Ã¢â€šÂ¬Ã‚ÂtoÃƒÂ¢Ã¢â€šÂ¬Ã‚Âhead comparisons, and that results of our NMA do not necessarily rule out differences that could be clinically relevant for some individuals. Plain language summary Which drug combinations are best for prevention of nausea and vomiting caused by chemotherapy in adults with cancer? The burden of nausea and vomiting caused by chemotherapy and what helps to prevent it? In about 70% to 80% of adults with cancer, chemotherapy induces nausea and vomiting (CINV). Depending on the type of chemotherapy, treatment can cause strong or moderate sickness (hereafter referred to as HEC (highly emetogenic chemotherapy) and MEC (moderately emetogenic chemotherapy)). Multiple drug combinations have showed high benefit for CINV among adults receiving HEC or MEC. What was the aim of our review? Using a network metaÃƒÂ¢Ã¢â€šÂ¬Ã‚Âanalysis, we aimed to compare the benefits and harms of different drug combinations for prevention of CINV among people receiving HEC or MEC, and to identify treatment ranking. A network metaÃƒÂ¢Ã¢â€šÂ¬Ã‚Âanalysis is a technique used to compare different treatments described in already published trials, even when the original individual trial does not describe such comparisons. What studies did we look at? We searched selected medical databases and trial registries until February 2021. We included studies comparing multiple drug combinations for prevention of CINV among adults with any type of cancer receiving HEC or MEC that is commonly used in clinical practice. In particular, we looked at drugs inhibiting two specific biochemical receptors (neurokinin receptor and serotonin receptor) that trigger nausea and vomiting after chemotherapy. We looked at the preventative effects of these treatments over five days. This is the period during which the maximum intensity of CINV and further peaks of intensity are expected, after the start of chemotherapy. Our key results... ...for people receiving HEC We found 73 studies that reported on the experience of 25,275 participants and compared 14 treatment combinations of our interest. Benefits. Over five days, investigated treatments helped to prevent any vomiting in 60% to 81% of people on average. Those individuals also had no need for rescue medicines, which are used in case nausea and vomiting occur even though prophylactic treatment has been given. The results of our analysis suggest some differences in effectiveness of different treatments, but overall we had little confidence that those differences would be reflected in realÃƒÂ¢Ã¢â€šÂ¬Ã‚Âworld observations. Harms. We estimated that 1% to 4% of people experience serious side effects. The differences between treatments were small. ...for people receiving MEC We found 38 studies that reported on the experience of 12,038 participants and compared 15 treatment combinations of our interest. Benefits. Over five days, investigated treatments helped prevent any vomiting in 43% to 72% of people on average. Those individuals also had no need for rescue medicines. The results of our analysis suggest some differences in the effectiveness of different treatments, but overall, we had little confidence that those differences would be reflected in realÃƒÂ¢Ã¢â€šÂ¬Ã‚Âworld observations. Harms. Few studies reported serious side effects. The ones that did suggest that on average 15% to 18% of people experience such events. Differences between treatments were small. However, we think that future research is needed to rule out potential differences between treatments. Our confidence in the findings We assessed how confident we were that there are differences between compared treatments. We had low or very low confidence that one treatment is better or worse than another in preventing CINV. Our confidence in differences between statistical results was mainly limited because measures of variation were wide apart and included both potential advantages and disadvantages, although measures of precision showed no or little effect. We also identified limitations in some of the included studies, which further limited our confidence in the effects. This was mainly the case when study personnel and participants knew which treatments were given and therefore may not adhere to the planned intervention, or may perceive or report effects differently. Our conclusions The results of our analysis suggest that there is no superior drug combination for prevention of CINV for people receiving HEC or MEC. However, results suggest that the choice of drugs targeting the serotonin receptor may impact effectiveness, irrespective of whether given with or without a drug targeting the neurokinin receptor. However, when interpreting these results, it is important for the reader to understand that these kinds of multipleÃƒÂ¢Ã¢â€šÂ¬Ã‚Âcomparison analyses are no substitute for headÃƒÂ¢Ã¢â€šÂ¬Ã‚ÂtoÃƒÂ¢Ã¢â€šÂ¬Ã‚Âhead comparisons, and that the results do not necessarily rule out differences that could be clinically relevant for some individuals. How upÃƒÂ¢Ã¢â€šÂ¬Ã‚ÂtoÃƒÂ¢Ã¢â€šÂ¬Ã‚Âdate is this evidence? Evidence is upÃƒÂ¢Ã¢â€šÂ¬Ã‚ÂtoÃƒÂ¢Ã¢â€šÂ¬Ã‚Âdate to 2 February 2021.</t>
  </si>
  <si>
    <t>J2858</t>
  </si>
  <si>
    <t>Secondary prevention of variceal bleeding in adults with previous oesophageal variceal bleeding due to decompensated liver cirrhosis: a network metaÃƒÂ¢Ã¢â€šÂ¬Ã‚Âanalysis</t>
  </si>
  <si>
    <t>- Background Approximately 40% to 95% of people with cirrhosis have oesophageal varices. About 15% to 20% of oesophageal varices bleed in about one to three years of diagnosis. Several different treatments are available, which include endoscopic sclerotherapy, variceal band ligation, betaÃƒÂ¢Ã¢â€šÂ¬Ã‚Âblockers, transjugular intrahepatic portosystemic shunt (TIPS), and surgical portocaval shunts, among others. However, there is uncertainty surrounding their individual and relative benefits and harms. Objectives To compare the benefits and harms of different initial treatments for secondary prevention of variceal bleeding in adults with previous oesophageal variceal bleeding due to decompensated liver cirrhosis through a network metaÃƒÂ¢Ã¢â€šÂ¬Ã‚Âanalysis and to generate rankings of the different treatments for secondary prevention according to their safety and efficacy. Search methods We searched CENTRAL, MEDLINE, Embase, Science Citation Index Expanded, World Health Organization International Clinical Trials Registry Platform, and trials registers until December 2019 to identify randomised clinical trials in people with cirrhosis and a previous history of bleeding from oesophageal varices. Selection criteria We included only randomised clinical trials (irrespective of language, blinding, or status) in adults with cirrhosis and previous history of bleeding from oesophageal varices. We excluded randomised clinical trials in which participants had no previous history of bleeding from oesophageal varices, previous history of bleeding only from gastric varices, those who failed previous treatment (refractory bleeding), those who had acute bleeding at the time of treatment, and those who had previously undergone liver transplantation. Data collection and analysis We performed a network metaÃƒÂ¢Ã¢â€šÂ¬Ã‚Âanalysis with OpenBUGS using Bayesian methods and calculated the differences in treatments using hazard ratios (HR), odds ratios (OR) and rate ratios with 95% credible intervals (CrI) based on an availableÃƒÂ¢Ã¢â€šÂ¬Ã‚Âcase analysis, according to National Institute of Health and Care Excellence Decision Support Unit guidance. Main results We included a total of 48 randomised clinical trials (3526 participants) in the review. FortyÃƒÂ¢Ã¢â€šÂ¬Ã‚Âsix trials (3442 participants) were included in one or more comparisons. The trials that provided the information included people with cirrhosis due to varied aetiologies. The followÃƒÂ¢Ã¢â€šÂ¬Ã‚Âup ranged from two months to 61 months. All the trials were at high risk of bias. A total of 12 interventions were compared in these trials (sclerotherapy, betaÃƒÂ¢Ã¢â€šÂ¬Ã‚Âblockers, variceal band ligation, betaÃƒÂ¢Ã¢â€šÂ¬Ã‚Âblockers plus sclerotherapy, no active intervention, TIPS (transjugular intrahepatic portosystemic shunt), betaÃƒÂ¢Ã¢â€šÂ¬Ã‚Âblockers plus nitrates, portocaval shunt, sclerotherapy plus variceal band ligation, betaÃƒÂ¢Ã¢â€šÂ¬Ã‚Âblockers plus nitrates plus variceal band ligation, betaÃƒÂ¢Ã¢â€šÂ¬Ã‚Âblockers plus variceal band ligation, sclerotherapy plus nitrates). Overall, 22.5% of the trial participants who received the reference treatment (chosen because this was the commonest treatment compared in the trials) of sclerotherapy died during the followÃƒÂ¢Ã¢â€šÂ¬Ã‚Âup period ranging from two months to 61 months. There was considerable uncertainty in the effects of interventions on mortality. Accordingly, none of the interventions showed superiority over another. None of the trials reported healthÃƒÂ¢Ã¢â€šÂ¬Ã‚Ârelated quality of life. Based on lowÃƒÂ¢Ã¢â€šÂ¬Ã‚Âcertainty evidence, variceal band ligation may result in fewer serious adverse events (number of people) than sclerotherapy (OR 0.19; 95% CrI 0.06 to 0.54; 1 trial; 100 participants). Based on low or very lowÃƒÂ¢Ã¢â€šÂ¬Ã‚Âcertainty evidence, the adverse events (number of participants) and adverse events (number of events) may be different across many comparisons; however, these differences are due to very small trials at high risk of bias showing large differences in some comparisons leading to many differences despite absence of direct evidence. Based on lowÃƒÂ¢Ã¢â€šÂ¬Ã‚Âcertainty evidence, TIPS may result in large decrease in symptomatic rebleed than variceal band ligation (HR 0.12; 95% CrI 0.03 to 0.41; 1 trial; 58 participants). Based on moderateÃƒÂ¢Ã¢â€šÂ¬Ã‚Âcertainty evidence, any variceal rebleed was probably lower in sclerotherapy than in no active intervention (HR 0.62; 95% CrI 0.35 to 0.99, direct comparison HR 0.66; 95% CrI 0.11 to 3.13; 3 trials; 296 participants), betaÃƒÂ¢Ã¢â€šÂ¬Ã‚Âblockers plus sclerotherapy than sclerotherapy alone (HR 0.60; 95% CrI 0.37 to 0.95; direct comparison HR 0.50; 95% CrI 0.07 to 2.96; 4 trials; 231 participants); TIPS than sclerotherapy (HR 0.18; 95% CrI 0.08 to 0.38; direct comparison HR 0.22; 95% CrI 0.01 to 7.51; 2 trials; 109 participants), and in portocaval shunt than sclerotherapy (HR 0.21; 95% CrI 0.05 to 0.77; no direct comparison) groups. Based on lowÃƒÂ¢Ã¢â€šÂ¬Ã‚Âcertainty evidence, betaÃƒÂ¢Ã¢â€šÂ¬Ã‚Âblockers alone and TIPS might result in more, other compensation, events than sclerotherapy (rate ratio 2.37; 95% CrI 1.35 to 4.67; 1 trial; 65 participants and rate ratio 2.30; 95% CrI 1.20 to 4.65; 2 trials; 109 participants; lowÃƒÂ¢Ã¢â€šÂ¬Ã‚Âcertainty evidence). The evidence indicates considerable uncertainty about the effect of the interventions including those related to betaÃƒÂ¢Ã¢â€šÂ¬Ã‚Âblockers plus variceal band ligation in the remaining comparisons. Authors' conclusions The evidence indicates considerable uncertainty about the effect of the interventions on mortality. Variceal band ligation might result in fewer serious adverse events than sclerotherapy. TIPS might result in a large decrease in symptomatic rebleed than variceal band ligation. Sclerotherapy probably results in fewer 'any' variceal rebleeding than no active intervention. BetaÃƒÂ¢Ã¢â€šÂ¬Ã‚Âblockers plus sclerotherapy and TIPS probably result in fewer 'any' variceal rebleeding than sclerotherapy. BetaÃƒÂ¢Ã¢â€šÂ¬Ã‚Âblockers alone and TIPS might result in more other compensation events than sclerotherapy. The evidence indicates considerable uncertainty about the effect of the interventions in the remaining comparisons. Accordingly, highÃƒÂ¢Ã¢â€šÂ¬Ã‚Âquality randomised comparative clinical trials are needed. Plain language summary Prevention of rebleeding from enlarged veins in the food pipe (oesophagus) resulting from advanced liver disease What is the aim of this Cochrane Review? ÃƒÂ¢Ã¢â€šÂ¬Ã‚Â¨To find out the best available preventive treatment for repeated bleeding from oesophageal varices (enlarged veins in the food pipe) in people with advanced liver disease (liver cirrhosis, or lateÃƒÂ¢Ã¢â€šÂ¬Ã‚Âstage scarring of the liver with complications). People with cirrhosis who had previously bled from oesophageal varices are at significant risk of death from another episode of bleeding. Therefore, it is important to provide preventive treatment to prevent rebleeding in such people, but the benefits and harms of different treatments available are currently unclear. The authors of this review collected and analysed all relevant randomised clinical trials with the aim of finding out the best treatment. They found 48 randomised clinical trials (studies where participants are randomly assigned to one of two treatment groups). During analysis of data, authors used standard Cochrane methods, which allow comparison of only two treatments at a time. Authors also used advanced techniques that allow comparison of multiple treatments at the same time (usually referred as 'network (or indirect) metaÃƒÂ¢Ã¢â€šÂ¬Ã‚Âanalysis'). Date of literature search ÃƒÂ¢Ã¢â€šÂ¬Ã‚Â¨December 2019 Key messages ÃƒÂ¢Ã¢â€šÂ¬Ã‚Â¨None of the studies were conducted without flaws, and because of this, there is moderate to very high uncertainty in the findings of this review. Approximately one in five trial participants with cirrhosis who received preventive treatment after control of initial bleeding from oesophageal varices died within five years of treatment with sclerotherapy. What was studied in the review? ÃƒÂ¢Ã¢â€šÂ¬Ã‚Â¨This review looked at adults of any sex, age, and ethnic origin, with advanced liver disease due to various causes and previous bleeding from oesophageal varices. Participants were given different treatments for preventing further bleeding oesophageal varices. The authors excluded studies in people who had bleeding from the stomach, who had no previous bleeding f om the oesophageal varices, those who failed to respond to another treatment before study entry, and those who had liver transplantation previously. The average age of participants, when reported, ranged from 40 to 63 years. The treatments used in the trials included endoscopic sclerotherapy (injecting into the enlarged veins by looking through a tube inserted through the mouth), variceal band ligation (inserting bands around the dilated veins by seeing through a tube inserted through the mouth), betaÃƒÂ¢Ã¢â€šÂ¬Ã‚Âblockers (drugs that slow the heart and decrease the force of heart pumping resulting in decrease pressure in the blood vessels), and TIPS (transjugular intrahepatic portosystemic shunt; an artificial channel that connects the different blood vessels that carry oxygenÃƒÂ¢Ã¢â€šÂ¬Ã‚Âdepleted blood (venous system)) within the liver to reduce the pressure builtÃƒÂ¢Ã¢â€šÂ¬Ã‚Âup in the portal venous system, one of the two venous systems draining the liver), portocaval shunt (performing surgery to create the artificial channel described for TIPS) among others. The review authors wanted to gather and analyse data on death, quality of life, serious and nonÃƒÂ¢Ã¢â€šÂ¬Ã‚Âserious adverse events, recurrence of bleeding, and development of other complications of advanced liver disease.ÃƒÂ¢Ã¢â€šÂ¬Ã‚Â¨ÃƒÂ¢Ã¢â€šÂ¬Ã‚Â¨ What were the main results of the review? ÃƒÂ¢Ã¢â€šÂ¬Ã‚Â¨The 48 studies included a small number of participants (3526 participants). Study data were sparse. FortyÃƒÂ¢Ã¢â€šÂ¬Ã‚Âsix studies with 3442 participants provided data for analyses. The followÃƒÂ¢Ã¢â€šÂ¬Ã‚Âup of the trial participants ranged from two months to five years. The funding source for the research was unclear in 36 studies; commercial organisations funded five studies. There were no concerns regarding the source of funding for the remaining nine studies. The review shows the following.ÃƒÂ¢Ã¢â€šÂ¬Ã‚Â¨ÃƒÂ¢Ã¢â€šÂ¬Ã‚Â The evidence indicates considerable uncertainty about the effect of the interventions on the risk of deathÃƒÂ¢Ã¢â€šÂ¬Ã‚Â¨ÃƒÂ¢Ã¢â€šÂ¬Ã‚Â Variceal band ligation might result in fewer serious adverse events than sclerotherapyÃƒÂ¢Ã¢â€šÂ¬Ã‚Â¨ÃƒÂ¢Ã¢â€šÂ¬Ã‚Â The evidence indicates considerable uncertainty about the effect of the interventions on serious and nonÃƒÂ¢Ã¢â€šÂ¬Ã‚Âserious adverse eventsÃƒÂ¢Ã¢â€šÂ¬Ã‚Â¨ÃƒÂ¢Ã¢â€šÂ¬Ã‚Â Sclerotherapy probably results in decrease in further bleeding than no treatmentÃƒÂ¢Ã¢â€šÂ¬Ã‚Â¨ÃƒÂ¢Ã¢â€šÂ¬Ã‚Â BetaÃƒÂ¢Ã¢â€šÂ¬Ã‚Âblockers plus sclerotherapy and TIPS probably result in a decrease in further bleeding than sclerotherapy aloneÃƒÂ¢Ã¢â€šÂ¬Ã‚Â¨ÃƒÂ¢Ã¢â€šÂ¬Ã‚Â Portocaval shunt may result in a decrease in further bleeding than sclerotherapyÃƒÂ¢Ã¢â€šÂ¬Ã‚Â¨ÃƒÂ¢Ã¢â€šÂ¬Ã‚Â The evidence indicates considerable uncertainty about the effect of the interventions in the remaining comparisonsÃƒÂ¢Ã¢â€šÂ¬Ã‚Â¨ÃƒÂ¢Ã¢â€šÂ¬Ã‚Â None of the trials reported healthÃƒÂ¢Ã¢â€šÂ¬Ã‚Ârelated quality of lifeÃƒÂ¢Ã¢â€šÂ¬Ã‚Â¨ÃƒÂ¢Ã¢â€šÂ¬Ã‚Â Future wellÃƒÂ¢Ã¢â€šÂ¬Ã‚Âdesigned trials are needed to find out the best treatment for people with cirrhosis and previous bleeding from oesophageal varices.</t>
  </si>
  <si>
    <t>Focuses on treatment comparison, not on NHS shifts.</t>
  </si>
  <si>
    <t>J2861</t>
  </si>
  <si>
    <t>Integrated disease management interventions for patients with chronic obstructive pulmonary disease</t>
  </si>
  <si>
    <t>- Background People with chronic obstructive pulmonary disease (COPD) show considerable variation in symptoms, limitations, and wellÃƒÂ¢Ã¢â€šÂ¬Ã‚Âbeing; this often complicates medical care. A multiÃƒÂ¢Ã¢â€šÂ¬Ã‚Âdisciplinary and multiÃƒÂ¢Ã¢â€šÂ¬Ã‚Âcomponent programme that addresses different elements of care could improve quality of life (QoL) and exercise tolerance, while reducing the number of exacerbations. Objectives To compare the effectiveness of integrated disease management (IDM) programmes versus usual care for people with chronic obstructive pulmonary disease (COPD) in terms of healthÃƒÂ¢Ã¢â€šÂ¬Ã‚Ârelated quality of life (QoL), exercise tolerance, and exacerbationÃƒÂ¢Ã¢â€šÂ¬Ã‚Ârelated outcomes. Search methods We searched the Cochrane Airways Group Register of Trials, CENTRAL, MEDLINE, Embase, and CINAHL for potentially eligible studies. Searches were current as of September 2020. Selection criteria Randomised controlled trials (RCTs) that compared IDM programmes for COPD versus usual care were included. Interventions consisted of multiÃƒÂ¢Ã¢â€šÂ¬Ã‚Âdisciplinary (two or more healthcare providers) and multiÃƒÂ¢Ã¢â€šÂ¬Ã‚Âtreatment (two or more components) IDM programmes of at least three months' duration. Data collection and analysis Two review authors independently assessed trial quality and extracted data. If required, we contacted study authors to request additional data. We performed metaÃƒÂ¢Ã¢â€šÂ¬Ã‚Âanalyses using randomÃƒÂ¢Ã¢â€šÂ¬Ã‚Âeffects modelling. We carried out sensitivity analyses for the quality of included studies and performed subgroup analyses based on setting, study design, dominant intervention components, and region. Main results Along with 26 studies included in the 2013 Cochrane Review, we added 26 studies for this update, resulting in 52 studies involving 21,086 participants for inclusion in the metaÃƒÂ¢Ã¢â€šÂ¬Ã‚Âanalysis. FollowÃƒÂ¢Ã¢â€šÂ¬Ã‚Âup periods ranged between 3 and 48 months and were classified as shortÃƒÂ¢Ã¢â€šÂ¬Ã‚Âterm (up to 6 months), mediumÃƒÂ¢Ã¢â€šÂ¬Ã‚Âterm (6 to 15 months), and longÃƒÂ¢Ã¢â€šÂ¬Ã‚Âterm (longer than 15 months) followÃƒÂ¢Ã¢â€šÂ¬Ã‚Âup. Studies were conducted in 19 different countries. The mean age of included participants was 67 years, and 66% were male. Participants were treated in all types of healthcare settings, including primary (n =15), secondary (n = 22), and tertiary care (n = 5), and combined primary and secondary care (n = 10). Overall, the level of certainty of evidence was moderate to high. We found that IDM probably improves healthÃƒÂ¢Ã¢â€šÂ¬Ã‚Ârelated QoL as measured by St. George's Respiratory Questionnaire (SGRQ) total score at mediumÃƒÂ¢Ã¢â€šÂ¬Ã‚Âterm followÃƒÂ¢Ã¢â€šÂ¬Ã‚Âup (mean difference (MD) ÃƒÂ¢Ã¢â€šÂ¬Ã‚Â3.89, 95% confidence interval (CI) ÃƒÂ¢Ã¢â€šÂ¬Ã‚Â6.16 to ÃƒÂ¢Ã¢â€šÂ¬Ã‚Â1.63; 18 RCTs, 4321 participants; moderateÃƒÂ¢Ã¢â€šÂ¬Ã‚Âcertainty evidence). A comparable effect was observed at shortÃƒÂ¢Ã¢â€šÂ¬Ã‚Âterm followÃƒÂ¢Ã¢â€šÂ¬Ã‚Âup (MD ÃƒÂ¢Ã¢â€šÂ¬Ã‚Â3.78, 95% CI ÃƒÂ¢Ã¢â€šÂ¬Ã‚Â6.29 to ÃƒÂ¢Ã¢â€šÂ¬Ã‚Â1.28; 16 RCTs, 1788 participants). However, the common effect did not exceed the minimum clinically important difference (MCID) of 4 points. There was no significant difference between IDM and control for longÃƒÂ¢Ã¢â€šÂ¬Ã‚Âterm followÃƒÂ¢Ã¢â€šÂ¬Ã‚Âup and for generic QoL. IDM probably also leads to a large improvement in maximum and functional exercise capacity, as measured by sixÃƒÂ¢Ã¢â€šÂ¬Ã‚Âminute walking distance (6MWD), at mediumÃƒÂ¢Ã¢â€šÂ¬Ã‚Âterm followÃƒÂ¢Ã¢â€šÂ¬Ã‚Âup (MD 44.69, 95% CI 24.01 to 65.37; 13 studies, 2071 participants; moderateÃƒÂ¢Ã¢â€šÂ¬Ã‚Âcertainty evidence). The effect exceeded the MCID of 35 metres and was even greater at shortÃƒÂ¢Ã¢â€šÂ¬Ã‚Âterm (MD 52.26, 95% CI 32.39 to 72.74; 17 RCTs, 1390 participants) and longÃƒÂ¢Ã¢â€šÂ¬Ã‚Âterm (MD 48.83, 95% CI 16.37 to 80.49; 6 RCTs, 7288 participants) followÃƒÂ¢Ã¢â€šÂ¬Ã‚Âup. The number of participants with respiratoryÃƒÂ¢Ã¢â€šÂ¬Ã‚Ârelated admissions was reduced from 324 per 1000 participants in the control group to 235 per 1000 participants in the IDM group (odds ratio (OR) 0.64, 95% CI 0.50 to 0.81; 15 RCTs, median followÃƒÂ¢Ã¢â€šÂ¬Ã‚Âup 12 months, 4207 participants; highÃƒÂ¢Ã¢â€šÂ¬Ã‚Âcertainty evidence). Likewise, IDM probably results in a reduction in emergency department (ED) visits (OR 0.69, 95%CI 0.50 to 0.93; 9 RCTs, median followÃƒÂ¢Ã¢â€šÂ¬Ã‚Âup 12 months, 8791 participants; moderateÃƒÂ¢Ã¢â€šÂ¬Ã‚Âcertainty evidence), a slight reduction in allÃƒÂ¢Ã¢â€šÂ¬Ã‚Âcause hospital admissions (OR 0.75, 95%CI 0.57 to 0.98; 10 RCT , median followÃƒÂ¢Ã¢â€šÂ¬Ã‚Âup 12 months, 9030 participants; moderateÃƒÂ¢Ã¢â€šÂ¬Ã‚Âcertainty evidence), and fewer hospital days per person admitted (MD ÃƒÂ¢Ã¢â€šÂ¬Ã‚Â2.27, 95% CI ÃƒÂ¢Ã¢â€šÂ¬Ã‚Â3.98 to ÃƒÂ¢Ã¢â€šÂ¬Ã‚Â0.56; 14 RCTs, median followÃƒÂ¢Ã¢â€šÂ¬Ã‚Âup 12 months, 3563 participants; moderateÃƒÂ¢Ã¢â€šÂ¬Ã‚Âcertainty evidence). Statistically significant improvement was noted on the Medical Research Council (MRC) Dyspnoea Scale at shortÃƒÂ¢Ã¢â€šÂ¬Ã‚Â and mediumÃƒÂ¢Ã¢â€šÂ¬Ã‚Âterm followÃƒÂ¢Ã¢â€šÂ¬Ã‚Âup but not at longÃƒÂ¢Ã¢â€šÂ¬Ã‚Âterm followÃƒÂ¢Ã¢â€šÂ¬Ã‚Âup. No differences between groups were reported for mortality, courses of antibiotics/prednisolone, dyspnoea, and depression and anxiety scores. Subgroup analysis of dominant intervention components and regions of study suggested contextÃƒÂ¢Ã¢â€šÂ¬Ã‚Â and interventionÃƒÂ¢Ã¢â€šÂ¬Ã‚Âspecific effects. However, some subgroup analyses were marked by considerable heterogeneity or included few studies. These results should therefore be interpreted with caution. Authors' conclusions This review shows that IDM probably results in improvement in diseaseÃƒÂ¢Ã¢â€šÂ¬Ã‚Âspecific QoL, exercise capacity, hospital admissions, and hospital days per person. Future research should evaluate which combination of IDM components and which intervention duration are most effective for IDM programmes, and should consider contextual determinants of implementation and treatment effect, including processÃƒÂ¢Ã¢â€šÂ¬Ã‚Ârelated outcomes, longÃƒÂ¢Ã¢â€šÂ¬Ã‚Âterm followÃƒÂ¢Ã¢â€šÂ¬Ã‚Âup, and costÃƒÂ¢Ã¢â€šÂ¬Ã‚Âeffectiveness analyses. Plain language summary Integrated disease management for people with chronic obstructive pulmonary disease What are the effects of integrated disease management (IDM) programmes on quality of life, ability to exercise, and number of lung attacks compared to usual care in people with chronic obstructive pulmonary disease (COPD)? Background Chronic obstructive pulmonary disease (COPD) is a chronic lung disease and is a major cause of ill health worldwide. People with COPD feel the impact of the disease in their daily life through symptoms such as breathlessness and coughing and acute worsening of symptoms in lung attacks. Different healthcare providers, such as doctors, nurses, and physiotherapists, typically provide different types of care to people with COPD (e.g. prescribe medication, guide selfÃƒÂ¢Ã¢â€šÂ¬Ã‚Âmanagement, provide education, present exercise training). Previously, people with COPD could visit one or more different healthcare providers, and these providers would work independently. The goal of an integrated disease management (IDM) programme is to include different components of care by which different healthcare providers are coÃƒÂ¢Ã¢â€šÂ¬Ã‚Âoperating and collaborating to provide more efficient care of better quality. Study characteristics We evaluated 52 studies involving 21,086 people with COPD. These studies were conducted in 19 countries spread all over the world. The average age of participants was 67 years, and 66% of participants were men. Some studies took place in general practices, some in hospitals, and some in both settings. Key results We found that people who participate in an IDM programme probably have better quality of life and their ability to exercise is probably improved compared to those receiving usual care. It is likely that people in an IDM programme have fewer hospital admissions for lung attacks and make fewer visits to an emergency department. When hospitalised, the total number of days people have to spend in hospital is reduced by two days. IDM programmes probably do not help to reduce the number of patients who die. The variety of available programmes makes it difficult to say if one IDM programme is the best. Future studies should look at the most important components and the ideal length of the programme. Certainty of the evidence Overall, the certainty of our evidence was moderate to high but sometimes with large differences between studies. This plain language summary is upÃƒÂ¢Ã¢â€šÂ¬Ã‚ÂtoÃƒÂ¢Ã¢â€šÂ¬Ã‚Âdate as of February 2021.</t>
  </si>
  <si>
    <t>J2863</t>
  </si>
  <si>
    <t>Unicompartmental compared with total knee replacement for patients with multimorbidities: a cohort study using propensity score stratification and inverse probability weighting</t>
  </si>
  <si>
    <t>&lt;b&gt;BACKGROUND&lt;/b&gt;: Although routine NHS data potentially include all patients, confounding limits their use for causal inference. Methods to minimise confounding in observational studies of implantable devices are required to enable the evaluation of patients with severe systemic morbidity who are excluded from many randomised controlled trials._x000D_
&lt;b&gt;OBJECTIVES&lt;/b&gt;: Stage 1 - replicate the Total or Partial Knee Arthroplasty Trial (TOPKAT), a surgical randomised controlled trial comparing unicompartmental knee replacement with total knee replacement using propensity score and instrumental variable methods. Stage 2 - compare the risk benefits and cost-effectiveness of unicompartmental knee replacement with total knee replacement surgery in patients with severe systemic morbidity who would have been ineligible for TOPKAT using the validated methods from stage 1._x000D_
&lt;b&gt;DESIGN&lt;/b&gt;: This was a cohort study._x000D_
&lt;b&gt;SETTING&lt;/b&gt;: Data were obtained from the National Joint Registry database and linked to hospital inpatient (Hospital Episode Statistics) and patient-reported outcome data._x000D_
&lt;b&gt;PARTICIPANTS&lt;/b&gt;: Stage 1 - people undergoing unicompartmental knee replacement surgery or total knee replacement surgery who met the TOPKAT eligibility criteria. Stage 2 - participants with an American Society of Anesthesiologists grade of &gt;= 3._x000D_
&lt;b&gt;INTERVENTION&lt;/b&gt;: The patients were exposed to either unicompartmental knee replacement surgery or total knee replacement surgery._x000D_
&lt;b&gt;MAIN OUTCOME MEASURES&lt;/b&gt;: The primary outcome measure was the postoperative Oxford Knee Score. The secondary outcome measures were 90-day postoperative complications (venous thromboembolism, myocardial infarction and prosthetic joint infection) and 5-year revision risk and mortality. The main outcome measures for the health economic analysis were health-related quality of life (EuroQol-5 Dimensions) and NHS hospital costs._x000D_
&lt;b&gt;RESULTS&lt;/b&gt;: In stage 1, propensity score stratification and inverse probability weighting replicated the results of TOPKAT. Propensity score adjustment, propensity score matching and instrumental variables did not. Stage 2 included 2256 unicompartmental knee replacement patients and 57,682 total knee replacement patients who had severe comorbidities, of whom 145 and 23,344 had linked Oxford Knee Scores, respectively. A statistically significant but clinically irrelevant difference favouring unicompartmental knee replacement was observed, with a mean postoperative Oxford Knee Score difference of &lt; 2 points using propensity score stratification; no significant difference was observed using inverse probability weighting. Unicompartmental knee replacement more than halved the risk of venous thromboembolism [relative risk 0.33 (95% confidence interval 0.15 to 0.74) using propensity score stratification; relative risk 0.39 (95% confidence interval 0.16 to 0.96) using inverse probability weighting]. Unicompartmental knee replacement was not associated with myocardial infarction or prosthetic joint infection using either method. In the long term, unicompartmental knee replacement had double the revision risk of total knee replacement [hazard ratio 2.70 (95% confidence interval 2.15 to 3.38) using propensity score stratification; hazard ratio 2.60 (95% confidence interval 1.94 to 3.47) using inverse probability weighting], but half of the mortality [hazard ratio 0.52 (95% confidence interval 0.36 to 0.74) using propensity score stratification; insignificant effect using inverse probability weighting]. Unicompartmental knee replacement had lower costs and higher quality-adjusted life-year gains than total knee replacement for stage 2 participants._x000D_
&lt;b&gt;LIMITATIONS&lt;/b&gt;: Although some propensity score methods successfully replicated TOPKAT, unresolved confounding may have affected stage 2. Missing Oxford Knee Scores may have led to information bias._x000D_
&lt;b&gt;CONCLUSIONS&lt;/b&gt;: Propensity score stratification and inverse probability weighting successfully replicated TOPKAT, implying that some (but not all) propensity score methods can be used to evaluate surgical innovations and implantable medical devices using routine NHS data. Unicompartmental knee replacement was safer and more cost-effective than total knee replacement for patients with severe comorbidity and should be considered the first option for suitable patients._x000D_
&lt;b&gt;FUTURE WORK&lt;/b&gt;: Further research is required to understand the performance of propensity score methods for evaluating surgical innovations and implantable devices._x000D_
&lt;b&gt;TRIAL REGISTRATION&lt;/b&gt;: This trial is registered as EUPAS17435._x000D_
&lt;b&gt;FUNDING&lt;/b&gt;: This project was funded by the National Institute for Health Research (NIHR) Health Technology Assessment programme and will be published in full in Health Technology Assessment; Vol. 25, No. 66. See the NIHR Journals Library website for further project information.</t>
  </si>
  <si>
    <t>J2865</t>
  </si>
  <si>
    <t>Intermittent catheter techniques, strategies and designs for managing longÃƒÂ¢Ã¢â€šÂ¬Ã‚Âterm bladder conditions</t>
  </si>
  <si>
    <t>- Background Intermittent catheterisation (IC) is a commonly recommended procedure for people with incomplete bladder emptying. Frequent complications are urinary tract infection (UTI), urethral trauma and discomfort during catheter use. Despite the many designs of intermittent catheter, including different lengths, materials and coatings, it is unclear which catheter techniques, strategies or designs affect the incidence of UTI and other complications, measures of satisfaction/quality of life and costÃƒÂ¢Ã¢â€šÂ¬Ã‚Âeffectiveness. This is an update of a Cochrane Review first published in 2007. Objectives To assess the clinical and costÃƒÂ¢Ã¢â€šÂ¬Ã‚Âeffectiveness of different catheterisation techniques, strategies and catheter designs, and their impact, on UTI and other complications, and measures of satisfaction/quality of life among adults and children whose longÃƒÂ¢Ã¢â€šÂ¬Ã‚Âterm bladder condition is managed by intermittent catheterisation. Search methods We searched the Cochrane Incontinence Specialised Register, which contains trials identified from the Cochrane Central Register of Controlled Trials (CENTRAL), MEDLINE, MEDLINE InÃƒÂ¢Ã¢â€šÂ¬Ã‚ÂProcess, MEDLINE Epub Ahead of Print, CINAHL, ClinicalTrials.gov, WHO ICTRP and handsearching of journals and conference proceedings (searched 12 April 2021), the reference lists of relevant articles and conference proceedings, and we attempted to contact other investigators for unpublished data or for clarification. Selection criteria Randomised controlled trials (RCTs) or randomised crossÃƒÂ¢Ã¢â€šÂ¬Ã‚Âover trials comparing at least two different catheterisation techniques, strategies or catheter designs. Data collection and analysis As per standard Cochrane methodological procedures, two review authors independently extracted data, assessed risk of bias and assessed the certainty of evidence using GRADE. Outcomes included the number of people with symptomatic urinary tract infections, complications such as urethral trauma/bleeding, comfort and ease of use of catheters, participant satisfaction and preference, quality of life measures and economic outcomes. Main results We included 23 trials (1339 randomised participants), including twelve RCTs and eleven crossÃƒÂ¢Ã¢â€šÂ¬Ã‚Âover trials. Most were small (fewer than 60 participants completed), although three trials had more than 100 participants. Length of followÃƒÂ¢Ã¢â€šÂ¬Ã‚Âup ranged from one month to 12 months and there was considerable variation in definitions of UTI. Most of the data from crossÃƒÂ¢Ã¢â€šÂ¬Ã‚Âover trials were not presented in a useable form for this review. Risk of bias was unclear in many domains due to insufficient information in the trial reports and several trials were judged to have a high risk of performance bias due to lack of blinding and a high risk of attrition bias. The certainty of evidence was downgraded for risk of bias, and imprecision due to low numbers of participants. Aseptic versus clean technique We are uncertain if there is any difference between aseptic and clean techniques in the risk of symptomatic UTI because the evidence is lowÃƒÂ¢Ã¢â€šÂ¬Ã‚Âcertainty and the 95% confidence interval (CI) is consistent with possible benefit and possible harm (RR 1.20 95% CI 0.54 to 2.66; one study; 36 participants). We identified no data relating to the risk of adverse events comparing aseptic and clean techniques or participant satisfaction or preference. SingleÃƒÂ¢Ã¢â€šÂ¬Ã‚Âuse (sterile) catheter versus multipleÃƒÂ¢Ã¢â€šÂ¬Ã‚Âuse (clean) We are uncertain if there is any difference between singleÃƒÂ¢Ã¢â€šÂ¬Ã‚Âuse and multipleÃƒÂ¢Ã¢â€šÂ¬Ã‚Âuse catheters in terms of the risk of symptomatic UTI because the certainty of evidence is low and the 95% CI is consistent with possible benefit and possible harm (RR 0.98, 95% CI 0.55, 1.74; two studies; 97 participants). One study comparing singleÃƒÂ¢Ã¢â€šÂ¬Ã‚Âuse catheters to multipleÃƒÂ¢Ã¢â€šÂ¬Ã‚Âuse catheters reported zero adverse events in either group; no other adverse event data were reported for this comparison. We identified no data for participant satisfaction or preference. HydrophilicÃƒÂ¢Ã¢â€šÂ¬Ã‚Âcoated catheters versus uncoated catheters We are uncertain if there is any difference between hydrophilic and u coated catheters in terms of the number of people with symptomatic UTI because the certainty of evidence is low and the 95% CI is consistent with possible benefit and possible harm (RR 0.89, 95% CI 0.69 to 1.14; two studies; 98 participants). Uncoated catheters probably slightly reduce the risk of urethral trauma and bleeding compared to hydrophilicÃƒÂ¢Ã¢â€šÂ¬Ã‚Âcoated catheters (RR 1.37, 95% CI 1.01 to 1.87; moderateÃƒÂ¢Ã¢â€šÂ¬Ã‚Âcertainty evidence). The evidence is uncertain if hydrophilicÃƒÂ¢Ã¢â€šÂ¬Ã‚Âcoated catheters compared with uncoated catheters has any effect on participant satisfaction measured on a 0ÃƒÂ¢Ã¢â€šÂ¬Ã‚Â10 scale (MD 0.7 higher, 95% CI 0.19 to 1.21; very lowÃƒÂ¢Ã¢â€šÂ¬Ã‚Âcertainty evidence; one study; 114 participants). Due to the paucity of data, we could not assess the certainty of evidence relating to participant preference (one crossÃƒÂ¢Ã¢â€šÂ¬Ã‚Âover trial of 29 participants reported greater preference for a hydrophilicÃƒÂ¢Ã¢â€šÂ¬Ã‚Âcoated catheter (19/29) compared to an uncoated catheter (10/29)). Authors' conclusions Despite a total of 23 trials, the paucity of useable data and uncertainty of the evidence means that it remains unclear whether the incidence of UTI or other complications is affected by use of aseptic or clean technique, single (sterile) or multipleÃƒÂ¢Ã¢â€šÂ¬Ã‚Âuse (clean) catheters, coated or uncoated catheters or different catheter lengths. The current research evidence is uncertain and design and reporting issues are significant. More wellÃƒÂ¢Ã¢â€šÂ¬Ã‚Âdesigned trials are needed. Such trials should include analysis of costÃƒÂ¢Ã¢â€šÂ¬Ã‚Âeffectiveness because there are likely to be substantial differences associated with the use of different catheterisation techniques and strategies, and catheter designs. Plain language summary Intermittent catheter techniques, strategies and catheter designs for managing longÃƒÂ¢Ã¢â€šÂ¬Ã‚Âterm bladder conditions Review question There are different catheterisation techniques, strategies and catheter designs which may affect symptomatic urinary tract infection (UTI; a bladder infection detected through urine testing where the person has symptoms of infection), other complications and user preference. In this review, we focussed on these outcomes in people who used aseptic or clean catheterisation techniques, single or multipleÃƒÂ¢Ã¢â€šÂ¬Ã‚Âuse catheters and different designs of catheter (e.g. coated or uncoated, standard or compact length) to determine if one approach or design is better than another. Background Intermittent catheterisation is a common strategy used by people who have bladder emptying problems. A hollow tube (catheter) is passed through the channel to the bladder (urethra) or through a surgically made channel to the skin surface. The catheter is emptied regularly, usually several times every day. Intermittent catheterisation can be done by a healthcare professional or by the person (or carer) themselves. There are various approaches to intermittent catheterisation which could impact on infection, other complications and user experience. There are four main types of intervention considered in this review which might make a difference to users or to costs. Techniques: Aseptic versus clean An ÃƒÂ¢Ã¢â€šÂ¬Ã‹Å“aseptic techniqueÃƒÂ¢Ã¢â€šÂ¬Ã¢â€žÂ¢ is used in healthcare settings, with specially packaged sterile equipment (gloves, lubricant and catheter) and a technique that avoids the catheter coming into contact with anything nonÃƒÂ¢Ã¢â€šÂ¬Ã‚Âsterile (including hands, equipment and surfaces) before it is inserted. People inserting their own catheters use a ÃƒÂ¢Ã¢â€šÂ¬Ã‹Å“cleanÃƒÂ¢Ã¢â€šÂ¬Ã¢â€žÂ¢ technique, where the environment is kept as clean as possible and a sterile or clean (multipleÃƒÂ¢Ã¢â€šÂ¬Ã‚Âuse) catheter is used without the need for gloves. Strategies: SingleÃƒÂ¢Ã¢â€šÂ¬Ã‚Âuse versus multipleÃƒÂ¢Ã¢â€šÂ¬Ã‚Âuse There are two types of catheter use: singleÃƒÂ¢Ã¢â€šÂ¬Ã‚Âuse and multipleÃƒÂ¢Ã¢â€šÂ¬Ã‚Âuse. ReÃƒÂ¢Ã¢â€šÂ¬Ã‚Âuse of catheters means that the catheter is cleaned and reÃƒÂ¢Ã¢â€šÂ¬Ã‚Âused a varying number of times (e.g. for up to 24 hours or for one week/month). Design: Uncoated versus hydrophilicÃƒÂ¢Ã¢â€šÂ¬Ã‚Âcoated Uncoated catheters are typically clear PVC and packed individually in sterile packaging. They may be supplied preÃƒÂ¢Ã¢â€šÂ¬Ã‚Âlubricated, or used with a separate lubricant or water to aid insertion HydrophilicÃƒÂ¢Ã¢â€šÂ¬Ã‚Âcoated catheters have a slippery coating and either are supplied ready to use, or require the addition of water. Design: Shorter versus standard length Catheters come in varying sizes and lengths to suit men, women and children, and people's different needs. How upÃƒÂ¢Ã¢â€šÂ¬Ã‚ÂtoÃƒÂ¢Ã¢â€šÂ¬Ã‚Âdate is this review? We searched for evidence that had been published up to 12 April 2021. Study characteristics We found 23 trials (involving a total of 1339 children and adults using intermittent catheterisation for bladder emptying) comparing different catheterisation techniques and catheter designs. Key results Aseptic versus clean techniques We are uncertain if there is any difference between aseptic and clean techniques in the risk of symptomatic UTI. We identified no data relating to the risk of adverse events. SingleÃƒÂ¢Ã¢â€šÂ¬Ã‚Âuse (sterile) catheter versus multipleÃƒÂ¢Ã¢â€šÂ¬Ã‚Âuse (clean) We are uncertain if there is any difference between singleÃƒÂ¢Ã¢â€šÂ¬Ã‚Âuse and multipleÃƒÂ¢Ã¢â€šÂ¬Ã‚Âuse catheters in the risk of symptomatic UTI because the certainty of evidence is low. One study comparing these interventions reported zero adverse events in either group and no other adverse event data were reported. HydrophilicÃƒÂ¢Ã¢â€šÂ¬Ã‚Âcoated catheters versus uncoated catheters We are uncertain if there is any difference between hydrophilic and uncoated catheters in the number of people with symptomatic UTI. Uncoated catheters probably slightly reduce the risk of urethral trauma and bleeding compared to hydrophilicÃƒÂ¢Ã¢â€šÂ¬Ã‚Âcoated catheters. We are uncertain if there is any difference in patient satisfaction or preference. One catheter length versus another catheter length We are uncertain if there is any difference between one catheter length versus another catheter length for all included outcomes. We identified no useable evidence relating to costÃƒÂ¢Ã¢â€šÂ¬Ã‚Âeffectiveness for any of the comparisons. Certainty of the evidence The current research evidence is uncertain and design and reporting issues are significant. There are many factors that could limit the generalisability of findings, for example, the study setting (e.g. hospital or home), sex of participants, variability in adherence to user instructions and whether catheterisation is undertaken by the user or another person. More wellÃƒÂ¢Ã¢â€šÂ¬Ã‚Âdesigned trials are needed. Such trials should include analysis of costÃƒÂ¢Ã¢â€šÂ¬Ã‚Âeffectiveness because there are likely to be substantial differences associated with the use of different catheter designs, catheterisation techniques and strategies.</t>
  </si>
  <si>
    <t>J2869</t>
  </si>
  <si>
    <t>A cost utility analysis of robotic versus open mitral valve repair in mitral valve regurgitation</t>
  </si>
  <si>
    <t>Objectives: For the first time this study carried out a cost-utility analysis comparing open surgical repair versus robotic minimally invasive surgical repair for Mitral Regurgitation. The respective benefits and costs of each treatment option gained from data in published literature have been analysed and subsequent suggestions for the allocation of resources and treatment recommendation will be offered. Method(s): The analysis was performed by including intraoperative and post-operative costs of the interventions and costs of the most prevalent complications associated with each operation. Thus, the Quality Adjusted Life Years (QALYs) calculated will guide the decision of resource allocation by assessing whether the added cost of robotic surgery is justified given the NICE (National institute of Clinical Excellence) threshold of 30,000/QALY. The choice of perspective taken is through the lens of the British National Healthcare System. Result(s): The Incremental cost-effectiveness ratio (ICER) calculated was 4781.44/QALY. This ICER shows that if robotic surgery was to become gold standard, the NHS would be paying 4781.44/QALY gained per patient. Considering robotic surgery is associated with fewer complications for patients but also has a cost per QALY below the NICE threshold of 30,000/QALY, it seems that this is a fitting alternative to open heart mitral valve repair. After a sensitivity analysis accounting for the initial robotic capital investment the ICER resulted to 22,379.94/QALY, still below NICE's threshold. Conclusion(s): Our results have shown that robotic assisted minimally invasive repair of the mitral valve is a cost-effective option and can be implemented in the British national healthcare setting.</t>
  </si>
  <si>
    <t>J2870</t>
  </si>
  <si>
    <t>Double versus single intrauterine insemination (IUI) in stimulated cycles for subfertile couples</t>
  </si>
  <si>
    <t>- Background In subfertile couples, couples who have tried to conceive for at least one year, intrauterine insemination (IUI) with ovarian hyperstimulation (OH) is one of the treatment modalities that can be offered. When IUI is performed a second IUI in the same cycle might add to the chances of conceiving. In a previous update of this review in 2010 it was shown that double IUI increases pregnancy rates when compared to single IUI. Since 2010, different clinical trials have been published with differing conclusions about whether double IUI increases pregnancy rates compared to single IUI. Objectives To determine the effectiveness and safety of double intrauterine insemination (IUI) compared to single IUI in stimulated cycles for subfertile couples. Search methods We searched the Cochrane Gynaecology and Fertility (CGF) Group trials register, CENTRAL, MEDLINE, Embase and CINAHL in July 2020 and LILACS, Google scholar and Epistemonikos in February 2021, together with reference checking and contact with study authors and experts in the field to identify additional studies. Selection criteria We included randomised controlled, parallel trials of double versus single IUIs in stimulated cycles in subfertile couples. Data collection and analysis Two authors independently assessed trial quality and extracted data. We contacted study authors for additional information. Main results We identified in nine studies involving subfertile women. The evidence was of low quality; the main limitations were unclear risk of bias, inconsistent results for some outcomes and imprecision, due to small trials with imprecise results. We are uncertain whether double IUI improves live birth rate compared to single IUI (odds ratio (OR) 1.15, 95% confidence interval (CI) 0.71 to 1.88; I 2 = 29%; studies = 3, participants = 468; low quality evidence). The evidence suggests that if the chance of live birth following single IUI is 16%, the chance of live birth following double IUI would be between 12% and 27%. Performing a sensitivity analysis restricted to only randomised controlled trials (RCTs) with low risk of selection bias showed similar results. We are uncertain whether double IUI reduces miscarriage rate compared to single IUI (OR 1.78, 95% CI 0.98 to 3.24; I 2 = 0%; studies = 6, participants = 2363; low quality evidence). The evidence suggests that chance of miscarriage following single IUI is 1.5% and the chance following double IUI would be between 1.5% and 5%. The reported clinical pregnancy rate per woman randomised may increase with double IUI group (OR 1.51, 95% CI 1.23 to 1.86; I 2 = 34%; studies = 9, participants = 2716; low quality evidence). This result should be interpreted with caution due to the low quality of the evidence and the moderate inconsistency. The evidence suggests that the chance of a pregnancy following single IUI is 14% and the chance following double IUI would be between 16% and 23%. We are uncertain whether double IUI affects multiple pregnancy rate compared to single IUI (OR 2.04, 95% CI 0.91 to 4.56; I 2 = 8%; studies = 5; participants = 2203; low quality evidence). The evidence suggests that chance of multiple pregnancy following single IUI is 0.7% and the chance following double IUI would be between 0.85% and 3.7%. We are uncertain whether double IUI has an effect on ectopic pregnancy rate compared to single IUI (OR 1.22, 95% CI 0.35 to 4.28; I 2 = 0%; studies = 4, participants = 1048; low quality evidence). The evidence suggests that the chance of an ectopic pregnancy following single IUI is 0.8% and the chance following double IUI would be between 0.3% and 3.2%. Authors' conclusions Our main analysis, of which the evidence is low quality, shows that we are uncertain if double IUI improves live birth and reduces miscarriage compared to single IUI. Our sensitivity analysis restricted to studies of low risk of selection bias for both outcomes is consistent with the main analysis. Clinical pregnancy rate may increase in the double IUI group, but this should be interpreted with caution due to he low quality evidence. We are uncertain whether double IUI has an effect on multiple pregnancy rate and ectopic pregnancy rate compared to single IUI. Plain language summary Double versus single intrauterine insemination for subfertile couples Review question : Cochrane authors reviewed the evidence about the effect of double intrauterine insemination (IUI) versus single IUI in subfertile couples (couples who have tried to conceive for at least one year). Background : for couples who have tried to conceive for at least one year a common way to induce pregnancy is placement of the sperm directly into the uterus and therefore close to any eggs. This is combined with fertility medicines to stimulate the release of eggs (IUI with ovarian stimulation). The insemination is less stressful, invasive and expensive compared to in vitro fertilisation (where an egg is combined with sperm outside the body) and similar procedures. It is often used when a male partner is subfertile, or when the reason for not becoming pregnant is unknown. Generally, IUI is carried out once in a menstrual cycle, but it is sometimes attempted twice (double IUI). Different clinical trials reached differing conclusions whether double IUI resulted in more pregnancies than single IUI. Study characteristics : we found nine randomised controlled trials (clinical studies where people are randomly put into one of two or more treatment groups) comparing double IUI with single IUI with 2751 woman. The evidence is current to July 2020. Key results : our main analysis, of which the evidence is rated as low quality, shows that we are uncertain if double IUI improves live birth and reduces miscarriage compared to single IUI. The evidence suggests that if the chance of live birth following single IUI is 16%, then the chance following double IUI would be between 12% and 27%. The evidence suggests that if chance of miscarriage following single IUI is 1.5%, the chance following double IUI would be between 1.5% and 5%. Performing analysis with the highest quality trials showed similar results for both outcomes. Pregnancy rate may increase with double IUI. This result should be interpreted with caution due to low quality of the evidence. The evidence suggests that chance of pregnancy following single IUI is 14% and the chance following double IUI would be between 16% and 23%. However, when we analysed only with the high quality studies, the positive effect of double IUI was lost and we no longer saw the improvement anymore. We are uncertain whether double IUI reduces multipleÃƒÂ¢Ã¢â€šÂ¬Ã‚Â (two or more fetuses) and ectopic pregnancy rate (where a fertilised egg implants itself outside of the womb, usually in one of the tubes connecting the ovary and womb) compared to single IUI. The evidence suggests that if the chance of multiple pregnancy following single IUI is 0.7%, then the chance following double IUI would be between 0.7% and 3.2%. The evidence suggests that if the chance of ectopic pregnancy following single IUI is 0.8% and the chance following double IUI would be between 0.3% and 3.2%. Quality of the evidence : the evidence was of low quality. The main limitations in the evidence were unclear risk of bias and small trials with imprecise results.</t>
  </si>
  <si>
    <t>Focuses on fertility treatment, not related to NHS shifts.</t>
  </si>
  <si>
    <t>J2871</t>
  </si>
  <si>
    <t>The Impact of Diagnostic Criteria for Gestational Diabetes Mellitus on Adverse Maternal Outcomes: A Systematic Review and Meta-Analysis</t>
  </si>
  <si>
    <t>This systematic review and meta-analysis aimed to examine the impact of different gestational-diabetes (GDM) diagnostic-criteria on the risk of adverse-maternal-outcomes. The search process encompassed PubMed (Medline), Scopus, and Web of Science databases to retrieve original, population-based studies with the universal GDM screening approach, published in English language and with a focus on adverse-maternal-outcomes up to January 2020. According to GDM diagnostic criteria, the studies were classified into seven groups. A total of 49 population-based studies consisting of 1409018 pregnant women with GDM and 7,667,546 non-GDM counterparts were selected for data analysis and knowledge synthesis. Accordingly, the risk of adverse-maternal-outcomes including primary-cesarean, induction of labor, maternal-hemorrhage, and pregnancy-related-hypertension, overall, regardless of GDM diagnostic-criteria and in all diagnostic-criteria subgroups were significantly higher than non-GDM counterparts. However, in meta-regression, the increased risk was not influenced by the GDM diagnostic-classification and the magnitude of the risks among patients, using the IADPSG criteria-classification as the most strict-criteria, was similar to other criteria. In conclusion, a reduction in the diagnostic-threshold increased the prevalence of GDM, but the risk of adverse-maternal-outcome was not different among those women who were diagnosed through more or less intensive strategies. Our review findings can empower health-care-providers to select the most cost-effective approach for the screening of GDM among pregnant women.</t>
  </si>
  <si>
    <t>Focuses on diagnostic criteria, not NHS shifts.</t>
  </si>
  <si>
    <t>J2876</t>
  </si>
  <si>
    <t>An economic evaluation of vagus nerve stimulation as an adjunctive treatment to anti-seizure medications for the treatment of drug-resistant epilepsy in England</t>
  </si>
  <si>
    <t>Introduction: Anti-seizure medications (ASMs) are commonly used to prevent recurring epileptic seizures, but around a third of people with epilepsy fail to achieve an adequate response. Vagus nerve stimulation (VNS) is clinically recommended for people with drug-resistant epilepsy (DRE) who are not suitable for surgery, but the cost-effectiveness of the intervention has not recently been evaluated. The study objective is to estimate costs and quality-adjusted life-years (QALYs) associated with using VNS as an adjunct to ongoing ASM therapy, compared to the strategy of using only ASMs in the treatment of people with DRE, from an English National Health Service perspective. Method(s): A cohort state transition model was developed in Microsoft Excel to simulate costs and QALYs of the VNS + ASM and ASM only strategies. Patients could transition between five health states, using a 3-month cycle length. Health states were defined by an expected percentage reduction in seizure frequency, derived from randomized control trial data. Costs included the VNS device as well as its installation, setup, and removal; ASM therapy; adverse events associated with VNS (dyspnea, hoarseness, and cough); and health-state costs associated with epilepsy including hospitalizations, emergency department visits, neurologist visits, and primary care visits. A range of sensitivity analyses, including probabilistic sensitivity analysis, were run to assess the impact of parameter and structural uncertainty. Result(s): In the base case, VNS + ASM had an estimated incremental cost-effectiveness ratio (ICER) of 17,771 per QALY gained compared to ASMs alone. The cost-effective ICER was driven by relative reductions in expected seizure frequency and the differences in health care resource use associated therewith. Sensitivity analyses found that the amount of resource use per epilepsy-related health state was a key driver of the cost component. Conclusion(s): VNS is expected to be a cost-effective intervention in the treatment of DRE in the English National Health Service. Copyright Ãƒâ€šÃ‚Â© 2021 The Author(s). Published by Informa UK Limited, trading as Taylor &amp; Francis Group.</t>
  </si>
  <si>
    <t>J2878</t>
  </si>
  <si>
    <t>Chronic nonÃƒÂ¢Ã¢â€šÂ¬Ã‚Âinvasive ventilation for chronic obstructive pulmonary disease</t>
  </si>
  <si>
    <t>- Background Chronic nonÃƒÂ¢Ã¢â€šÂ¬Ã‚Âinvasive ventilation (NIV) is increasingly being used to treat people with COPD who have respiratory failure, but the evidence supporting this treatment has been conflicting. Objectives To assess the effects of chronic nonÃƒÂ¢Ã¢â€šÂ¬Ã‚Âinvasive ventilation at home via a facial mask in people with COPD, using a pooled analysis of IPD and metaÃƒÂ¢Ã¢â€šÂ¬Ã‚Âanalysis. Search methods We searched the Cochrane Airways Register of Trials, MEDLINE, Embase, PsycINFO, CINAHL, AMED, proceedings of respiratory conferences, clinical trial registries and bibliographies of relevant studies. We conducted the latest search on 21 December 2020. Selection criteria We included randomised controlled trials (RCTs) comparing chronic NIV for at least five hours per night for three consecutive weeks or more (in addition to standard care) versus standard care alone, in people with COPD. Studies investigating people initiated on NIV in a stable phase and studies investigating NIV commenced after a severe COPD exacerbation were eligible, but we reported and analysed them separately. The primary outcomes were arterial blood gases, healthÃƒÂ¢Ã¢â€šÂ¬Ã‚Ârelated quality of life (HRQL), exercise capacity (stable COPD) and admissionÃƒÂ¢Ã¢â€šÂ¬Ã‚Âfree survival (postÃƒÂ¢Ã¢â€šÂ¬Ã‚Âexacerbation COPD). Secondary outcomes for both populations were: lung function, COPD exacerbations and admissions, and allÃƒÂ¢Ã¢â€šÂ¬Ã‚Âcause mortality. For stable COPD, we also reported respiratory muscle strength, dyspnoea and sleep efficiency. Data collection and analysis We used standard methodological procedures expected by Cochrane. After inclusion of a study, we requested the IPD. We analysed continuous and timeÃƒÂ¢Ã¢â€šÂ¬Ã‚ÂtoÃƒÂ¢Ã¢â€šÂ¬Ã‚Âevent data using linearÃƒÂ¢Ã¢â€šÂ¬Ã‚Â and coxÃƒÂ¢Ã¢â€šÂ¬Ã‚Âregression mixedÃƒÂ¢Ã¢â€šÂ¬Ã‚Âeffect models with a random effect on study level. We analysed dichotomous IPD using generalised estimating equations. We adjusted all models for age and sex. We assessed changes in outcomes after three and 12 months. We also conducted a metaÃƒÂ¢Ã¢â€šÂ¬Ã‚Âanalysis on aggregated trial data. Main results We included 14 new RCTs in this review update, in addition to the seven previously included. Seventeen studies investigated chronic NIV in stable COPD and four studies investigated chronic NIV commenced after a severe COPD exacerbation. Three studies compared NIV to sham continuous positive airway pressure (2 to 4 cmH 2 O). Seven studies used a nasal mask, one study used an oronasal mask and eight studies used both interfaces. Five studies did not report the interface. The majority of trials (20/21) were at high risk of performance bias due to an unblinded design. We considered 11 studies to have a low risk of selection bias and 13 to have a low risk of attrition bias. We collected and analysed the IPD from 13 stable COPD studies (n = 778, 68% of the participants included) and from three postÃƒÂ¢Ã¢â€šÂ¬Ã‚Âexacerbation studies (n = 364, 96% of the participants included). In the stable COPD group, NIV probably results in a minor benefit on the arterial partial pressure of oxygen (PaO 2 ) after three months (adjusted mean difference (AMD) 0.27 kPa, 95% CI 0.04 to 0.49; 9 studies, 271 participants; moderateÃƒÂ¢Ã¢â€šÂ¬Ã‚Âcertainty evidence), but there was little to no benefit at 12 months (AMD 0.09 kPa, 95% CI ÃƒÂ¢Ã¢â€šÂ¬Ã‚Â0.23 to 0.42; 3 studies, 171 participants; lowÃƒÂ¢Ã¢â€šÂ¬Ã‚Âcertainty evidence). The arterial partial pressure of carbon dioxide (PaCO 2 ) was reduced in participants allocated to NIV after three months (AMD ÃƒÂ¢Ã¢â€šÂ¬Ã‚Â0.61 kPa, 95% CI ÃƒÂ¢Ã¢â€šÂ¬Ã‚Â0.77 to ÃƒÂ¢Ã¢â€šÂ¬Ã‚Â0.45; 11 studies, 475 participants; highÃƒÂ¢Ã¢â€šÂ¬Ã‚Âcertainty evidence) and persisted up to 12 months (AMD ÃƒÂ¢Ã¢â€šÂ¬Ã‚Â0.42 kPa, 95% CI ÃƒÂ¢Ã¢â€šÂ¬Ã‚Â0.68 to ÃƒÂ¢Ã¢â€šÂ¬Ã‚Â0.16; 4 studies, 232 participants; highÃƒÂ¢Ã¢â€šÂ¬Ã‚Âcertainty evidence). Exercise capacity was measured with the 6ÃƒÂ¢Ã¢â€šÂ¬Ã‚Âminute walking distance (minimal clinical important difference: 26 m). There was no clinically relevant effect of NIV on exercise capacity ( 3 months: AMD 15.5 m, 95% CI ÃƒÂ¢Ã¢â€šÂ¬Ã‚Â0.8 to 31.7; 8 studies, 330 participants; lowÃƒÂ¢Ã¢â€šÂ¬Ã‚Âcertainty evidence; 12 months: AMD 26.4 m, 95% CI ÃƒÂ¢Ã¢â€šÂ¬Ã‚Â7.6 to 60.5; 3 studies, 134 participants; very lowÃƒÂ¢Ã¢â€šÂ¬Ã‚Âcertainty evidence). HRQL was measured with the Severe Respiratory I sufficiency and the St. Georges's Respiratory Questionnaire and may be improved by NIV, but only after three months ( 3 months: standardised mean difference (SMD) 0.39, 95% CI 0.15 to 0.62; 5 studies, 259 participants; very lowÃƒÂ¢Ã¢â€šÂ¬Ã‚Âcertainty evidence; 12 months: SMD 0.15, 95% CI ÃƒÂ¢Ã¢â€šÂ¬Ã‚Â0.13 to 0.43; 4 studies, 200 participants; very lowÃƒÂ¢Ã¢â€šÂ¬Ã‚Âcertainty evidence). Lastly, the risk for allÃƒÂ¢Ã¢â€šÂ¬Ã‚Âcause mortality is likely reduced by NIV (adjusted hazard ratio (AHR) 0.75, 95% CI 0.58 to 0.97; 3 studies, 405 participants; moderateÃƒÂ¢Ã¢â€šÂ¬Ã‚Âcertainty evidence). In the postÃƒÂ¢Ã¢â€šÂ¬Ã‚Âexacerbation COPD group, there was little to no benefit on the PaO 2 after three months, but there may be a slight decrease after 12 months ( 3 months: AMD ÃƒÂ¢Ã¢â€šÂ¬Ã‚Â0.10 kPa, 95% CI ÃƒÂ¢Ã¢â€šÂ¬Ã‚Â0.65 to 0.45; 3 studies, 234 participants; lowÃƒÂ¢Ã¢â€šÂ¬Ã‚Âcertainty evidence; 12 months: ÃƒÂ¢Ã¢â€šÂ¬Ã‚Â0.27 kPa, 95% CI ÃƒÂ¢Ã¢â€šÂ¬Ã‚Â0.86 to 0.32, 3 studies; 170 participants; lowÃƒÂ¢Ã¢â€šÂ¬Ã‚Âcertainty evidence). The PaCO 2 was reduced by NIV at both three months (AMD ÃƒÂ¢Ã¢â€šÂ¬Ã‚Â0.40 kPa, 95% CI ÃƒÂ¢Ã¢â€šÂ¬Ã‚Â0.70 to ÃƒÂ¢Ã¢â€šÂ¬Ã‚Â0.09; 3 studies, 241 participants; moderateÃƒÂ¢Ã¢â€šÂ¬Ã‚Âcertainty evidence) and 12 months (AMD ÃƒÂ¢Ã¢â€šÂ¬Ã‚Â0.52 kPa, 95% CI ÃƒÂ¢Ã¢â€šÂ¬Ã‚Â0.87 to ÃƒÂ¢Ã¢â€šÂ¬Ã‚Â0.18; 3 studies, 175 participants; highÃƒÂ¢Ã¢â€šÂ¬Ã‚Âcertainty evidence). NIV may have little to no benefit on HRQL ( 3 months: SMD 0.25, 95% CI ÃƒÂ¢Ã¢â€šÂ¬Ã‚Â0.01 to 0.51; 2 studies, 219 participants; very lowÃƒÂ¢Ã¢â€šÂ¬Ã‚Âcertainty evidence; 12 months: SMD 0.25, 95% ÃƒÂ¢Ã¢â€šÂ¬Ã‚Â0.06 to 0.55; 2 studies, 164 participants; very lowÃƒÂ¢Ã¢â€šÂ¬Ã‚Âcertainty evidence). AdmissionÃƒÂ¢Ã¢â€šÂ¬Ã‚Âfree survival seems improved with NIV (AHR 0.71, 95% CI 0.54 to 0.94; 2 studies, 317 participants; lowÃƒÂ¢Ã¢â€šÂ¬Ã‚Âcertainty evidence), but the risk for allÃƒÂ¢Ã¢â€šÂ¬Ã‚Âcause mortality does not seem to improve (AHR 0.97, 95% CI 0.74 to 1.28; 2 studies, 317 participants; lowÃƒÂ¢Ã¢â€šÂ¬Ã‚Âcertainty evidence). Authors' conclusions Regardless of the timing of initiation, chronic NIV improves daytime hypercapnia. In addition, in stable COPD, survival seems to be improved and there might be a short term HRQL benefit. In people with persistent hypercapnia after a COPD exacerbation, chronic NIV might prolong admissionÃƒÂ¢Ã¢â€šÂ¬Ã‚Âfree survival without a beneficial effect on HRQL. In stable COPD, future RCTs comparing NIV to a control group receiving standard care might no longer be warranted, but research should focus on identifying participant characteristics that would define treatment success. Furthermore, the optimal timing for initiation of NIV after a severe COPD exacerbation is still unknown. Plain language summary NonÃƒÂ¢Ã¢â€šÂ¬Ã‚Âinvasive ventilation (ventilators) used at night by people with chronic obstructive pulmonary disease (COPD) Background: NonÃƒÂ¢Ã¢â€šÂ¬Ã‚Âinvasive ventilation (NIV) is a method to assist or replace spontaneous breathing (or normal breathing) with the aid of a machine called a ventilator, using a mask fitted over the nose or both the nose and mouth. NIV can be used chronically (longÃƒÂ¢Ã¢â€šÂ¬Ã‚Âterm) at the person's home if they have levels of carbon dioxide in their blood that are persistently too high. We wanted to discover if using chronic NIV at home during the night alongside standard therapy was better or worse than standard therapy alone in people with chronic obstructive pulmonary disease (COPD) who have raised carbon dioxide levels. In 2002 and 2013, we published our original Cochrane Reviews investigating this. It is important to check if new studies have been done that could be added to the existing studies of the original review and would change the findings. What is individual participant data: In this review we used individual participant data (IPD). This means that we attempted to collect original research data for each person who had participated in the original studies by requesting these individuals' data from the researcher who performed the study. We used IPD as this offers a greater chance to detect changes between groups of participants and enable the investigation of additional hypotheses. We used the IPD to perform our calculations. Review question: What is the effect of chronic NIV in people with COPD on blood gases (oxygen and carbon dioxide), exercise capacity, quality of life, lung function, respiratory muscle f nction, COPD exacerbations and admissions, and survival? Study characteristics: The evidence is current to 21 December 2020. This review update identified 14 new studies in addition to those already in the review, so in total we included 21 studies. Ten of the studies looked at people in a stable phase (stable COPD) and four studies looked at people shortly after a COPD hospital admission (postÃƒÂ¢Ã¢â€šÂ¬Ã‚Âexacerbation COPD). All studies included men and women. For our analyses, we used data from 778 people with stable COPD and 364 people with postÃƒÂ¢Ã¢â€šÂ¬Ã‚Âexacerbation COPD. Results: In all people with COPD who had raised levels of carbon dioxide, chronic NIV for three and 12 months improved blood gases. In stable COPD, chronic NIV also might have improved quality of life, and survival seemed to be better compared to people who were treated with standard care only. There was no relevant benefit of NIV on exercise capacity. People using chronic NIV after a COPD admission experienced less benefit; carbon dioxide levels decreased, the time to the next hospital admission might have been longer when treated with NIV but quality of life and survival were not affected by chronic NIV. Certainty of the results: Our confidence in the certainty (according to GRADE criteria) is good when looking at the blood gases. For the other outcomes, the certainty of the evidence is moderate to very low because the participants and the researcher were aware of the treatment the people received, and due to a wide range in the observed effect. This means that further research might change the results.</t>
  </si>
  <si>
    <t>J2879</t>
  </si>
  <si>
    <t>Value for money in genitourinary oncology</t>
  </si>
  <si>
    <t>Background: Innovation in the treatment of genitourinary (GU) malignancies is accelerating, however, many of these new treatments are often not available for patients. We sought to investigate patient access, cost and value of new systemic anti-cancer compounds (SACTs) in GU oncology. We compared the US and Europe with a focus on the United Kingdom (UK) and the Republic of Ireland (IRL). Method(s): Data on licensing and reimbursement decisions was collected on SACTs approved for GU oncology between 01/01/2010 to 09/01/2020. Overall survival (OS) benefit, progression free survival (PFS) benefit and cost of therapy were included in our analysis. Result(s): There were 29 regimens/indications approved by the Federal Drug Agency (FDA) for GU malignancies between 2010 and 2020. The majority of these (21/29, 72%) were also approved by the European Medicines Agency (EMA). Nearly all regimens/indications were approved by the FDA prior to the EMA (27/29, 93%), with a median time to EMA approval of 4 months (SD = 6, range -6 to 17). Only a minority of these regimens/indications are reimbursed by the public health systems in the UK (12/29, 41%) and IRL (6/29, 21%). Following EMA approval, public reimbursement of these regimens in the UK and IRL is often delayed with a median time of 8 months (+/- 6.3, range 4 - 21) and 11.5 months (+/- 12.5, range 0 - 33) respectively. Approximately half (15/29, 52%) of all reimbursed regimens/indications have demonstrated an overall survival benefit for patients. Androgen signalling inhibitors (ASIs) are more likely to have a proven OS benefit and had a lower mean cost than non- ASI regimens (See Table). A significant minority of regimens/indications (6/29, 21%) have demonstrated neither an OS or PFS benefit. The median price per month (USA list price) was $15,086 +/- $7,019. Regimens with a proven OS benefit were not more expensive than those without ($14,229 +/- $6,466 versus $16,004 +/- $7,704). There was no significant correlation between the length of OS benefit and the cost of regimens (Pearson's Correlation Coefficient = -2.72, p = 0.445). Conclusion(s): Patients in the UK and IRL experience clinically significant delays in accessing FDA approved regimens in GU oncology. Only 52% of these regimens have a proven OS benefit. In our study, ASI regimens are cheaper and more effective than non-ASI regimens. There is no association between overall survival benefit and list prices in the USA. We need to radically overhaul licensing and funding of SACTs in GU oncology to ensure continued access for patients to effective medicines.</t>
  </si>
  <si>
    <t>Focuses on drug access and cost, not NHS shifts.</t>
  </si>
  <si>
    <t>J2881</t>
  </si>
  <si>
    <t>Using electronic patient records to assess the effect of a complex antenatal intervention in a cluster randomised controlled trial-data management experience from the DESiGN Trial team</t>
  </si>
  <si>
    <t>Background: The use of electronic patient records for assessing outcomes in clinical trials is a methodological strategy intended to drive faster and more cost-efficient acquisition of results. The aim of this manuscript was to outline the data collection and management considerations of a maternity and perinatal clinical trial using data from electronic patient records, exemplifying the DESiGN Trial as a case study. Method(s): The DESiGN Trial is a cluster randomised control trial assessing the effect of a complex intervention versus standard care for identifying small for gestational age foetuses. Data on maternal/perinatal characteristics and outcomes including infants admitted to neonatal care, parameters from foetal ultrasound and details of hospital activity for health-economic evaluation were collected at two time points from four types of electronic patient records held in 22 different electronic record systems at the 13 research clusters. Data were pseudonymised on site using a bespoke Microsoft Excel macro and securely transferred to the central data store. Data quality checks were undertaken. Rules for data harmonisation of the raw data were developed and a data dictionary produced, along with rules and assumptions for data linkage of the datasets. The dictionary included descriptions of the rationale and assumptions for data harmonisation and quality checks. Result(s): Data were collected on 182,052 babies from 178,350 pregnancies in 165,397 unique women. Data availability and completeness varied across research sites; each of eight variables which were key to calculation of the primary outcome were completely missing in median 3 (range 1-4) clusters at the time of the first data download. This improved by the second data download following clarification of instructions to the research sites (each of the eight key variables were completely missing in median 1 (range 0-1) cluster at the second time point). Common data management challenges were harmonising a single variable from multiple sources and categorising free-text data, solutions were developed for this trial. Conclusion(s): Conduct of clinical trials which use electronic patient records for the assessment of outcomes can be time and cost-effective but still requires appropriate time and resources to maximise data quality. A difficulty for pregnancy and perinatal research in the UK is the wide variety of different systems used to collect patient data across maternity units. In this manuscript, we describe how we managed this and provide a detailed data dictionary covering the harmonisation of variable names and values that will be helpful for other researchers working with these data. Trial registration: Primary registry and trial identifying number: ISRCTN 67698474. Registered on 02/11/16. Copyright Ãƒâ€šÃ‚Â© 2021, The Author(s).</t>
  </si>
  <si>
    <t>J2887</t>
  </si>
  <si>
    <t>Intravenous thrombolytic treatment and endovascular thrombectomy for ischaemic wakeÃƒÂ¢Ã¢â€šÂ¬Ã‚Âup stroke</t>
  </si>
  <si>
    <t>- Background About one in five strokes occur during sleep (wakeÃƒÂ¢Ã¢â€šÂ¬Ã‚Âup stroke). People with wakeÃƒÂ¢Ã¢â€šÂ¬Ã‚Âup strokes have previously been considered to be ineligible for thrombolytic treatment because the time of stroke onset is unknown. However, recent studies suggest benefit from recanalisation therapies in selected patients. Objectives To assess the effects of intravenous thrombolysis and endovascular thrombectomy versus control in people with acute ischaemic stroke presenting on awakening from sleep. Search methods We searched the Cochrane Stroke Group Trials Register (last search 24 of May 2021). In addition, we searched the following electronic databases in May 2021: Cochrane Central Register of Controlled Trials (CENTRAL; 2021, Issue 4 of 12, April 2021) in the Cochrane Library, MEDLINE, Embase, ClinicalTrials.gov, and the World Health Organization International Clinical Trials Registry Platform. We searched the Stroke Trials Registry (last search 7 December 2017, as the site is currently inactive). We also screened references lists of relevant trials, contacted trialists, and undertook forward tracking of relevant references. Selection criteria Randomised controlled trials (RCTs) of intravenous thrombolytic drugs or endovascular thrombectomy treatments in people with acute ischaemic stroke presenting upon awakening. Data collection and analysis Two review authors applied the inclusion criteria, extracted data, and assessed risk of bias and the certainty of the evidence using the GRADE approach. We obtained both published and unpublished data for participants with wakeÃƒÂ¢Ã¢â€šÂ¬Ã‚Âup strokes. We excluded participants with strokes of unknown onset if the symptoms did not begin upon awakening. Main results We included seven trials with a total of 980 participants, of which five trials with 775 participants investigated intravenous thrombolytic treatment and two trials with 205 participants investigated endovascular thrombectomy in large vessel occlusion in the anterior intracranial circulation. All trials used advanced imaging for selecting patients to treat. For intravenous thrombolytic treatment, good functional outcome (defined as modified Rankin Scale score 0 to 2) at 90 days followÃƒÂ¢Ã¢â€šÂ¬Ã‚Âup was observed in 66% of participants randomised to thrombolytic treatment and 58% of participants randomised to control (risk ratio (RR) 1.13, 95% confidence interval (CI) 1.01 to 1.26; P = 0.03; 763 participants, 5 RCTs; highÃƒÂ¢Ã¢â€šÂ¬Ã‚Âcertainty evidence). Seven per cent of participants randomised to intravenous thrombolytic treatment and 10% of participants randomised to control had died at 90 days followÃƒÂ¢Ã¢â€šÂ¬Ã‚Âup (RR 0.68, 95% CI 0.43 to 1.07; P = 0.09; 763 participants, 5 RCTs; highÃƒÂ¢Ã¢â€šÂ¬Ã‚Âcertainty evidence). Symptomatic intracranial haemorrhage occurred in 3% of participants randomised to intravenous thrombolytic treatment and 1% of participants randomised to control (RR 3.47, 95% CI 0.98 to 12.26; P = 0.05; 754 participants, 4 RCTs; highÃƒÂ¢Ã¢â€šÂ¬Ã‚Âcertainty evidence). For endovascular thrombectomy of large vessel occlusion, good functional outcome at 90 days followÃƒÂ¢Ã¢â€šÂ¬Ã‚Âup was observed in 46% of participants randomised to endovascular thrombectomy and 9% of participants randomised to control (RR 5.12, 95% CI 2.57 to 10.17; P &lt; 0.001; 205 participants, 2 RCTs; highÃƒÂ¢Ã¢â€šÂ¬Ã‚Âcertainty evidence). TwentyÃƒÂ¢Ã¢â€šÂ¬Ã‚Âtwo per cent of participants randomised to endovascular thrombectomy and 33% of participants randomised to control had died at 90 days followÃƒÂ¢Ã¢â€šÂ¬Ã‚Âup (RR 0.68, 95% CI 0.43 to 1.07; P = 0.10; 205 participants, 2 RCTs; highÃƒÂ¢Ã¢â€šÂ¬Ã‚Âcertainty evidence). Authors' conclusions In selected patients with acute ischaemic wakeÃƒÂ¢Ã¢â€šÂ¬Ã‚Âup stroke, both intravenous thrombolytic treatment and endovascular thrombectomy of large vessel occlusion improved functional outcome without increasing the risk of death. However, a possible increased risk of symptomatic intracranial haemorrhage associated with thrombolytic treatment cannot be ruled out. The criteria used for selecting patients to treatment differed between the trials. All studies were relatively small, and six of the seven studies were erminated early. More studies are warranted in order to determine the optimal criteria for selecting patients for treatment. Plain language summary Recanalisation therapies for wakeÃƒÂ¢Ã¢â€šÂ¬Ã‚Âup stroke Review question Do people who wake up with new acute stroke symptoms benefit from treatments to reopen the blocked blood vessels (recanalisation therapies)? Background Most strokes are caused by a blockage of a blood vessel in the brain by a blood clot (ischaemic stroke). This is a leading cause of death and disability worldwide. Treatments to reopen blood vessels such as clotÃƒÂ¢Ã¢â€šÂ¬Ã‚Âdissolving drugs (thrombolysis) or mechanical devices to remove blood clots (thrombectomy) may improve recovery after ischaemic stroke if blood flow is rapidly restored. About one in five strokes occur during sleep (wakeÃƒÂ¢Ã¢â€šÂ¬Ã‚Âup stroke). People with wakeÃƒÂ¢Ã¢â€šÂ¬Ã‚Âup stroke have traditionally been considered to be ineligible for recanalisation therapies because the time of stroke onset is unknown. However, recent studies of selected patients suggest benefit from recanalisation therapies. Search date We searched for randomised controlled trials (a type of study in which people are randomly allocated to one of two or more treatment groups) until 24 May 2021. Study characteristics We included seven trials with a total of 980 participants. Five trials with 775 wakeÃƒÂ¢Ã¢â€šÂ¬Ã‚Âup stroke participants were randomised to intravenous thrombolytic treatment or to control (either placebo (dummy treatment) or standard medical treatment alone). Two trials with 205 wakeÃƒÂ¢Ã¢â€šÂ¬Ã‚Âup stroke participants with a blood clot in a large brain artery were randomised to either endovascular mechanical thrombectomy plus standard medical treatment or standard medical treatment alone. Key results We found that recanalisation therapies can improve functional outcome and survival in selected patients with wakeÃƒÂ¢Ã¢â€šÂ¬Ã‚Âup stroke. However, we cannot rule out the possibility that treatment increases the risk of bleeding in the brain. The optimal selection criteria with regard to imaging criteria or time window, or both, for choosing patients to treat is still unclear; these criteria differed between the trials. More trials to investigate this further are therefore warranted. Quality of evidence We judged the included trials to be at low or unclear risk of bias, and the overall certainty of the evidence as high.</t>
  </si>
  <si>
    <t>J2888</t>
  </si>
  <si>
    <t>Treatment for bleeding oesophageal varices in people with decompensated liver cirrhosis: a network metaÃƒÂ¢Ã¢â€šÂ¬Ã‚Âanalysis</t>
  </si>
  <si>
    <t>- Background Approximately 40% to 95% of people with liver cirrhosis have oesophageal varices. About 15% to 20% of oesophageal varices bleed within about one to three years after diagnosis. Several different treatments are available, including, among others, endoscopic sclerotherapy, variceal band ligation, somatostatin analogues, vasopressin analogues, and balloon tamponade. However, there is uncertainty surrounding the individual and relative benefits and harms of these treatments. Objectives To compare the benefits and harms of different initial treatments for variceal bleeding from oesophageal varices in adults with decompensated liver cirrhosis, through a network metaÃƒÂ¢Ã¢â€šÂ¬Ã‚Âanalysis; and to generate rankings of the different treatments for acute bleeding oesophageal varices, according to their benefits and harms. Search methods We searched CENTRAL, MEDLINE, Embase, Science Citation Index Expanded, World Health Organization International Clinical Trials Registry Platform, and trials registers until 17 December 2019, to identify randomised clinical trials (RCTs) in people with cirrhosis and acute bleeding from oesophageal varices. Selection criteria We included only RCTs (irrespective of language, blinding, or status) in adults with cirrhosis and acutely bleeding oesophageal varices. We excluded RCTs in which participants had bleeding only from gastric varices, those who failed previous treatment (refractory bleeding), those in whom initial haemostasis was achieved before inclusion into the trial, and those who had previously undergone liver transplantation. Data collection and analysis We performed a network metaÃƒÂ¢Ã¢â€šÂ¬Ã‚Âanalysis with OpenBUGS software, using Bayesian methods, and calculated the differences in treatments using odds ratios (OR) and rate ratios with 95% credible intervals (CrI) based on an availableÃƒÂ¢Ã¢â€šÂ¬Ã‚Âcase analysis, according to National Institute of Health and Care Excellence Decision Support Unit guidance. We performed also the direct comparisons from RCTs using the same codes and the same technical details. Main results We included a total of 52 RCTs (4580 participants) in the review. FortyÃƒÂ¢Ã¢â€šÂ¬Ã‚Âeight trials (4042 participants) were included in one or more comparisons in the review. The trials that provided the information included people with cirrhosis due to varied aetiologies and those with and without a previous history of bleeding. We included outcomes assessed up to six weeks. All trials were at high risk of bias. A total of 19 interventions were compared in the trials (sclerotherapy, somatostatin analogues, vasopressin analogues, sclerotherapy plus somatostatin analogues, variceal band ligation, balloon tamponade, somatostatin analogues plus variceal band ligation, nitrates plus vasopressin analogues, no active intervention, sclerotherapy plus variceal band ligation, balloon tamponade plus sclerotherapy, balloon tamponade plus somatostatin analogues, balloon tamponade plus vasopressin analogues, variceal band ligation plus vasopressin analogues, balloon tamponade plus nitrates plus vasopressin analogues, balloon tamponade plus variceal band ligation, portocaval shunt, sclerotherapy plus transjugular intrahepatic portosystemic shunt (TIPS), and sclerotherapy plus vasopressin analogues). We have reported the effect estimates for the primary and secondary outcomes when there was evidence of differences between the interventions against the reference treatment of sclerotherapy, but reported the other results of the primary and secondary outcomes versus the reference treatment of sclerotherapy without the effect estimates when there was no evidence of differences in order to provide a concise summary of the results. Overall, 15.8% of the trial participants who received the reference treatment of sclerotherapy (chosen because this was the commonest treatment compared in the trials) died during the followÃƒÂ¢Ã¢â€šÂ¬Ã‚Âup periods, which ranged from three days to six weeks. Based on moderateÃƒÂ¢Ã¢â€šÂ¬Ã‚Âcertainty evidence, somatostatin analogues alone had higher mortality than sclerotherapy (OR 1.57, 95% CrI 1.04 to 2. 1; network estimate; direct comparison: 4 trials; 353 participants) and vasopressin analogues alone had higher mortality than sclerotherapy (OR 1.70, 95% CrI 1.13 to 2.62; network estimate; direct comparison: 2 trials; 438 participants). None of the trials reported healthÃƒÂ¢Ã¢â€šÂ¬Ã‚Ârelated quality of life. Based on lowÃƒÂ¢Ã¢â€šÂ¬Ã‚Âcertainty evidence, a higher proportion of people receiving balloon tamponade plus sclerotherapy had more serious adverse events than those receiving only sclerotherapy (OR 4.23, 95% CrI 1.22 to 17.80; direct estimate; 1 RCT; 60 participants). Based on moderateÃƒÂ¢Ã¢â€šÂ¬Ã‚Âcertainty evidence, people receiving vasopressin analogues alone and those receiving variceal band ligation had fewer adverse events than those receiving only sclerotherapy (rate ratio 0.59, 95% CrI 0.35 to 0.96; network estimate; direct comparison: 1 RCT; 219 participants; and rate ratio 0.40, 95% CrI 0.21 to 0.74; network estimate; direct comparison: 1 RCT; 77 participants; respectively). Based on lowÃƒÂ¢Ã¢â€šÂ¬Ã‚Âcertainty evidence, the proportion of people who developed symptomatic rebleed was smaller in people who received sclerotherapy plus somatostatin analogues than those receiving only sclerotherapy (OR 0.21, 95% CrI 0.03 to 0.94; direct estimate; 1 RCT; 105 participants). The evidence suggests considerable uncertainty about the effect of the interventions in the remaining comparisons where sclerotherapy was the control intervention. Authors' conclusions Based on moderateÃƒÂ¢Ã¢â€šÂ¬Ã‚Âcertainty evidence, somatostatin analogues alone and vasopressin analogues alone (with supportive therapy) probably result in increased mortality, compared to endoscopic sclerotherapy. Based on moderateÃƒÂ¢Ã¢â€šÂ¬Ã‚Âcertainty evidence, vasopressin analogues alone and band ligation alone probably result in fewer adverse events compared to endoscopic sclerotherapy. Based on lowÃƒÂ¢Ã¢â€šÂ¬Ã‚Âcertainty evidence, balloon tamponade plus sclerotherapy may result in large increases in serious adverse events compared to sclerotherapy. Based on lowÃƒÂ¢Ã¢â€šÂ¬Ã‚Âcertainty evidence, sclerotherapy plus somatostatin analogues may result in large decreases in symptomatic rebleed compared to sclerotherapy. In the remaining comparisons, the evidence indicates considerable uncertainty about the effects of the interventions, compared to sclerotherapy. Plain language summary Treatment for bleeding from enlarged veins in the oesophagus (food pipe) in people with advanced scarring of the liver What is the aim of this Cochrane Review? ÃƒÂ¢Ã¢â€šÂ¬Ã‚Â¨To find out the best available treatment for bleeding from oesophageal varices (enlarged veins in the oesophagus) in people with advanced scarring of the liver (liver cirrhosis, or lateÃƒÂ¢Ã¢â€šÂ¬Ã‚Âstage scarring of the liver with complications). Bleeding from oesophageal varices in people with cirrhosis is a lifeÃƒÂ¢Ã¢â€šÂ¬Ã‚Âthreatening event. Therefore, it is important to treat people when this happens, but the benefits and harms of different treatments available are currently unclear. The review authors collected and analysed all relevant randomised clinical trials (studies where participants are randomly assigned to one of two or more treatment groups) with the aim of finding out what the best treatment is. They found 52 randomised clinical trials. During analysis of data, the review authors used standard Cochrane methods, which allow the comparison of only two treatments at a time. The authors also used advanced techniques that allow comparison of multiple treatments at the same time (usually referred as 'network (or indirect) metaÃƒÂ¢Ã¢â€šÂ¬Ã‚Âanalysis'). Date of literature search ÃƒÂ¢Ã¢â€šÂ¬Ã‚Â¨17 December 2019 What was studied in the review? ÃƒÂ¢Ã¢â€šÂ¬Ã‚Â¨This review looked at adults of any sex, age, and ethnic origin, with advanced liver disease due to various causes and bleeding oesophageal varices. Participants were given different treatments for bleeding oesophageal varices. The authors excluded studies in people who had bleeding from the stomach, failed treatment by another method before study entry, those in whom bleeding was controlled by another method before taking part in the study, and those who previously had liver transplantation. The aver ge age of participants, when reported, ranged from 39 to 62 years. The treatments used in the trials included endoscopic sclerotherapy (injecting a scarÃƒÂ¢Ã¢â€šÂ¬Ã‚Âforming liquid into the enlarged veins (the scarring blocks the veins thereby shrinking the veins) by looking through a tube inserted through the mouth), variceal band ligation (inserting bands around the dilated veins by seeing through a tube inserted through the mouth), somatostatin analogues (drugs that resemble gut hormones and narrow blood vessels), vasopressin analogues (drugs that resemble brain hormones and narrow blood vessels), and balloon tamponade (inserting a tube through the nose or mouth and inflating a balloon around the tube with the hope of pressing on the bleeding veins). The review authors wanted to gather and analyse data on death (percentage of participants who died within six weeks of receiving treatment), quality of life, serious adverse events and nonÃƒÂ¢Ã¢â€šÂ¬Ã‚Âserious adverse events (i.e. serious and nonÃƒÂ¢Ã¢â€šÂ¬Ã‚Âserious complications), recurrence of bleeding, and development of other complications of advanced liver disease. What were the main results of the review? ÃƒÂ¢Ã¢â€šÂ¬Ã‚Â¨The 52 trials included a small number of participants (4580 participants). FortyÃƒÂ¢Ã¢â€šÂ¬Ã‚Âeight trials with 4042 participants provided data for analyses. The followÃƒÂ¢Ã¢â€šÂ¬Ã‚Âup of the trial participants ranged from less than one week to six weeks. The funding source for the research was unclear in 31 studies; commercial organisations funded 11 studies. There were no concerns regarding the source of funding for the remaining 10 studies. The review shows the following. ÃƒÂ¯Ã‚Â¿Ã‚Â½ÃƒÂ¯Ã‚Â¿Ã‚Â½ÃƒÂ¯Ã‚Â¿Ã‚Â½ None of the studies were conducted without flaws, and because of this, there is moderate to very high uncertainty in the findings.ÃƒÂ¢Ã¢â€šÂ¬Ã‚Â¨ÃƒÂ¢Ã¢â€šÂ¬Ã‚Â Approximately one in six people with cirrhosis and bleeding oesophageal varices who received the standard treatment of sclerotherapy died within six weeks.ÃƒÂ¢Ã¢â€šÂ¬Ã‚Â¨ÃƒÂ¢Ã¢â€šÂ¬Ã‚Â Somatostatin analogues alone and vasopressin analogues alone probably result in increased mortality, compared to sclerotherapy.ÃƒÂ¢Ã¢â€šÂ¬Ã‚Â¨ÃƒÂ¢Ã¢â€šÂ¬Ã‚Â Vasopressin analogues alone and band ligation alone probably result in fewer adverse events (complications), compared to sclerotherapy.ÃƒÂ¢Ã¢â€šÂ¬Ã‚Â¨ÃƒÂ¢Ã¢â€šÂ¬Ã‚Â Balloon tamponade plus sclerotherapy may result in large increase in serious adverse events compared to sclerotherapy.ÃƒÂ¢Ã¢â€šÂ¬Ã‚Â¨ÃƒÂ¢Ã¢â€šÂ¬Ã‚Â Sclerotherapy plus somatostatin analogues may result in large decrease in symptomatic rebleed compared to sclerotherapy.ÃƒÂ¢Ã¢â€šÂ¬Ã‚Â¨ÃƒÂ¢Ã¢â€šÂ¬Ã‚Â The evidence indicates considerable uncertainty about the effect of the interventions in the remaining comparisons.ÃƒÂ¢Ã¢â€šÂ¬Ã‚Â¨ÃƒÂ¢Ã¢â€šÂ¬Ã‚Â None of the trials reported healthÃƒÂ¢Ã¢â€šÂ¬Ã‚Ârelated quality of life.ÃƒÂ¢Ã¢â€šÂ¬Ã‚Â¨ÃƒÂ¢Ã¢â€šÂ¬Ã‚Â Future wellÃƒÂ¢Ã¢â€šÂ¬Ã‚Âdesigned randomised clinical trials are needed to find out the best treatment for people with cirrhosis and bleeding oesophageal varices.</t>
  </si>
  <si>
    <t>J2889</t>
  </si>
  <si>
    <t>Tranexamic acid to reduce head injury death in people with traumatic brain injury: The CRASH-3 international RCT</t>
  </si>
  <si>
    <t>Background: Tranexamic acid safely reduces mortality in traumatic extracranial bleeding. Intracranial bleeding is common after traumatic brain injury and can cause brain herniation and death. We assessed the effects of tranexamic acid in traumatic brain injury patients. Objective(s): To assess the effects of tranexamic acid on death, disability and vascular occlusive events in traumatic brain injury patients. We also assessed cost-effectiveness. Design(s): Randomised trial and economic evaluation. Patients were assigned by selecting a numbered treatment pack from a box containing eight packs that were identical apart from the pack number. Patients, caregivers and those assessing outcomes were masked to allocation. All analyses were by intention to treat.We assessed the cost-effectiveness of tranexamic acid versus no treatment from a UK NHS perspective using the trial results and a Markov model. Setting(s): 175 hospitals in 29 countries. Participant(s): Adults with traumatic brain injury within 3 hours of injury with a Glasgow Coma Scale score of &lt;= 12 or any intracranial bleeding on computerised tomography scan, and no major extracranial bleeding, were eligible. Intervention(s): Tranexamic acid (loading dose 1 g over 10 minutes then infusion of 1 g over 8 hours) or matching placebo. Main Outcome Measure(s): Head injury death in hospital within 28 days of injury in patients treated within 3 hours of injury. Secondary outcomes were early head injury deaths, all-cause and cause-specific mortality, disability, vascular occlusive events, seizures, complications and adverse events. Result(s): Among patients treated within 3 hours of injury (n = 9127), the risk of head injury death was 18.5% in the tranexamic acid group versus 19.8% in the placebo group (855/4613 vs. 892/4514; risk ratio 0.94, 95% confidence interval 0.86 to 1.02). In a prespecified analysis excluding patients with a Glasgow Coma Scale score of 3 or bilateral unreactive pupils at baseline, the results were 12.5% in the tranexamic acid group versus 14.0% in the placebo group (485/3880 vs. 525/3757; risk ratio 0.89, 95% confidence interval 0.80 to 1.00). There was a reduction in the risk of head injury death with tranexamic acid in those with mild to moderate head injury (166/2846 vs. 207/2769; risk ratio 0.78, 95% confidence interval 0.64 to 0.95), but in those with severe head injury (689/1739 vs. 685/1710; risk ratio 0.99, 95% confidence interval 0.91 to 1.07) there was no apparent reduction (p-value for heterogeneity = 0.030). Early treatment was more effective in mild and moderate head injury (p = 0.005), but there was no obvious impact of time to treatment in cases of severe head injury (p = 0.73).The risk of disability, vascular occlusive events and seizures was similar in both groups.Tranexamic acid is highly cost-effective for mild and moderate traumatic brain injury (base case of 4288 per quality-adjusted life-year gained). Conclusion(s): Early tranexamic acid treatment reduces head injury deaths. Treatment is cost-effective for patients with mild or moderate traumatic brain injury, or those with both pupils reactive. Future work: Further trials should examine early tranexamic acid treatment in mild head injury. Research on alternative routes of administration is needed. Limitation(s): Time to treatment may have been underestimated. Trial registration: Current Controlled Trials ISRCTN15088122, ClinicalTrials.gov NCT01402882, EudraCT 2011-003669-14, Pan African Clinical Trial Registry PACTR20121000441277. Copyright Ãƒâ€šÃ‚Â© 2021 Roberts et al.</t>
  </si>
  <si>
    <t>J2890</t>
  </si>
  <si>
    <t>A high-dose 24-hour tranexamic acid infusion for the treatment of significant gastrointestinal bleeding: HALT-IT RCT</t>
  </si>
  <si>
    <t>&lt;b&gt;BACKGROUND&lt;/b&gt;: Tranexamic acid reduces blood loss in surgery and the risk of death in trauma patients. Meta-analyses of small trials suggest that tranexamic acid decreases the number of deaths from gastrointestinal bleeding, but these meta-analyses are prone to selection bias._x000D_
&lt;b&gt;OBJECTIVE&lt;/b&gt;: The trial provides reliable evidence of the effect of tranexamic acid on mortality, rebleeding and complications in significant acute gastrointestinal bleeding._x000D_
&lt;b&gt;DESIGN&lt;/b&gt;: A multicentre, randomised, placebo-controlled trial and economic analysis. Patients were assigned by selecting one treatment pack from a box of eight, which were identical apart from the pack number. Patients, caregivers and outcome assessors were masked to allocation. The main analyses were by intention to treat._x000D_
&lt;b&gt;SETTING&lt;/b&gt;: The setting was 164 hospitals in 15 countries, co-ordinated from the London School of Hygiene &amp; Tropical Medicine._x000D_
&lt;b&gt;PARTICIPANTS&lt;/b&gt;: Adults with significant upper or lower gastrointestinal bleeding (n = 12,009) were eligible if the responsible clinician was substantially uncertain about whether or not to use tranexamic acid. The clinical diagnosis of significant bleeding implied a risk of bleeding to death, including hypotension, tachycardia or signs of shock, or urgent transfusion, endoscopy or surgery._x000D_
&lt;b&gt;INTERVENTION&lt;/b&gt;: Tranexamic acid (a 1-g loading dose over 10 minutes, then a 3-g maintenance dose over 24 hours) or matching placebo._x000D_
&lt;b&gt;MAIN OUTCOME MEASURES&lt;/b&gt;: The primary outcome was death due to bleeding within 5 days of randomisation. Secondary outcomes were all-cause and cause-specific mortality; rebleeding; need for endoscopy, surgery or radiological intervention; blood product transfusion; complications; disability; and days spent in intensive care or a high-dependency unit._x000D_
&lt;b&gt;RESULTS&lt;/b&gt;: A total of 12,009 patients were allocated to receive tranexamic acid (n = 5994, 49.9%) or the matching placebo (n = 6015, 50.1%), of whom 11,952 (99.5%) received the first dose. Death due to bleeding within 5 days of randomisation occurred in 222 (3.7%) patients in the tranexamic acid group and in 226 (3.8%) patients in the placebo group (risk ratio 0.99, 95% confidence interval 0.82 to 1.18). Thromboembolic events occurred in 86 (1.4%) patients in the tranexamic acid group and 72 (1.2%) patients in the placebo group (risk ratio 1.20, 95% confidence interval 0.88 to 1.64). The risk of arterial thromboembolic events (myocardial infarction or stroke) was similar in both groups (0.7% in the tranexamic acid group vs. 0.8% in the placebo group; risk ratio 0.92, 95% confidence interval 0.60 to 1.39), but the risk of venous thromboembolic events (deep-vein thrombosis or pulmonary embolism) was higher in tranexamic acid-treated patients than in placebo-treated patients (0.8% vs. 0.4%; risk ratio 1.85, 95% confidence interval 1.15 to 2.98). Seizures occurred in 38 patients who received tranexamic acid and in 22 patients who received placebo (0.6% vs. 0.4%, respectively; risk ratio 1.73, 95% confidence interval 1.03 to 2.93). In the base-case economic analysis, tranexamic acid was not cost-effective and resulted in slightly poorer health outcomes than no tranexamic acid._x000D_
&lt;b&gt;CONCLUSIONS&lt;/b&gt;: Tranexamic acid did not reduce death from gastrointestinal bleeding and, although inexpensive, it is not cost-effective in adults with acute gastrointestinal bleeding._x000D_
&lt;b&gt;FUTURE WORK&lt;/b&gt;: These results caution against a uniform approach to the management of patients with major haemorrhage and highlight the need for randomised trials targeted at specific pathophysiological processes._x000D_
&lt;b&gt;LIMITATIONS&lt;/b&gt;: Although this is one of the largest randomised trials in gastrointestinal bleeding, we cannot rule out a modest increase or decrease in death due to bleeding with tranexamic acid._x000D_
&lt;b&gt;TRIAL REGISTRATION&lt;/b&gt;: Current Controlled Trials ISRCTN11225767, ClinicalTrials.gov NCT01658124 and EudraCT 2012-003192-19._x000D_
&lt;b&gt;FUNDING&lt;/b&gt;: This project was funded by the National Institute for Health Research (NIHR) Health Technology Assessment programme and will be published in full in Health Technology Assessment; Vol. 25, No. 58. See the NIHR Journals Library website for further project information.</t>
  </si>
  <si>
    <t>J2892</t>
  </si>
  <si>
    <t>Video games for people with schizophrenia</t>
  </si>
  <si>
    <t>- Background Commercial video games are a vastly popular form of recreational activity. Whilst concerns persist regarding possible negative effects of video games, they have been suggested to provide cognitive benefits to users. They are also frequently employed as control interventions in comparisons of more complex cognitive or psychological interventions. If independently effective, video games ÃƒÂ¢Ã¢â€šÂ¬Ã‚Â being both engaging and relatively inexpensive ÃƒÂ¢Ã¢â€šÂ¬Ã‚Â could provide a much more costÃƒÂ¢Ã¢â€šÂ¬Ã‚Âeffective addÃƒÂ¢Ã¢â€šÂ¬Ã‚Âon intervention to standard treatment when compared to costly, cognitive interventions. Objectives To review the effects of video games (alone or as an additional intervention) compared to standard care alone or other interventions including, but not limited to, cognitive remediation or cognitive behavioural therapy for people with schizophrenia or schizophreniaÃƒÂ¢Ã¢â€šÂ¬Ã‚Âlike illnesses. Search methods We searched the Cochrane Schizophrenia Group's StudyÃƒÂ¢Ã¢â€šÂ¬Ã‚ÂBased Register of Trials (March 2017, August 2018, August 2019). Selection criteria Randomised controlled trials focusing on video games for people with schizophrenia or schizophreniaÃƒÂ¢Ã¢â€šÂ¬Ã‚Âlike illnesses. Data collection and analysis Review authors extracted data independently. For binary outcomes we calculated risk ratio (RR) with its 95% confidence interval (CI) on an intentionÃƒÂ¢Ã¢â€šÂ¬Ã‚ÂtoÃƒÂ¢Ã¢â€šÂ¬Ã‚Âtreat basis. For continuous data we calculated the mean difference (MD) between groups and its CI. We employed a fixedÃƒÂ¢Ã¢â€šÂ¬Ã‚Âeffect model for analyses. We assessed risk of bias for the included studies and created a 'Summary of findings' table using GRADE. Main results This review includes seven trials conducted between 2009 and 2018 (total = 468 participants, range 32 to 121). Study duration varied from six weeks to twelve weeks. All interventions in the included trials were given in addition to standard care, including prescribed medication. In trials video games tend to be the control for testing efficacy of complex, cognitive therapies; only two small trials evaluated commercial video games as the intervention. We categorised video game interventions into 'nonÃƒÂ¢Ã¢â€šÂ¬Ã‚Âexergame' (played statically) and 'exergame' (the players use bodily movements to control the game). Our main outcomes of interest were clinically important changes in: general functioning, cognitive functioning, social functioning, mental state, quality of life, and physical fitness as well as clinically important adverse effects.ÃƒÂ¢Ã¢â€šÂ¬Ã‚Â¨ÃƒÂ¢Ã¢â€šÂ¬Ã‚Â¨We found no clear difference between nonÃƒÂ¢Ã¢â€šÂ¬Ã‚Âexergames and cognitive remediation in general functioning scores (Strauss Carpenter Outcome Scale) (MD 0.42, 95% CI ÃƒÂ¢Ã‹â€ Ã¢â‚¬â„¢0.62 to 1.46; participants = 86; studies = 1, very lowÃƒÂ¢Ã¢â€šÂ¬Ã‚Â quality evidence ) or social functioning scores (Specific Levels of Functioning Scale) (MD ÃƒÂ¢Ã‹â€ Ã¢â‚¬â„¢3.13, 95% CI ÃƒÂ¢Ã¢â€šÂ¬Ã‚Â40.17 to 33.91; participants = 53; studies = 1, very lowÃƒÂ¢Ã¢â€šÂ¬Ã‚Â quality evidence ). There was a clear difference favouring cognitive remediation for cognitive functioning (improved on at least one domain of MATRICS Consensus Cognitive Battery Test) (RR 0.58, 95% CI 0.34 to 0.99; participants = 42; studies = 1, lowÃƒÂ¢Ã¢â€šÂ¬Ã‚Â quality evidence ). For mental state, Positive and Negative Syndrome Scale (PANSS) overall scores showed no clear difference between treatment groups (MD 0.20, 95% CI ÃƒÂ¢Ã‹â€ Ã¢â‚¬â„¢3.89 to 4.28; participants = 269; studies = 4, lowÃƒÂ¢Ã¢â€šÂ¬Ã‚Â quality evidence ). Quality of life ratings (Quality of Life Scale) similarly showed no clear intergroup difference (MD 0.01, 95% CI ÃƒÂ¢Ã‹â€ Ã¢â‚¬â„¢0.40 to 0.42; participants = 87; studies = 1, very lowÃƒÂ¢Ã¢â€šÂ¬Ã‚Â quality evidence) . Adverse effects were not reported; we chose leaving the study early as a proxy measure. The attrition rate by end of treatment was similar between treatment groups (RR 0.96, 95% CI 0.87 to 1.06; participants = 395; studies = 5, lowÃƒÂ¢Ã¢â€šÂ¬Ã‚Â quality evidence ).ÃƒÂ¢Ã¢â€šÂ¬Ã‚Â¨ÃƒÂ¢Ã¢â€šÂ¬Ã‚Â¨One small trial compared exergames with standard care, but few outcomes were reported . No clear difference between interventions was seen for cognitive functioning (measured by MATRICS Consensus Cognitive Battery Test) (MD 2.90, 95% CI ÃƒÂ¢Ã¢â€šÂ¬Ã‚Â1.27 to 7.07; participants = 33; studies = 1, lowÃƒÂ¢Ã¢â€šÂ¬Ã‚Â quality evidence) , however a benefit in favour of exergames was found for average change in physical fitness (aerobic fitness) (MD 3.82, 95% CI 1.75 to 5.89; participants = 33; studies = 1, lowÃƒÂ¢Ã¢â€šÂ¬Ã‚Â quality evidence) . Adverse effects were not reported; we chose leaving the study early as a proxy measure. The attrition rate by end of treatment was similar between treatment groups (RR 1.06, 95% CI 0.75 to 1.51; participants = 33; studies = 1). Another small trial compared exergames with nonÃƒÂ¢Ã¢â€šÂ¬Ã‚Âexergames. Only one of our main outcomes was reported ÃƒÂ¢Ã¢â€šÂ¬Ã‚Â physical fitness, which was measured by average time taken to walk 3 metres. No clear intergroup difference was identified at sixÃƒÂ¢Ã¢â€šÂ¬Ã‚Âweek followÃƒÂ¢Ã¢â€šÂ¬Ã‚Âup (MD ÃƒÂ¢Ã‹â€ Ã¢â‚¬â„¢0.50, 95% CI ÃƒÂ¢Ã‹â€ Ã¢â‚¬â„¢1.17 to 0.17; participants = 28; studies = 1, very lowÃƒÂ¢Ã¢â€šÂ¬Ã‚Â quality evidence) . No trials reported adverse effects. We chose leaving the study early as a proxy outcome. Authors' conclusions Our results suggest that nonÃƒÂ¢Ã¢â€šÂ¬Ã‚Âexergames may have a less beneficial effect on cognitive functioning than cognitive remediation, but have comparable effects for all other outcomes. These data are from a small number of trials, and the evidence is graded as of low or very low quality and is very likely to change with more data. It is difficult to currently establish if the more sophisticated cognitive approaches do any more good ÃƒÂ¢Ã¢â€šÂ¬Ã‚Â or harm ÃƒÂ¢Ã¢â€šÂ¬Ã‚Â than 'static' video games for people with schizophrenia. Where players use bodily movements to control the game (exergames), there is very limited evidence suggesting a possible benefit of exergames compared to standard care in terms of cognitive functioning and aerobic fitness. However, this finding must be replicated in trials with a larger sample size and that are conducted over a longer time frame. We cannot draw any firm conclusions regarding the effects of video games until more highÃƒÂ¢Ã¢â€šÂ¬Ã‚Âquality evidence is available. There are ongoing studies that may provide helpful data in the near future. Plain language summary Video games for schizophrenia Review question Are video games an effective treatment (on their own or as an addÃƒÂ¢Ã¢â€šÂ¬Ã‚Âon) for improving the wellÃƒÂ¢Ã¢â€šÂ¬Ã‚Âbeing and functioning of people with schizophrenia or schizoaffective disorder? Background Schizophrenia is a severe mental illness that affects people worldwide. People with schizophrenia often have a distorted view of reality ÃƒÂ¢Ã¢â€šÂ¬Ã‚Â perceiving things that are not present (hallucinations) and believing things that are not true (delusions). People with schizophrenia may struggle to motivate themselves, experience anxiety and depression, and encounter cognitive symptoms, often struggling to stay focused on dayÃƒÂ¢Ã¢â€šÂ¬Ã‚ÂtoÃƒÂ¢Ã¢â€šÂ¬Ã‚Âday activities and becoming disorientated. Hallucinations and delusions are usually treated with antipsychotic medications, whereas other symptoms can be difficult to manage with medication alone. Psychological therapies are sometimes used alongside medication to help with some symptoms of schizophrenia, however these therapies can be complex and expensive. Video games are a relatively inexpensive, and, for many, engaging treatment. They have been suggested to help improve the cognitive impairments such as lack of focus or poor memory that people with schizophrenia often experience. If effective, video games could provide a simple and relatively lowÃƒÂ¢Ã¢â€šÂ¬Ã‚Âcost additional treatment for people with schizophrenia. Searching We searched for randomised controlled trials (a type of study in which participants are assigned to one of two or more treatment groups using a random method) involving people with schizophrenia receiving either a video game intervention or other type of treatment such as talking (cognitive) therapy or placebo (dummy treatment). We performed the searches in March 2017, August 2018, and August 2019. Results Seven trials met our inclusion criteria and provided useable data. Video game interventions were categorised into those that involved movements of the body ('exergames') and those that did not ('nonÃƒÂ¢Ã¢â€šÂ¬Ã‚Âexergames'). NonÃƒÂ¢Ã¢â€šÂ¬Ã‚Âexergame trials compared the video game intervention to a form of brainÃƒÂ¢Ã¢â€šÂ¬Ã‚Âtraining" therapy known as cognitive remediation. One trial compared exergames to standard care, and another compared nonÃƒÂ¢Ã¢â€šÂ¬Ã‚Âexergames with exergames. All interventions in the included trials were given in addition to standard care. The currently available evidence suggests that nonÃƒÂ¢Ã¢â€šÂ¬Ã‚Âexergames may not be as beneficial for cognitive functioning as cognitive remediation, but there were no other clear differences between nonÃƒÂ¢Ã¢â€šÂ¬Ã‚Âexergames and cognitive remediation for improving functioning in people with schizophrenia. The more exerciseÃƒÂ¢Ã¢â€šÂ¬Ã‚Âorientated video games may have some benefit compared to standard care for improving physical fitness. We cannot draw any firm conclusions regarding the effects of video games until higherÃƒÂ¢Ã¢â€šÂ¬Ã‚Âquality evidence is available."</t>
  </si>
  <si>
    <t>J2893</t>
  </si>
  <si>
    <t>Virtual patient assessment for hand fracture management: A departmental analysis of financial and clinical implications</t>
  </si>
  <si>
    <t>Introduction: The COVID-19 pandemic demanded reduced face-to-face (FTF) contact. Our department integrated virtual assessment into the incoming referral pathway to enable continuation of high-quality care. This study aimed to assess any potential efficiency benefit of this change in service whilst ensuring no compromise to clinical outcomes. Method(s): A prospective analysis was undertaken of all hand fractures referred virtually during a seven-week period starting at the initiation of national lockdown. Cost analysis using NHS reference costs, inflated to 2019/20 prices, was performed. Clinical performance was assessed using the British Society for Surgery for the Hand (BSSH) Standards for Open and Closed Hand Fractures. Result(s): Seventy-six hand fractures were referred; FTF attendance was avoided in 35 cases, with an estimated per-patient cost saving of 179.16. Of the 33 patients who attended FTF, 13 achieved same day non-operative treatment; 20 underwent operative intervention with 95% compliance to BSSH standards. No complications occurred. Conclusion(s): Our pilot model demonstrates potentially significant cost savings of 6270 over a relatively short period, as well as clinical noninferiority. This supports sustained integration of virtual patient assessment in the 'new normal'. Further work across all disciplines is needed to define acceptable limits of telemedicine and new avenues for potential benefit.</t>
  </si>
  <si>
    <t>Virtual assessments replace FTF, aligning with digital shift.</t>
  </si>
  <si>
    <t>J2895</t>
  </si>
  <si>
    <t>How to save a small fortune! Improving the quality, clinical and cost effectiveness of oral nutritional supplement (ONS) prescribing in NHS Scotland</t>
  </si>
  <si>
    <t>Introduction : In 2016 work began to accelerate transformational change for high quality, clinically and cost-effective patient care and oral nutritional supplement (ONS) prescribing in line with the Scottish Government's Quality Ambitions and Once for Scotland vision. Method(s): Sustained development has been enabled through an inter-professional Short Life Working Group (SLWG) and continued collaboration between the Scottish Dietetic Prescribing Support Group, Dietetic Leadership Network and Effective Prescribing &amp; Therapeutics branch (Scottish Government). Result(s): All 14 NHS Boards in Scotland are progressing with implementing the SLWG's 12 key recommendations, published 2018. Key results: 1. Current data (2019) indicates improvement to the appropriateness of ONS prescribing; annual Scottish % variance ONS volume use (+3.8% 2015-16; -4% 2018-19) and cost (16 million 2015-16; 11 million 2018-19). 2. Standardised ONS prescribing data reporting and analysis is now used by all 14 NHS Boards in Scotland to continually drive improvement 3. Formulary variation is being reduced through Scotland wide Best Practice Guidance for Adult ONS Formulary Development 4. Continuous improvement to unwarranted variation in practice and processes has been driven through findings from structured interviews, e-surveys and a focus group. Scotland wide Guidelines for appropriate prescribing of ONS have been published. A Once for Scotland approach is being taken to patient/public information. There are also recommendations for the development of Best Practice Principles for dietitians and pre and post registration dietetic training. 5. New models of care, including the use of Technology Enabled Care, are currently being trialled in several NHS Boards to create transformational change in dietetic practice in line with NHS Scotland priorities Conclusion(s): Inter-professional working and shared learning has unlocked the potential to support improvement to the quality, clinical and cost-effectiveness of patient care and the development of equitable care pathways and health systems across Scotland - and perhaps beyond!.</t>
  </si>
  <si>
    <t>J2898</t>
  </si>
  <si>
    <t>Ondansetron and metoclopramide as second-line antiemetics in women with nausea and vomiting in pregnancy: the EMPOWER pilot factorial RCT</t>
  </si>
  <si>
    <t>&lt;b&gt;BACKGROUND&lt;/b&gt;: Around one-third of pregnant women suffer from moderate to severe nausea and vomiting, causing physical and emotional distress and reducing their quality of life. There is no cure for nausea and vomiting in pregnancy. Management focuses on relieving symptoms and preventing morbidity, and often requires antiemetic therapy. National guidelines make recommendations about first-, second- and third-line antiemetic therapies, although care varies in different hospitals and women report feeling unsupported, dissatisfied and depressed._x000D_
&lt;b&gt;OBJECTIVES&lt;/b&gt;: To determine whether or not, in addition to intravenous rehydration, ondansetron compared with no ondansetron and metoclopramide compared with no metoclopramide reduced the rate of treatment failure up to 10 days after drug initiation; improved symptom severity at 2, 5 and 10 days after drug initiation; improved quality of life at 10 days after drug initiation; and had an acceptable side effect and safety profile. To estimate the incremental cost per treatment failure avoided and the net monetary benefits from the perspectives of the NHS and women._x000D_
&lt;b&gt;DESIGN&lt;/b&gt;: This was a multicentre, double-dummy, randomised, double-blinded, dummy-controlled 2 x 2 factorial trial (with an internal pilot phase), with qualitative and health economic evaluations._x000D_
&lt;b&gt;PARTICIPANTS&lt;/b&gt;: Thirty-three patients (who were &lt; 17 weeks pregnant and who attended hospital with nausea and vomiting after little or no improvement with first-line antiemetic medication) who attended 12 secondary care NHS trusts in England, 22 health-care professionals and 21 women participated in the qualitative evaluation._x000D_
&lt;b&gt;INTERVENTIONS&lt;/b&gt;: Participants were randomly allocated to one of four treatment groups (1 : 1 : 1: 1 ratio): (1) metoclopramide and dummy ondansetron; (2) ondansetron and dummy metoclopramide; (3) metoclopramide and ondansetron; or (4) double dummy. Trial medication was initially given intravenously and then continued orally once women were able to tolerate oral fluids for a maximum of 10 days of treatment._x000D_
&lt;b&gt;MAIN OUTCOME MEASURES&lt;/b&gt;: The primary end point was the number of participants who experienced treatment failure, which was defined as the need for further treatment because symptoms had worsened between 12 hours and 10 days post treatment. The main economic outcomes were incremental cost per additional successful treatment and incremental net benefit._x000D_
&lt;b&gt;RESULTS&lt;/b&gt;: Of the 592 patients screened, 122 were considered eligible and 33 were recruited into the internal pilot (metoclopramide and dummy ondansetron, n = 8; ondansetron and dummy metoclopramide, n = 8; metoclopramide and ondansetron, n = 8; double dummy, n = 9). Owing to slow recruitment, the trial did not progress beyond the pilot. Fifteen out of 30 evaluable participants experienced treatment failure. No statistical analyses were performed. The main reason for ineligibility was prior treatment with trial drugs, reflecting an unpredicted change in prescribing practice at several points along the care pathway. The qualitative evaluation identified the requirements of the study protocol, in relation to guidelines on anti-sickness drugs, and the diversity of pathways to care as key hurdles to recruitment while the role of research staff was a key enabler. No important adverse events or side effects were reported._x000D_
&lt;b&gt;LIMITATIONS&lt;/b&gt;: The pilot trial failed to achieve the recruitment target owing to unforeseen changes in the provision of care._x000D_
&lt;b&gt;CONCLUSIONS&lt;/b&gt;: The trial was unable to provide evidence to support clinician decisions about the best choice of second-line antiemetic for nausea and vomiting in pregnancy._x000D_
&lt;b&gt;TRIAL REGISTRATION&lt;/b&gt;: Current Controlled Trials ISRCTN16924692 and EudraCT 2017-001651-31._x000D_
&lt;b&gt;FUNDING&lt;/b&gt;: This project was funded by the National Institute for Health Research (NIHR) Health Technology Assessment programme and will be published in full in Health Technology Assessment; Vol. 25, No. 63. See the NIHR Journals Library website for further project information.</t>
  </si>
  <si>
    <t>J2899</t>
  </si>
  <si>
    <t>Primary prevention of variceal bleeding in people with oesophageal varices due to liver cirrhosis: a network metaÃƒÂ¢Ã¢â€šÂ¬Ã‚Âanalysis</t>
  </si>
  <si>
    <t>- Background Approximately 40% to 95% of people with cirrhosis have oesophageal varices. About 15% to 20% of oesophageal varices bleed in about one to three years. There are several different treatments to prevent bleeding, including: betaÃƒÂ¢Ã¢â€šÂ¬Ã‚Âblockers, endoscopic sclerotherapy, and variceal band ligation. However, there is uncertainty surrounding their individual and relative benefits and harms. Objectives To compare the benefits and harms of different treatments for prevention of first variceal bleeding from oesophageal varices in adults with liver cirrhosis through a network metaÃƒÂ¢Ã¢â€šÂ¬Ã‚Âanalysis and to generate rankings of the different treatments for prevention of first variceal bleeding from oesophageal varices according to their safety and efficacy. Search methods We searched CENTRAL, MEDLINE, Embase, Science Citation Index Expanded, World Health Organization International Clinical Trials Registry Platform, and trials registers to December 2019 to identify randomised clinical trials in people with cirrhosis and oesophageal varices with no history of bleeding. Selection criteria We included only randomised clinical trials (irrespective of language, blinding, or status) in adults with cirrhosis and oesophageal varices with no history of bleeding. We excluded randomised clinical trials in which participants had previous bleeding from oesophageal varices and those who had previously undergone liver transplantation or previously received prophylactic treatment for oesophageal varices. Data collection and analysis We performed a network metaÃƒÂ¢Ã¢â€šÂ¬Ã‚Âanalysis with OpenBUGS using Bayesian methods and calculated the differences in treatments using hazard ratios (HR), odds ratios (OR), and rate ratios with 95% credible intervals (CrI) based on an availableÃƒÂ¢Ã¢â€šÂ¬Ã‚Âcase analysis, according to National Institute for Health and Care Excellence Decision Support Unit guidance. We performed the direct comparisons from randomised clinical trials using the same codes and the same technical details. Main results We included 66 randomised clinical trials (6653 participants) in the review. Sixty trials (6212 participants) provided data for one or more comparisons in the review. The trials that provided the information included people with cirrhosis due to varied aetiologies and those at high risk of bleeding from oesophageal varices. The followÃƒÂ¢Ã¢â€šÂ¬Ã‚Âup in the trials that reported outcomes ranged from 6 months to 60 months. All but one of the trials were at high risk of bias. The interventions compared included betaÃƒÂ¢Ã¢â€šÂ¬Ã‚Âblockers, no active intervention, variceal band ligation, sclerotherapy, betaÃƒÂ¢Ã¢â€šÂ¬Ã‚Âblockers plus variceal band ligation, betaÃƒÂ¢Ã¢â€šÂ¬Ã‚Âblockers plus nitrates, nitrates, betaÃƒÂ¢Ã¢â€šÂ¬Ã‚Âblockers plus sclerotherapy, and portocaval shunt. Overall, 21.2% of participants who received nonÃƒÂ¢Ã¢â€šÂ¬Ã‚Âselective betaÃƒÂ¢Ã¢â€šÂ¬Ã‚Âblockers ('betaÃƒÂ¢Ã¢â€šÂ¬Ã‚Âblockers') ÃƒÂ¢Ã‹â€ Ã¢â‚¬â„¢ the reference treatment (chosen because this was the most common treatment compared in the trials) ÃƒÂ¢Ã‹â€ Ã¢â‚¬â„¢ died during 8ÃƒÂ¢Ã¢â€šÂ¬Ã‚Âmonth to 60ÃƒÂ¢Ã¢â€šÂ¬Ã‚Âmonth followÃƒÂ¢Ã¢â€šÂ¬Ã‚Âup. Based on lowÃƒÂ¢Ã¢â€šÂ¬Ã‚Âcertainty evidence, betaÃƒÂ¢Ã¢â€šÂ¬Ã‚Âblockers, variceal band ligation, sclerotherapy, and betaÃƒÂ¢Ã¢â€šÂ¬Ã‚Âblockers plus nitrates all had lower mortality versus no active intervention (betaÃƒÂ¢Ã¢â€šÂ¬Ã‚Âblockers: HR 0.49, 95% CrI 0.36 to 0.67; direct comparison HR: 0.59, 95% CrI 0.42 to 0.83; 10 trials, 1200 participants; variceal band ligation: HR 0.51, 95% CrI 0.35 to 0.74; direct comparison HR 0.49, 95% CrI 0.12 to 2.14; 3 trials, 355 participants; sclerotherapy: HR 0.66, 95% CrI 0.51 to 0.85; direct comparison HR 0.61, 95% CrI 0.41 to 0.90; 18 trials, 1666 participants; betaÃƒÂ¢Ã¢â€šÂ¬Ã‚Âblockers plus nitrates: HR 0.41, 95% CrI 0.20 to 0.85; no direct comparison). No trials reported healthÃƒÂ¢Ã¢â€šÂ¬Ã‚Ârelated quality of life. Based on lowÃƒÂ¢Ã¢â€šÂ¬Ã‚Âcertainty evidence, variceal band ligation had a higher number of serious adverse events (number of events) than betaÃƒÂ¢Ã¢â€šÂ¬Ã‚Âblockers (rate ratio 10.49, 95% CrI 2.83 to 60.64; 1 trial, 168 participants). Based on lowÃƒÂ¢Ã¢â€šÂ¬Ã‚Âcertainty evidence, betaÃƒÂ¢Ã¢â€šÂ¬Ã‚Âblockers plus nitrates had a higher number of 'any adverse events (number of participants)' than betaÃƒÂ¢Ã¢â€šÂ¬Ã‚Âblockers alone (OR 3.4 , 95% CrI 1.11 to 11.28; 1 trial, 57 participants). Based on lowÃƒÂ¢Ã¢â€šÂ¬Ã‚Âcertainty evidence, adverse events (number of events) were higher in sclerotherapy than in betaÃƒÂ¢Ã¢â€šÂ¬Ã‚Âblockers (rate ratio 2.49, 95% CrI 1.53 to 4.22; direct comparison rate ratio 2.47, 95% CrI 1.27 to 5.06; 2 trials, 90 participants), and in betaÃƒÂ¢Ã¢â€šÂ¬Ã‚Âblockers plus variceal band ligation than in betaÃƒÂ¢Ã¢â€šÂ¬Ã‚Âblockers (direct comparison rate ratio 1.72, 95% CrI 1.08 to 2.76; 1 trial, 140 participants). Based on lowÃƒÂ¢Ã¢â€šÂ¬Ã‚Âcertainty evidence, any variceal bleed was lower in betaÃƒÂ¢Ã¢â€šÂ¬Ã‚Âblockers plus variceal band ligation than in betaÃƒÂ¢Ã¢â€šÂ¬Ã‚Âblockers (direct comparison HR 0.21, 95% CrI 0.04 to 0.71; 1 trial, 173 participants). Based on lowÃƒÂ¢Ã¢â€šÂ¬Ã‚Âcertainty evidence, any variceal bleed was higher in nitrates than betaÃƒÂ¢Ã¢â€šÂ¬Ã‚Âblockers (direct comparison HR 6.40, 95% CrI 1.58 to 47.42; 1 trial, 52 participants). The evidence indicates considerable uncertainty about the effect of the interventions in the remaining comparisons. Authors' conclusions Based on lowÃƒÂ¢Ã¢â€šÂ¬Ã‚Âcertainty evidence, betaÃƒÂ¢Ã¢â€šÂ¬Ã‚Âblockers, variceal band ligation, sclerotherapy, and betaÃƒÂ¢Ã¢â€šÂ¬Ã‚Âblockers plus nitrates may decrease mortality compared to no intervention in people with highÃƒÂ¢Ã¢â€šÂ¬Ã‚Ârisk oesophageal varices in people with cirrhosis and no previous history of bleeding. Based on lowÃƒÂ¢Ã¢â€šÂ¬Ã‚Âcertainty evidence, variceal band ligation may result in a higher number of serious adverse events than betaÃƒÂ¢Ã¢â€šÂ¬Ã‚Âblockers. The evidence indicates considerable uncertainty about the effect of betaÃƒÂ¢Ã¢â€šÂ¬Ã‚Âblockers versus variceal band ligation on variceal bleeding. The evidence also indicates considerable uncertainty about the effect of the interventions in most of the remaining comparisons. Plain language summary Treatment to prevent first bleeding from dilated veins in the oesophagus resulting from advanced scarring of the liver What was the aim of this Cochrane Review? We aimed to find the best available treatment for prevention of first bleeding from oesophageal varices (enlarged veins in the food pipe (oesophagus)) in people with advanced liver scarring (liver cirrhosis, or late stage scarring of the liver with complications). People with cirrhosis and oesophageal varices are at significant risk of bleeding and death. Therefore, treatment is important, but the benefits and harms of different treatments available are currently unclear. The review authors collected and analysed 66 randomised clinical trials (clinical studies where people are randomly put into one of two or more treatment groups) with the aim of finding what the best treatment is. During analysis of data, we used standard Cochrane methods, which allow the comparison of only two treatments at a time. We also used advanced techniques that allow comparison of multiple treatments at the same time (referred to as 'network (or indirect) metaÃƒÂ¢Ã¢â€šÂ¬Ã‚Âanalysis'). Date of literature search December 2019 Key messages We found that only one of the trials was conducted without flaws, and because of this, there is high to very high uncertainty in the findings. Approximately one in five trial participants with cirrhosis and oesophageal varices who never had bleeding previously and received the standard treatment of betaÃƒÂ¢Ã¢â€šÂ¬Ã‚Âblockers died within five years of treatment. The funding source for the research was unclear in 50 trials; commercial organisations funded five trials. There were no concerns regarding the source of funding for the remaining 11 trials. What was studied in the review? This review looked at adults of any sex, age, and ethnic origin with advanced liver disease due to various causes and oesophageal varices, but never had bleeding from the oesophageal varices. Participants were given different treatments for prevention of first bleeding from oesophageal varices. The authors excluded studies in people who had previous bleeding from the oesophageal varices and those who had had a liver transplant or already received treatment for oesophageal varices previously. The average age of participants, when reported, ranged from 40 years to 63 years. The treatments included 'nonÃƒÂ¢Ã¢â€šÂ¬Ã‚Âselective betaÃƒÂ¢Ã¢â€šÂ¬Ã‚Âblockers' or simply 'betaÃƒÂ¢Ã¢â€šÂ¬Ã‚Âblockers' (drugs that slow the heart and decrease the force of heart pumping resulting in decrease pressure in the blood vessels; they also increase the pressure in the gut blood vessels decreasing the amount of blood reaching the oesophageal veins), endoscopic sclerotherapy (injecting clotting agents into the enlarged veins by looking through a tube inserted through the mouth), variceal band ligation (inserting elastic bands around the widened veins by using a tube inserted through the mouth), and nitrates (medicines that decrease the pressure in the gut blood vessels by widening them). The review authors wanted to gather and analyse data on death (percentage dead at maximal followÃƒÂ¢Ã¢â€šÂ¬Ã‚Âup), quality of life, serious and nonÃƒÂ¢Ã¢â€šÂ¬Ã‚Âserious side effects, percentage of people who developed bleeding, and development of other complications of advanced liver disease.ÃƒÂ¢Ã¢â€šÂ¬Ã‚Â¨ÃƒÂ¢Ã¢â€šÂ¬Ã‚Â¨ What were the main results of the review? The 66 studies included a relatively small number of participants (6653 people). Sixty studies with 6212 participants provided data for analyses. The followÃƒÂ¢Ã¢â€šÂ¬Ã‚Âup of the trial ranged from six months to five years in studies that reported the outcomes that we were interested in. The review found the following:ÃƒÂ¢Ã¢â€šÂ¬Ã‚Â¨ÃƒÂ¢Ã¢â€šÂ¬Ã¢â‚¬Å“ Approximately one in five people with cirrhosis and oesophageal varices (without previous bleeding) who receive the betaÃƒÂ¢Ã¢â€šÂ¬Ã‚Âblockers died within five years.ÃƒÂ¢Ã¢â€šÂ¬Ã‚Â¨ÃƒÂ¢Ã¢â€šÂ¬Ã¢â‚¬Å“ BetaÃƒÂ¢Ã¢â€šÂ¬Ã‚Âblockers, variceal band ligation, sclerotherapy, and betaÃƒÂ¢Ã¢â€šÂ¬Ã‚Âblockers plus nitrates all may result in fewer deaths than no treatment.ÃƒÂ¢Ã¢â€šÂ¬Ã‚Â¨ÃƒÂ¢Ã¢â€šÂ¬Ã¢â‚¬Å“ Variceal band ligation may result in a higher number of serious side effects than betaÃƒÂ¢Ã¢â€šÂ¬Ã‚Âblockers.ÃƒÂ¢Ã¢â€šÂ¬Ã‚Â¨ÃƒÂ¢Ã¢â€šÂ¬Ã¢â‚¬Å“ Sclerotherapy, betaÃƒÂ¢Ã¢â€šÂ¬Ã‚Âblockers plus nitrates, and betaÃƒÂ¢Ã¢â€šÂ¬Ã‚Âblockers plus variceal band ligation may result in more side effects (when serious and nonÃƒÂ¢Ã¢â€šÂ¬Ã‚Âserious adverse events were put together) than betaÃƒÂ¢Ã¢â€šÂ¬Ã‚Âblockers.ÃƒÂ¢Ã¢â€šÂ¬Ã‚Â¨ÃƒÂ¢Ã¢â€šÂ¬Ã¢â‚¬Å“ BetaÃƒÂ¢Ã¢â€šÂ¬Ã‚Âblockers plus variceal band ligation may result in fewer people who develop bleeding than betaÃƒÂ¢Ã¢â€šÂ¬Ã‚Âblockers alone based on a single small trial.ÃƒÂ¢Ã¢â€šÂ¬Ã‚Â¨ÃƒÂ¢Ã¢â€šÂ¬Ã¢â‚¬Å“ Nitrates alone may result in more people who develop bleeding than betaÃƒÂ¢Ã¢â€šÂ¬Ã‚Âblockers alone.ÃƒÂ¢Ã¢â€šÂ¬Ã‚Â¨ÃƒÂ¢Ã¢â€šÂ¬Ã¢â‚¬Å“ The evidence indicates considerable uncertainty about the effect of the interventions in the remaining comparisons.ÃƒÂ¢Ã¢â€šÂ¬Ã‚Â¨ÃƒÂ¢Ã¢â€šÂ¬Ã¢â‚¬Å“ None of the trials reported healthÃƒÂ¢Ã¢â€šÂ¬Ã‚Ârelated quality of life. What are our conclusions? BetaÃƒÂ¢Ã¢â€šÂ¬Ã‚Âblockers, variceal band ligation, sclerotherapy, and betaÃƒÂ¢Ã¢â€šÂ¬Ã‚Âblockers plus nitrates may decrease the death rate compared to no treatment in people with highÃƒÂ¢Ã¢â€šÂ¬Ã‚Ârisk oesophageal varices in people with cirrhosis and no history of bleeding. Variceal band ligation may result in a higher number of serious side effects than betaÃƒÂ¢Ã¢â€šÂ¬Ã‚Âblockers. The evidence indicates considerable uncertainty about the effect of betaÃƒÂ¢Ã¢â€šÂ¬Ã‚Âblockers versus variceal band ligation on variceal bleeding. The evidence also indicates considerable uncertainty about the effect of the interventions in most of the remaining comparisons. Future well designed trials are needed to find out the best treatment to prevent first bleeding from people with cirrhosis and oesophageal varices.</t>
  </si>
  <si>
    <t>J2904</t>
  </si>
  <si>
    <t>Interventions to enable communication for adult patients requiring an artificial airway with or without mechanical ventilator support</t>
  </si>
  <si>
    <t>- Background Inability to communicate in a manner that can be understood causes extreme distress for people requiring an artificial airway and has implications for care quality and patient safety. Options for aided communication include nonÃƒÂ¢Ã¢â€šÂ¬Ã‚Âvocal, speechÃƒÂ¢Ã¢â€šÂ¬Ã‚Âgenerating, and voiceÃƒÂ¢Ã¢â€šÂ¬Ã‚Âenabling aids. Objectives To assess effectiveness of communication aids for people requiring an artificial airway (endotracheal or tracheostomy tube), defined as the proportion of people able to: use a nonÃƒÂ¢Ã¢â€šÂ¬Ã‚Âvocal communication aid to communicate at least one symptom, need, or preference; or use a voiceÃƒÂ¢Ã¢â€šÂ¬Ã‚Âenabling communication aid to phonate to produce at least one intelligible word. To assess time to communication/phonation; perceptions of communication; communication quality/success; quality of life; psychological distress; length of stay and costs; and adverse events. Search methods We searched the Cochrane Library (Wiley version), MEDLINE (OvidSP), Embase (OvidSP), three other databases, and grey literature from inception to 30 July 2020. Selection criteria We included randomised controlled trials (RCTs), quasiÃƒÂ¢Ã¢â€šÂ¬Ã‚ÂRCTs, clusterÃƒÂ¢Ã¢â€šÂ¬Ã‚ÂRCTs, controlled nonÃƒÂ¢Ã¢â€šÂ¬Ã‚Ârandomised parallel group, and beforeÃƒÂ¢Ã¢â€šÂ¬Ã‚Âafter studies evaluating communication aids used in adults with an artificial airway. Data collection and analysis We used standard methodological procedures recommended by Cochrane. Two review authors independently performed data extraction and assessment of risk of bias. Main results We included 11 studies (1931 participants) conducted in intensive care units (ICUs). Eight evaluated nonÃƒÂ¢Ã¢â€šÂ¬Ã‚Âvocal communication aids and three voiceÃƒÂ¢Ã¢â€šÂ¬Ã‚Âenabling aids. Usual care was the comparator for all. For six studies, this comprised no aid; usual care in the remaining five studies comprised use of various communication aids. Overall, our confidence in results regarding effectiveness of communication interventions was very low due to imprecision, measurement heterogeneity, inconsistency in results, and most studies at high or unclear risk of bias across multiple domains. No nonÃƒÂ¢Ã¢â€šÂ¬Ã‚Âvocal aid studies reported our primary outcome. We are uncertain of the effects of early use of a voiceÃƒÂ¢Ã¢â€šÂ¬Ã‚Âenabling aid compared to routine use on ability to phonate at least one intelligible word (risk ratio (RR) 3.03, 95% confidence interval (CI) 0.18 to 50.08; 2 studies; very lowÃƒÂ¢Ã¢â€šÂ¬Ã‚Âcertainty evidence). Compared to usual care without aids, we are uncertain about effects of a nonÃƒÂ¢Ã¢â€šÂ¬Ã‚Âvocal aid (communication board) on patient satisfaction (standardised mean difference (SMD) 2.92, 95% CI 1.52 to 4.33; 4 studies; very lowÃƒÂ¢Ã¢â€šÂ¬Ã‚Âcertainty evidence). No studies of nonÃƒÂ¢Ã¢â€šÂ¬Ã‚Âvocal aids reported quality of life. LowÃƒÂ¢Ã¢â€šÂ¬Ã‚Âcertainty evidence from two studies suggests early use of a voiceÃƒÂ¢Ã¢â€šÂ¬Ã‚Âenabling aid may have no effect on quality of life (MD 2.27, 95% CI ÃƒÂ¢Ã¢â€šÂ¬Ã¢â‚¬Å“7.21 to 11.75). Conceptual differences in measures of psychological distress precluded data pooling; however, intervention arm participants reported less distress suggesting there might be benefit, but our certainty in the evidence is very low. LowÃƒÂ¢Ã¢â€šÂ¬Ã‚Âcertainty evidence suggest voiceÃƒÂ¢Ã¢â€šÂ¬Ã‚Âenabling aids have little or no effect on ICU length of stay; we were unable to determine effects of nonÃƒÂ¢Ã¢â€šÂ¬Ã‚Âvocal aids. Three studies reported different adverse events (physical restraint use, bleeding following tracheostomy, and respiratory parameters indicating respiratory decompensation). Adverse event rates were similar between arms in all three studies. However, uncertainty remains as to any harm associated with communication aids. Authors' conclusions Due to a lack of highÃƒÂ¢Ã¢â€šÂ¬Ã‚Âquality studies, imprecision, inconsistency of results, and measurement heterogeneity, the evidence provides insufficient information to guide practice as to which communication aid is more appropriate and when to use them. Understanding effectiveness of communication aids would benefit from development of a core outcome measurement set. Plain language summary Strategies to help adults with a breathing tube to communicate What is the issue? Patients needing a machine to support breathin cannot speak due to a tube delivering gas to the lungs bypassing their voice box. Patients mouth words, gesture, and use facial expressions. However, these are very difficult to understand. Weakened muscles and difficulty concentrating, which are common in critical illness, makes using aids such as writing equipment or communication boards difficult. Consistent evidence on which communication aids are effective is lacking. Why is this important? Difficulty communicating places people at increased risk of harm, causes distress to patients and family, and causes stress for healthcare staff. What evidence did we find? We searched for studies (to 30 July 2020) exploring aids used to help people with a breathing tube to communicate. We found 11 studies involving 1931 participants admitted to intensive care units. We also looked for studies involving people needing a breathing tube and living at home or in longÃƒÂ¢Ã¢â€šÂ¬Ã‚Âterm care, but found none. Eight studies used communication boards or apps. Three studies used aids that help a patient to speak with the breathing tube in place. All studies compared the communication aid to routine communication practices. For six studies, routine practice did not include use of any type of communication aid. For the remaining five studies, usual care comprised a range of communication aids routinely used in the participating intensive care units including a communication board, paper notepad, and routine timing of the use of speech aids. We are unsure about whether the early use of aids to help with speaking may increase the number of people who can say words that can be understood or shorten the time to be able to speak. The evidence was of very low quality. Similarly, compared to routine care in which an aid is not used, we are uncertain about the effects of communication boards on patient satisfaction. We are not sure about the effect on psychological distress and quality of life due to uncertainty in the evidence. Communication aids that help people to speak may have little or no effect on intensive care unit length of stay (lowÃƒÂ¢Ã¢â€šÂ¬Ã‚Âquality evidence). We are uncertain of possible harms with use of communication aids as only three studies reported this, and all measured different adverse events, and two were very small studies. What does this mean? We are unsure whether using speaking aids in intensive care might increase the number of people who can say words that can be understood. Use of communication boards may increase patient satisfaction, but we are not sure of these findings because of very lowÃƒÂ¢Ã¢â€šÂ¬Ã‚Âquality evidence. This means further studies are likely to change our understanding of the effects of communication aids. More studies are needed to understand the effects of communication aids, particularly effects on psychological wellÃƒÂ¢Ã¢â€šÂ¬Ã‚Âbeing and people's ability to communicate.</t>
  </si>
  <si>
    <t>J2905</t>
  </si>
  <si>
    <t>Posterior musculofascial reconstruction in roboticÃƒÂ¢Ã¢â€šÂ¬Ã‚Âassisted laparoscopic prostatectomy for the treatment of clinically localized prostate cancer</t>
  </si>
  <si>
    <t>- Background Delayed recovery of urinary continence is a major adverse effect of roboticÃƒÂ¢Ã¢â€šÂ¬Ã‚Âassisted laparoscopic prostatectomy (RALP) in men undergoing prostate cancer treatment. To address this issue, a number of surgical techniques have been designed to reconstruct the posterior aspect of the rhabdosphincter, which is responsible for urinary continence after removal of the prostate; however, it is unclear how well they work. Objectives To assess the effects of posterior musculofascial reconstruction RALP compared to no posterior reconstruction during RALP for the treatment of clinically localized prostate cancer. Search methods We performed a comprehensive search of the Cochrane Library, MEDLINE, Embase, three other databases, trials registries, other sources of the grey literature, and conference proceedings, up to 12 March 2021. We applied no restrictions on publication language or status. Selection criteria We included randomized controlled trials (RCTs) in which participants were randomized to undergo variations of posterior musculofascial reconstruction RALP versus no posterior reconstruction during RALP for clinically localized prostate cancer. Data collection and analysis Two review authors independently classified studies and abstracted data from the included studies. Primary outcomes were: urinary continence recovery within one week after catheter removal, at three months after surgery, and serious adverse events. Secondary outcomes were: urinary continence recovery at six and twelve months after surgery, potency recovery twelve months after surgery, positive surgical margins (PSM), and biochemical recurrenceÃƒÂ¢Ã¢â€šÂ¬Ã‚Âfree survival (BCRFS). We performed statistical analyses using a randomÃƒÂ¢Ã¢â€šÂ¬Ã‚Âeffects model. We rated the certainty of evidence (CoE) according to the GRADE approach. Main results Our search identified 13 records of eight unique RCTs, of which six were published studies and two were abstract proceedings. We included 1085 randomized participants, of whom 963 completed the trials (88.8%). All participants had either cT1c or cT2 or cT3a disease, with a mean prostateÃƒÂ¢Ã¢â€šÂ¬Ã‚Âspecific antigen level of 8.15 ng/mL. Primary outcomes Posterior reconstruction RALP (PRÃƒÂ¢Ã¢â€šÂ¬Ã‚ÂRALP) may improve urinary continence one week after catheter removal compared to no posterior reconstruction during RALP (risk ratio (RR) 1.25, 95% confidence interval (CI) 0.90 to 1.73; I 2 = 42%; studies = 5, participants = 498; low CoE) although the CI also includes the possibility of no effect. Assuming 335 per 1000 men undergoing standard RALP are continent at this time point, this corresponds to 84 more men per 1000 (33 fewer to 244 more) reporting urinary continence recovery. Posterior reconstruction may have little to no effect on urinary continence three months after surgery compared to no posterior reconstruction during RALP (RR 0.98, 95% CI 0.84 to 1.14; I 2 = 67%; studies = 6, participants = 842; low CoE). Assuming 701 per 1000 men undergoing standard RALP are continent at this time point, this corresponds to 14 fewer men per 1000 (112 fewer to 98 more) reporting urinary continence after three months. PRÃƒÂ¢Ã¢â€šÂ¬Ã‚ÂRALP probably results in little to no difference in serious adverse events compared to no posterior reconstruction during RALP (RR 0.75, 95% CI 0.29 to 1.92; I 2 = 0%; studies = 6, participants = 835; moderate CoE). Assuming 25 per 1000 men undergoing standard RALP experience a serious adverse event at this time point, this corresponds to six fewer men per 1000 (17 fewer to 23 more) reporting serious adverse events. Secondary outcomes PRÃƒÂ¢Ã¢â€šÂ¬Ã‚ÂRALP may result in little to no difference in recovery of continence 12 months after surgery compared to no posterior reconstruction during RALP (RR 1.02, 95% CI 0.98 to 1.07; I 2 = 25%; studies = 3, participants = 602; low CoE). Assuming 918 per 1000 men undergoing standard RALP are continent at this time point, this corresponds to 18 more men per 1000 (18 fewer to 64 more) reporting urinary continence recovery. We are very uncertain about the effects of PRÃƒÂ¢Ã¢â€šÂ¬Ã‚ÂRALP on recovery of pote cy 12 months after surgery compared to no posterior reconstruction during RALP (RR 1.02, 95% CI 0.82 to 1.26; I 2 = 3%; studies = 2, participants = 308; very low CoE). Assuming 433 per 1000 men undergoing standard RALP are potent at this time point, this corresponds to nine more men per 1000 (78 fewer to 113 more) reporting potency recovery. PRÃƒÂ¢Ã¢â€šÂ¬Ã‚ÂRALP may result in little to no difference in positive surgical margins compared to no posterior reconstruction during RALP (RR 1.24, 95% CI 0.65 to 2.33; I 2 = 50%; studies = 3, participants = 517; low CoE). Assuming 130 per 1000 men undergoing standard RALP have a positive surgical margin, this corresponds to 31 more men per 1000 (46 fewer to 173 more) reporting positive surgical margins. PRÃƒÂ¢Ã¢â€šÂ¬Ã‚ÂRALP may result in little to no difference in biochemical recurrence compared to no posterior reconstruction during RALP (RR 1.36, 95% CI 0.74 to 2.52; I 2 = 0%; studies = 2, participants = 468; low CoE). Assuming 70 per 1000 men undergoing standard RALP have experienced biochemical recurrence at this time point, this corresponds to 25 more men per 1000 (18 fewer to 107 more) reporting biochemical recurrence. Authors' conclusions This review found evidence that PRÃƒÂ¢Ã¢â€šÂ¬Ã‚ÂRALP may improve early continence one week after catheter removal but not thereafter. Meanwhile, adverse event rates are probably not impacted and surgical margins rates are likely similar. This review was unable to determine if or how these findings may be impacted by the person's age, nerveÃƒÂ¢Ã¢â€šÂ¬Ã‚Âsparing status, or clinical stage. Study limitations, imprecision, and inconsistency lowered the certainty of evidence for the outcomes assessed. Plain language summary Should we perform posterior reconstruction RALP or standard RALP for clinically localized prostate cancer? Review question In men with prostate cancer who are having their prostate removed using surgery assisted by a robotic device (called roboticÃƒÂ¢Ã¢â€šÂ¬Ã‚Âassisted laparoscopic prostatectomy, or RALP), how does connecting the tissue behind the urethra (soÃƒÂ¢Ã¢â€šÂ¬Ã‚Âcalled posterior reconstruction) compare to surgery where these connections are not made (standard RALP)? Background Urologists often use a robot to remove the prostate in men with prostate cancer. After surgery, most men leak urine for some time. This problem is called incontinence and usually improves six to 12 months after surgery in most men. However, it can be very bothersome during this time. Study characteristics We included eight studies in which chance determined whether men had posterior reconstruction RALP or standard RALP. These studies included 1085 men with an average age ranging from 60 to 67 years. The average prostateÃƒÂ¢Ã¢â€šÂ¬Ã‚Âspecific antigen (PSA) level in the men was 8.15 ng/mL. Higher levels of PSA may indicate worse prostate cancer. Key results We found that posterior reconstruction RALP may result in better continence one week after the catheter comes out compared to standard RALP (although it is also possible that it is no better), but it may make little to no difference at either three or 12 months after surgery. Posterior reconstruction RALP probably results in little to no difference in serious unwanted effects compared with the standard way of doing the surgery. There may also be little to no difference in positive surgical margins, meaning the risk of there being cancer cells right at the cut edge of the prostate when viewed under the microscope. There may also be no difference between the two techniques in terms of the risk of a PSA level that goes up within 12 months of surgery, which often signals that there is cancer left behind. We are very uncertain how posterior reconstruction RALP effects the ability to achieve an erection, compared to standard RALP. Certainty of the evidence The certainty of the evidence ranged from moderate to very low depending on the outcome, meaning that we have moderate to very little confidence in the results.</t>
  </si>
  <si>
    <t>J2906</t>
  </si>
  <si>
    <t>A review of emergency models of care for cancer patients</t>
  </si>
  <si>
    <t>Introduction Emergency departments (ED) are considered sub-optimal to satisfy the needs of cancer patients. Various international groups have developed strategies to improve the acute attention of cancer patients. This study aims to review the existing evidence on the effectivity of various innovative models of care for cancer emergency attention. Methods Literature review of seven databases during the period 2000-2019, including articles published in English and Spanish. Results A total of 10 articles were included: four descriptive studies, three quasi-experimental studies, two retrospective studies, and a qualitative study. They described new strategies in common ED clinical pathways or the creation of specialized units for the attention of cancer emergencies. The authors report reductions in the number of admissions, length of hospital stay and, furthermore, cost reductions. A previous triage and telephone attention service is considered key to increase the efficiency of the interventions. The authors reflect the importance of multidisciplinary attention, early integration of palliative care, and effective coordination with community services. Conclusions Enhancing the care of cancer patients who require emergency attention is possible through the creation of specific pathways or dedicated units staffed with professionals who are knowledgeable about cancer complications and treatment secondary effects. Specialized emergency cancer units seem to be a feasible and safe alternative to EDs, preventing overcrowding in the ED and avoiding unnecessary hospital admissions.</t>
  </si>
  <si>
    <t>J2907</t>
  </si>
  <si>
    <t>A Decision Analysis Evaluating Screening for Kidney Cancer Using Focused Renal Ultrasound</t>
  </si>
  <si>
    <t>Background: Screening for renal cell carcinoma (RCC) has been identified as a key research priority; however, no randomised control trials have been performed. Value of information analysis can determine whether further research on this topic is of value. Objective(s): To determine (1) whether current evidence suggests that screening is potentially cost-effective and, if so, (2) in which age/sex groups, (3) identify evidence gaps, and (4) estimate the value of further research to close those gaps. Design, setting, and participants: A decision model was developed evaluating screening in asymptomatic individuals in the UK. A National Health Service perspective was adopted. Intervention(s): A single focused renal ultrasound scan compared with standard of care (no screening). Outcome measurements and statistical analysis: Expected lifetime costs, quality-adjusted life years (QALYs), and incremental cost-effectiveness ratio (ICER), discounted at 3.5% per annum. Results and limitations: Given a prevalence of RCC of 0.34% (0.18-0.54%), screening 60-yr-old men resulted in an ICER of 18 092/QALY (22 843/QALY). Given a prevalence of RCC of 0.16% (0.08-0.25%), screening 60-yr-old women resulted in an ICER of 37 327/QALY (47 129/QALY). In the one-way sensitivity analysis, the ICER was &lt;30 000/QALY as long as the prevalence of RCC was &gt;=0.25% for men and &gt;=0.2% for women at age 60 yr. Given the willingness to pay a threshold of 30 000/QALY (37 878/QALY), the population-expected values of perfect information were 194 million (244 million) and 97 million (123 million) for 60-yr-old men and women, respectively. The expected value of perfect parameter information suggests that the prevalence of RCC and stage shift associated with screening are key research priorities. Conclusion(s): Current evidence suggests that one-off screening of 60-yr-old men is potentially cost-effective and that further research into this topic would be of value to society. Patient Summary: Economic modelling suggests that screening 60-yr-old men for kidney cancer using ultrasound may be a good use of resources and that further research on this topic should be performed. Copyright Ãƒâ€šÃ‚Â© 2019 European Association of Urology</t>
  </si>
  <si>
    <t>Focus on early detection and prevention of kidney cancer.</t>
  </si>
  <si>
    <t>J6200</t>
  </si>
  <si>
    <t>High-flow nasal cannula therapy versus continuous positive airway pressure for non-invasive respiratory support in paediatric critical care: the FIRST-ABC RCTs</t>
  </si>
  <si>
    <t>&lt;b&gt;Background&lt;/b&gt;: Despite the increasing use of non-invasive respiratory support in paediatric intensive care units, there are no large randomised controlled trials comparing two commonly used non-invasive respiratory support modes, continuous positive airway pressure and high-flow nasal cannula therapy._x000D_
&lt;b&gt;Objective&lt;/b&gt;: To evaluate the non-inferiority of high-flow nasal cannula, compared with continuous positive airway pressure, when used as the first-line mode of non-invasive respiratory support in acutely ill children and following extubation, on time to liberation from respiratory support, defined as the start of a 48-hour period during which the child was free of respiratory support (non-invasive and invasive)._x000D_
&lt;b&gt;Design&lt;/b&gt;: A master protocol comprising two pragmatic, multicentre, parallel-group, non-inferiority randomised controlled trials (step-up and step-down) with shared infrastructure, including internal pilot and integrated health economic evaluation._x000D_
&lt;b&gt;Setting&lt;/b&gt;: Twenty-five National Health Service paediatric critical care units (paediatric intensive care units and/or high-dependency units) across England, Wales and Scotland._x000D_
&lt;b&gt;Participants&lt;/b&gt;: Critically ill children assessed by the treating clinician to require non-invasive respiratory support for (1) acute illness (step-up randomised controlled trial) or (2) within 72 hours of extubation (step-down randomised controlled trial)._x000D_
&lt;b&gt;Interventions&lt;/b&gt;: High-flow nasal cannula delivered at a flow rate based on patient weight (Intervention) compared to continuous positive airway pressure of 7-8 cm H&lt;sub&gt;2&lt;/sub&gt;O pressure (Control)._x000D_
&lt;b&gt;Main outcome measures&lt;/b&gt;: The primary clinical outcome was time to liberation from respiratory support. The primary cost-effectiveness outcome was 180-day incremental net monetary benefit. Secondary outcomes included mortality at paediatric intensive care unit/high-dependency unit discharge, day 60 and day 180; (re)intubation rate at 48 hours; duration of paediatric intensive care unit/high-dependency unit and hospital stay; patient comfort; sedation use; parental stress; and health-related quality of life at 180 days._x000D_
&lt;b&gt;Results&lt;/b&gt;: In the step-up randomised controlled trial, out of 600 children randomised, 573 were included in the primary analysis (median age 9 months). Median time to liberation was 52.9 hours for high-flow nasal cannula (95% confidence interval 46.0 to 60.9 hours) and 47.9 hours (95% confidence interval 40.5 to 55.7 hours) for continuous positive airway pressure (adjusted hazard ratio 1.03, one-sided 97.5% confidence interval 0.86 to ). The high-flow nasal cannula group had lower use of sedation (27.7% vs. 37%) and mean duration of acute hospital stay (13.8 days vs. 19.5 days). In the step-down randomised controlled trial, of the 600 children randomised, 553 were included in the primary analysis (median age 3 months). Median time to liberation for high-flow nasal cannula was 50.5 hours (95% confidence interval, 43.0 to 67.9) versus 42.9 hours (95% confidence interval 30.5 to 48.2) for continuous positive airway pressure (adjusted hazard ratio 0.83, one-sided 97.5% confidence interval 0.70 to ). Mortality at day 180 was significantly higher for high-flow nasal cannula [5.6% vs. 2.4% for continuous positive airway pressure, adjusted odds ratio, 3.07 (95% confidence interval, 1.1 to 8.8)]._x000D_
&lt;b&gt;Limitations&lt;/b&gt;: The interventions were unblinded. A heterogeneous cohort of children with a range of diagnoses and severity of illness were included._x000D_
&lt;b&gt;Conclusions&lt;/b&gt;: Among acutely ill children requiring non-invasive respiratory support, high-flow nasal cannula met the criterion for non-inferiority compared with continuous positive airway pressure for time to liberation from respiratory support whereas in critically ill children requiring non-invasive respiratory support following extubation, the non-inferiority of high-flow nasal cannula could not be demonstrated._x000D_
&lt;b&gt;Future work&lt;/b&gt;: (1) Identify risk factors for treatment failure. (2) Compare protocolised approaches to post-extubation non-invasive respiratory support, with standard care. (3) Explore alternative approaches for evaluating heterogeneity of treatment effect. (4) Explore reasons for increased mortality in high-flow nasal cannula group within step-down randomised controlled trial._x000D_
&lt;b&gt;Study registration&lt;/b&gt;: Current Controlled Trials ISRCTN60048867._x000D_
&lt;b&gt;Funding&lt;/b&gt;: This award was funded by the National Institute for Health and Care Research (NIHR) Health Technology Assessment programme (NIHR award ref: 17/94/28) and is published in full in Health Technology Assessment; Vol. 29, No. 9. See the NIHR Funding and Awards website for further award information.</t>
  </si>
  <si>
    <t>J6201</t>
  </si>
  <si>
    <t>Background: Despite the increasing use of non-invasive respiratory support in paediatric intensive care units, there are no large randomised controlled trials comparing two commonly used non-invasive respiratory support modes, continuous positive airway pressure and high-flow nasal cannula therapy. Objective(s): To evaluate the non-inferiority of high-flow nasal cannula, compared with continuous positive airway pressure, when used as the first-line mode of non-invasive respiratory support in acutely ill children and following extubation, on time to liberation from respiratory support, defined as the start of a 48-hour period during which the child was free of respiratory support (non-invasive and invasive). Design(s): A master protocol comprising two pragmatic, multicentre, parallel-group, non-inferiority randomised controlled trials (step-up and step-down) with shared infrastructure, including internal pilot and integrated health economic evaluation. Setting(s): Twenty-five National Health Service paediatric critical care units (paediatric intensive care units and/or high-dependency units) across England, Wales and Scotland. Participant(s): Critically ill children assessed by the treating clinician to require non-invasive respiratory support for (1) acute illness (step-up randomised controlled trial) or (2) within 72 hours of extubation (step-down randomised controlled trial). Intervention(s): High-flow nasal cannula delivered at a flow rate based on patient weight (Intervention) compared to continuous positive airway pressure of 7-8 cm H&lt;inf&gt;2&lt;/inf&gt; O pressure (Control). Main Outcome Measure(s): The primary clinical outcome was time to liberation from respiratory support. The primary cost-effectiveness outcome was 180-day incremental net monetary benefit. Secondary outcomes included mortality at paediatric intensive care unit/high-dependency unit discharge, day 60 and day 180; (re)intubation rate at 48 hours; duration of paediatric intensive care unit/high-dependency unit and hospital stay; patient comfort; sedation use; parental stress; and health-related quality of life at 180 days. Result(s): In the step-up randomised controlled trial, out of 600 children randomised, 573 were included in the primary analysis (median age 9 months). Median time to liberation was 52.9 hours for high-flow nasal cannula (95% confidence interval 46.0 to 60.9 hours) and 47.9 hours (95% confidence interval 40.5 to 55.7 hours) for continuous positive airway pressure (adjusted hazard ratio 1.03, one-sided 97.5% confidence interval 0.86 to ). The high-flow nasal cannula group had lower use of sedation (27.7% vs. 37%) and mean duration of acute hospital stay (13.8 days vs. 19.5 days). In the step-down randomised controlled trial, of the 600 children randomised, 553 were included in the primary analysis (median age 3 months). Median time to liberation for high-flow nasal cannula was 50.5 hours (95% confidence interval, 43.0 to 67.9) versus 42.9 hours (95% confidence interval 30.5 to 48.2) for continuous positive airway pressure (adjusted hazard ratio 0.83, one-sided 97.5% confidence interval 0.70 to ). Mortality at day 180 was significantly higher for high-flow nasal cannula [5.6% vs. 2.4% for continuous positive airway pressure, adjusted odds ratio, 3.07 (95% confidence interval, 1.1 to 8.8)]. Limitation(s): The interventions were unblinded. A heterogeneous cohort of children with a range of diagnoses and severity of illness were included. Conclusion(s): Among acutely ill children requiring non-invasive respiratory support, high-flow nasal cannula met the criterion for non-inferiority compared with continuous positive airway pressure for time to liberation from respiratory support whereas in critically ill children requiring non-invasive respiratory support following extubation, the non-inferiority of high-flow nasal cannula could not be demonstrated. Future work: (1) Identify risk factors for treatment failure. (2) Compare protocolised approaches to post-extubation non-invasive respiratory support, with standard care. (3) Explore alternative approaches for evaluating heterogeneity of treatment effect. (4) Explore reasons for increased mortality in high-flow nasal cannula group within step-down randomised controlled trial. Study registration: Current Controlled Trials ISRCTN60048867. Funding(s): This award was funded by the National Institute for Health and Care Research (NIHR) Health Technology Assessment programme (NIHR award ref: 17/94/28) and is published in full in Health Technology Assessment; Vol. 29, No. 9. See the NIHR Funding and Awards website for further award information. Copyright t Ãƒâ€šÃ‚Â© 2025 Ramnarayan et al.</t>
  </si>
  <si>
    <t>J6206</t>
  </si>
  <si>
    <t>NonÃƒÂ¢Ã¢â€šÂ¬Ã‚Âpharmacological and nonÃƒÂ¢Ã¢â€šÂ¬Ã‚Âsurgical treatments for low back pain in adults: an overview of Cochrane reviews</t>
  </si>
  <si>
    <t>- Background Low back pain (LBP) is a significant public health issue due to its high prevalence and associated disability burden. Clinical practice guidelines recommend nonÃƒÂ¢Ã¢â€šÂ¬Ã‚Âpharmacological/nonÃƒÂ¢Ã¢â€šÂ¬Ã‚Âsurgical interventions for managing pain and function in people with LBP. Objectives To provide accessible, highÃƒÂ¢Ã¢â€šÂ¬Ã‚Âquality evidence on the effects of nonÃƒÂ¢Ã¢â€šÂ¬Ã‚Âpharmacological and nonÃƒÂ¢Ã¢â€šÂ¬Ã‚Âsurgical interventions for people with LBP and to highlight areas of remaining uncertainty and gaps in the evidence regarding the effects of these interventions for people with LBP. Methods We searched the Cochrane Database of Systematic Reviews from inception to 15 April 2023, to identify Cochrane reviews of randomised controlled trials testing the effect of nonÃƒÂ¢Ã¢â€šÂ¬Ã‚Âpharmacological/nonÃƒÂ¢Ã¢â€šÂ¬Ã‚Âsurgical interventions, unrestricted by language. Major outcomes were pain intensity, function and safety. Two authors independently assessed eligibility, extracted data and assessed the quality of the reviews using AMSTAR 2 (A MeaSurement Tool to Assess Systematic Reviews) and the certainty of the evidence using GRADE. The primary comparison was placebo/sham. Main results We included 31 Cochrane reviews of 644 trials that randomised 97,183 adults with LBP. We have high confidence in the findings of 19 reviews, moderate confidence in the findings of two reviews, and low confidence in the findings of 10 reviews. We present results for nonÃƒÂ¢Ã¢â€šÂ¬Ã‚Âpharmacological/nonÃƒÂ¢Ã¢â€šÂ¬Ã‚Âsurgical interventions compared to placebo/sham or no treatment/usual care at shortÃƒÂ¢Ã¢â€šÂ¬Ã‚Âterm (ÃƒÂ¢Ã¢â‚¬Â°Ã‚Â¤ three months) followÃƒÂ¢Ã¢â€šÂ¬Ã‚Âup. Placebo/sham comparisons Acute/subacute LBP Compared to placebo, there is probably no difference in function (at oneÃƒÂ¢Ã¢â€šÂ¬Ã‚Âweek followÃƒÂ¢Ã¢â€šÂ¬Ã‚Âup) for spinal manipulation (standardised mean difference (SMD) ÃƒÂ¢Ã¢â€šÂ¬Ã‚Â0.08, 95% confidence interval (CI) ÃƒÂ¢Ã¢â€šÂ¬Ã‚Â0.37 to 0.21; 2 trials, 205 participants; moderateÃƒÂ¢Ã¢â€šÂ¬Ã‚Âcertainty evidence). Data for safety were reported only for heated back wrap. Compared to placebo, heated back wrap may result in skin pinkness (6/128 participants versus 1/130; 2 trials; lowÃƒÂ¢Ã¢â€šÂ¬Ã‚Âcertainty evidence). Chronic LBP Compared to sham acupuncture, acupuncture probably provides a small improvement in function (SMD ÃƒÂ¢Ã¢â€šÂ¬Ã‚Â0.38, 95% CI ÃƒÂ¢Ã¢â€šÂ¬Ã‚Â0.69 to ÃƒÂ¢Ã¢â€šÂ¬Ã‚Â0.07; 3 trials, 957 participants; moderateÃƒÂ¢Ã¢â€šÂ¬Ã‚Âcertainty evidence). Compared to sham traction, there is probably no difference in pain intensity for traction (0 to 100 scale, mean difference (MD) ÃƒÂ¢Ã¢â€šÂ¬Ã‚Â4, 95% CI ÃƒÂ¢Ã¢â€šÂ¬Ã‚Â17.7 to 9.7; 1 trial, 60 participants; moderateÃƒÂ¢Ã¢â€šÂ¬Ã‚Âcertainty evidence). Data for safety were reported only for acupuncture. There may be no difference between acupuncture and sham acupuncture for safety outcomes (risk ratio (RR) 0.68, 95% CI 0.42 to 1.10; I 2 = 0%; 4 trials, 465 participants; lowÃƒÂ¢Ã¢â€šÂ¬Ã‚Âcertainty evidence). No treatment/usual care comparisons Acute/subacute LBP Compared to advice to rest, advice to stay active probably provides a small reduction in pain intensity (SMD ÃƒÂ¢Ã¢â€šÂ¬Ã‚Â0.22, 95% CI ÃƒÂ¢Ã¢â€šÂ¬Ã‚Â0.02 to ÃƒÂ¢Ã¢â€šÂ¬Ã‚Â0.41; 2 trials, 401 participants; moderateÃƒÂ¢Ã¢â€šÂ¬Ã‚Âcertainty evidence). Compared to advice to rest, advice to stay active probably provides a small improvement in function (SMD ÃƒÂ¢Ã¢â€šÂ¬Ã‚Â0.29, 95% CI ÃƒÂ¢Ã¢â€šÂ¬Ã‚Â0.09 to ÃƒÂ¢Ã¢â€šÂ¬Ã‚Â0.49; 2 trials, 400 participants; moderateÃƒÂ¢Ã¢â€šÂ¬Ã‚Âcertainty evidence). Data for safety were reported only for massage. There may be no difference between massage and usual care for safety (risk difference 0, 95% CI ÃƒÂ¢Ã¢â€šÂ¬Ã‚Â0.07 to 0.07; 1 trial, 51 participants; lowÃƒÂ¢Ã¢â€šÂ¬Ã‚Âcertainty evidence). Chronic LBP Compared to no treatment, acupuncture probably provides a medium reduction in pain intensity (0 to 100 scale, mean difference (MD) ÃƒÂ¢Ã¢â€šÂ¬Ã‚Â10.1, 95% CI ÃƒÂ¢Ã¢â€šÂ¬Ã‚Â16.8 to ÃƒÂ¢Ã¢â€šÂ¬Ã‚Â3.4; 3 trials, 144 participants; moderateÃƒÂ¢Ã¢â€šÂ¬Ã‚Âcertainty evidence), and a small improvement in function (SMD ÃƒÂ¢Ã¢â€šÂ¬Ã‚Â0.39, 95% CI ÃƒÂ¢Ã¢â€šÂ¬Ã‚Â0.72 to ÃƒÂ¢Ã¢â€šÂ¬Ã‚Â0.06; 3 trials, 144 participants; moderateÃƒÂ¢Ã¢â€šÂ¬Ã‚Âcertainty evidence). Compared to usual care, acupuncture probably provides a small improvement in function (MD 9.4, 95% CI 6.15 to 12.65; 1 trial, 734 participants; moderateÃƒÂ¢Ã¢â€šÂ¬Ã‚Âcertainty evidence). Compared to no treatment/usual care, exercise therapies probably provide a small to medium reduction in pain intens ty (0 to 100 scale, MD ÃƒÂ¢Ã¢â€šÂ¬Ã‚Â15.2, 95% CI ÃƒÂ¢Ã¢â€šÂ¬Ã‚Â18.3 to ÃƒÂ¢Ã¢â€šÂ¬Ã‚Â12.2; 35 trials, 2746 participants; moderateÃƒÂ¢Ã¢â€šÂ¬Ã‚Âcertainty evidence), and probably provide a small improvement in function (0 to 100 scale, MD ÃƒÂ¢Ã¢â€šÂ¬Ã‚Â6.8, 95% CI ÃƒÂ¢Ã¢â€šÂ¬Ã‚Â8.3 to ÃƒÂ¢Ã¢â€šÂ¬Ã‚Â5.3; 38 trials, 2942 participants; moderateÃƒÂ¢Ã¢â€šÂ¬Ã‚Âcertainty evidence). Compared to usual care, multidisciplinary therapies probably provide a medium reduction in pain intensity (SMD ÃƒÂ¢Ã¢â€šÂ¬Ã‚Â0.55, 95% CI ÃƒÂ¢Ã¢â€šÂ¬Ã‚Â0.83 to ÃƒÂ¢Ã¢â€šÂ¬Ã‚Â0.28; 9 trials, 879 participants; moderateÃƒÂ¢Ã¢â€šÂ¬Ã‚Âcertainty evidence), and probably provide a small improvement in function (SMD ÃƒÂ¢Ã¢â€šÂ¬Ã‚Â0.41, 95% CI ÃƒÂ¢Ã¢â€šÂ¬Ã‚Â0.62 to ÃƒÂ¢Ã¢â€šÂ¬Ã‚Â0.19; 9 trials, 939 participants; moderateÃƒÂ¢Ã¢â€šÂ¬Ã‚Âcertainty evidence). Compared to no treatment, psychological therapies using operant approaches probably provide a small reduction in pain intensity (SMD ÃƒÂ¢Ã¢â€šÂ¬Ã‚Â0.43, 95% CI ÃƒÂ¢Ã¢â€šÂ¬Ã‚Â0.75 to ÃƒÂ¢Ã¢â€šÂ¬Ã‚Â0.11; 3 trials, 153 participants; moderateÃƒÂ¢Ã¢â€šÂ¬Ã‚Âcertainty evidence). Compared to usual care, psychological therapies (including progressive muscle relaxation and behavioural approaches) probably provide a small reduction in pain intensity (0 to 100 scale, MD ÃƒÂ¢Ã¢â€šÂ¬Ã‚Â5.18, 95% CI ÃƒÂ¢Ã¢â€šÂ¬Ã‚Â9.79 to ÃƒÂ¢Ã¢â€šÂ¬Ã‚Â0.57; 2 trials, 330 participants; moderateÃƒÂ¢Ã¢â€šÂ¬Ã‚Âcertainty evidence), but there is probably no difference in function (SMD ÃƒÂ¢Ã¢â€šÂ¬Ã‚Â0.2, 95% CI ÃƒÂ¢Ã¢â€šÂ¬Ã‚Â0.41 to 0.02; 2 trials, 330 participants; moderateÃƒÂ¢Ã¢â€šÂ¬Ã‚Âcertainty evidence). It is uncertain whether there is a difference between nonÃƒÂ¢Ã¢â€šÂ¬Ã‚Âpharmacological/nonÃƒÂ¢Ã¢â€šÂ¬Ã‚Âsurgical interventions and no treatment/usual care for safety (very lowÃƒÂ¢Ã¢â€šÂ¬Ã‚Âcertainty evidence). Authors' conclusions Spinal manipulation probably makes no difference to function compared to placebo for people with acute/subacute LBP. Acupuncture probably improves function slightly for people with chronic LBP, compared to sham acupuncture. There is probably no difference between traction and sham traction for pain intensity in people with chronic LBP. Compared to advice to rest, advice to stay active probably reduces pain intensity slightly and improves function slightly for people with acute LBP. Acupuncture probably reduces pain intensity, and improves function slightly for people with chronic LBP, compared to no treatment. Acupuncture probably improves function slightly for people with chronic LBP, compared to usual care. Exercise therapies probably reduce pain intensity, and improve function slightly for people with chronic LBP, compared to no treatment/usual care. Multidisciplinary therapies probably reduce pain intensity, and improve function slightly for people with chronic LBP, compared to usual care. Compared to usual care, psychological therapies probably reduce pain intensity slightly, but probably make no difference to function for people with chronic LBP. Plain language summary What are the likely benefits and harms of nonÃƒÂ¢Ã¢â€šÂ¬Ã‚Âmedicine and nonÃƒÂ¢Ã¢â€šÂ¬Ã‚Âsurgical treatments for nonÃƒÂ¢Ã¢â€šÂ¬Ã‚Âspecific low back pain? Key messages For acute low back pain (pain lasting less than 6 weeks) ÃƒÂ¢Ã¢â€šÂ¬Ã‚Â¢ Advice to stay active probably reduces pain and improves function compared to advice to rest in bed. For subacute low back pain (pain lasting from 6 to 12 weeks) ÃƒÂ¢Ã¢â€šÂ¬Ã‚Â¢ Multidisciplinary therapies probably reduce pain compared to usual care.ÃƒÂ¢Ã¢â€šÂ¬Ã‚Â¨ÃƒÂ¢Ã¢â€šÂ¬Ã‚Â¢ Spinal manipulation probably does not improve function compared to placebo (a 'sham' or 'dummy' treatment designed to resemble the actual treatment but lacking active ingredients or the intended therapeutic effect). For chronic low back pain (pain lasting longer than 12 weeks) ÃƒÂ¢Ã¢â€šÂ¬Ã‚Â¢ Acupuncture probably reduces pain and improves function compared to placebo and no treatment/usual care.ÃƒÂ¢Ã¢â€šÂ¬Ã‚Â¨ÃƒÂ¢Ã¢â€šÂ¬Ã‚Â¢ Exercise therapies probably reduce pain and improve function compared to placebo and no treatment/usual care.ÃƒÂ¢Ã¢â€šÂ¬Ã‚Â¨ÃƒÂ¢Ã¢â€šÂ¬Ã‚Â¢ Traction probably does not reduce pain compared to sham traction.ÃƒÂ¢Ã¢â€šÂ¬Ã‚Â¨ÃƒÂ¢Ã¢â€šÂ¬Ã‚Â¢ Multidisciplinary therapy probably reduces pain and improves function compared to usual care.ÃƒÂ¢Ã¢â€šÂ¬Ã‚Â¨ÃƒÂ¢Ã¢â€šÂ¬Ã‚Â¢ Psychological therapies probably reduce pain but make no difference to function compared to usual care. What is low back pain, and how is it treated? Low back pain is a common health condition that can be associated with disability and poor quality of life. For most cases f low back pain, the cause of pain is unknown and is described as ÃƒÂ¢Ã¢â€šÂ¬Ã‹Å“nonÃƒÂ¢Ã¢â€šÂ¬Ã‚ÂspecificÃƒÂ¢Ã¢â€šÂ¬Ã¢â€žÂ¢ low back pain. Many types of nonÃƒÂ¢Ã¢â€šÂ¬Ã‚Âmedicine and nonÃƒÂ¢Ã¢â€šÂ¬Ã‚Âsurgical treatments are available for people with low back pain of different durations: acute (pain lasting less than 6 weeks), subacute (pain lasting from 6 to 12 weeks) and chronic (pain lasting longer than 12 weeks). There is a need to provide accessible, highÃƒÂ¢Ã¢â€šÂ¬Ã‚Âquality information on the benefits and safety of nonÃƒÂ¢Ã¢â€šÂ¬Ã‚Âdrug and nonÃƒÂ¢Ã¢â€šÂ¬Ã‚Âsurgical treatments for healthcare professionals and patients to better manage low back pain. What did we want to find out? We wanted to summarise the evidence from Cochrane reviews on the effectiveness and safety of nonÃƒÂ¢Ã¢â€šÂ¬Ã‚Âmedicine and nonÃƒÂ¢Ã¢â€šÂ¬Ã‚Âsurgical treatments for adults with nonÃƒÂ¢Ã¢â€šÂ¬Ã‚Âspecific low back pain. What did we do? ÃƒÂ¢Ã¢â€šÂ¬Ã‚Â¨We found 31 reviews that included 644 studies with 97,183 participants. The studies investigated the effects of 27 different types of treatment for low back pain. What did we find? For people with acute/subacute low back pain, we found that advice to stay active probably reduces pain in the short term (i.e. up to 3 months) compared to advice to rest in bed. We found that multidisciplinary therapies probably reduce pain in the long term (i.e. at 12 months or longer). Spinal manipulation probably does not improve function in the short term. For people with chronic low back pain, we found that acupuncture, exercise, and psychological therapies probably reduce pain in the short and medium term (i.e. from 3 to 12 months). Acupuncture and exercise probably also improve function in the short and medium term. Multidisciplinary therapies probably reduce pain and improve function in the short and medium term. Traction probably does not reduce pain in the short term. We have less confidence in the effects of other nonÃƒÂ¢Ã¢â€šÂ¬Ã‚Âmedicine and nonÃƒÂ¢Ã¢â€šÂ¬Ã‚Âsurgical interventions for low back pain. NonÃƒÂ¢Ã¢â€šÂ¬Ã‚Âmedicine and nonÃƒÂ¢Ã¢â€šÂ¬Ã‚Âsurgical interventions may not be associated with serious adverse (i.e. unwanted, harmful) events. What are the limitations of the evidence? We have reduced confidence in the evidence because we judged that 38% of the reviews did not employ the most rigorous methods available. Almost threeÃƒÂ¢Ã¢â€šÂ¬Ã‚Âquarters of the reviews were published before 2020, meaning that the evidence they contain may be relatively dated. There is a need to update some Cochrane reviews following recommended guidance. Because of the quality of the evidence, we are still uncertain about the benefits or risks of many nonÃƒÂ¢Ã¢â€šÂ¬Ã‚Âmedicine and nonÃƒÂ¢Ã¢â€šÂ¬Ã‚Âsurgical treatments commonly used in clinical practice for low back pain. We encourage healthcare professionals, patients, and organisations that fund research on low back pain to use this overview to make informed decisions for low back pain treatment. How current is this evidence? This overview is current to April 2023. However, oneÃƒÂ¢Ã¢â€šÂ¬Ã‚Âthird (10 of 31) of the reviews are more than 15 years old, meaning the evidence they contain is even more dated.</t>
  </si>
  <si>
    <t>J6209</t>
  </si>
  <si>
    <t>Tranexamic acid for preventing postpartum haemorrhage after vaginal birth</t>
  </si>
  <si>
    <t>- Rationale Postpartum haemorrhage (PPH) is common and potentially lifeÃƒÂ¢Ã¢â€šÂ¬Ã‚Âthreatening. The antifibrinolytic drug tranexamic acid (TXA) is thought to be effective for treating PPH. There is growing interest in whether TXA is effective for preventing PPH after vaginal birth. In randomised controlled trials (RCTs), TXA has been associated with increased risk of seizures and unexplained increased mortality when given more than three hours after traumatic bleeding. Reliable evidence on the effects, costÃƒÂ¢Ã¢â€šÂ¬Ã‚Âeffectiveness and safety of prophylactic TXA is required before considering widespread use. This review updates one published in 2015. Objectives To assess the effects of TXA for preventing PPH compared to placebo or no treatment (with or without uterotonic coÃƒÂ¢Ã¢â€šÂ¬Ã‚Âtreatment) in women following vaginal birth. Search methods We searched MEDLINE, Embase, CENTRAL, and WHO ICTRP (to 6 September 2024). We also searched reference lists of retrieved studies. Eligibility criteria We included RCTs evaluating TXA alone or in addition to standard care (uterotonics) for preventing PPH following vaginal birth. For this update, we required trials to be prospectively registered (before participant recruitment), and we applied a trustworthiness checklist. Outcomes Critical outcomes were blood loss ÃƒÂ¢Ã¢â‚¬Â°Ã‚Â¥ 500 mL and blood loss ÃƒÂ¢Ã¢â‚¬Â°Ã‚Â¥ 1000 mL. Important outcomes included maternal death, severe morbidity, blood transfusion, receipt of additional surgical interventions to control PPH, thromboembolic events, receipt of additional uterotonics, hysterectomy, and maternal satisfaction. Risk of bias We used the Cochrane risk of bias tool (RoB 1) to assess the risk of bias in the studies. Synthesis methods Two review authors independently selected trials, extracted data, assessed risk of bias, and assessed trial trustworthiness. We used randomÃƒÂ¢Ã¢â€šÂ¬Ã‚Âeffects metaÃƒÂ¢Ã¢â€šÂ¬Ã‚Âanalysis to combine data. We assessed the certainty of the evidence using GRADE. Included studies We included three RCTs with 18,974 participants in total. The trials were conducted in both highÃƒÂ¢Ã¢â€šÂ¬Ã‚Â and lowÃƒÂ¢Ã¢â€šÂ¬Ã‚Âresource settings and involved participants at both low and high risk of PPH. The trials compared intravenous TXA (1 g) and standard care versus placebo (saline) and standard care. After applying our trustworthiness checklist, we did not include any of the 12 trials in the previous version of this review. Synthesis of results Prophylactic tranexamic acid in addition to standard care compared to placebo in addition to standard care TXA results in little to no difference in blood loss ÃƒÂ¢Ã¢â‚¬Â°Ã‚Â¥ 500 mL (risk ratio (RR) 0.93, 95% confidence interval (CI) 0.81 to 1.06; 2 studies, 18,897 participants; 5 fewer per 1000, 95% CI 15 fewer to 5 more; highÃƒÂ¢Ã¢â€šÂ¬Ã‚Âcertainty evidence). TXA likely results in little to no difference in blood loss ÃƒÂ¢Ã¢â‚¬Â°Ã‚Â¥ 1000 mL (RR 0.86, 95% CI 0.69 to 1.07; 2 studies, 18,897 participants; 3 fewer per 1000, 95% CI 6 fewer to 1 more; moderateÃƒÂ¢Ã¢â€šÂ¬Ã‚Âcertainty evidence). TXA likely results in little to no difference in severe morbidity (RR 0.88, 95% CI 0.69 to 1.12; 1 study, 15,066 participants; 2 fewer per 1000, 95% CI 6 fewer to 2 more; moderateÃƒÂ¢Ã¢â€šÂ¬Ã‚Âcertainty evidence). TXA results in little to no difference in receipt of blood transfusion (RR 1.00, 95% CI 0.95 to 1.06; 3 studies, 18,972 participants; 0 fewer per 1000, 95% CI 10 fewer to 12 more; highÃƒÂ¢Ã¢â€šÂ¬Ã‚Âcertainty evidence). TXA may result in little to no difference in receipt of additional surgical interventions to control PPH (RR 0.63, 95% CI 0.32 to 1.23; 2 studies, 18,972 participants; 1 fewer per 1000, 95% CI 2 fewer to 1 more; lowÃƒÂ¢Ã¢â€šÂ¬Ã‚Âcertainty evidence). In women with anaemia, TXA results in little to no difference in receipt of additional uterotonics (RR 1.02, 95% CI 0.94 to 1.10; 1 study, 15,066 participants; 3 more women per 1000, 95% CI 8 fewer to 24 more; highÃƒÂ¢Ã¢â€šÂ¬Ã‚Âcertainty evidence). In women with no anaemia, TXA results in a slight reduction in receipt of additional uterotonics (RR 0.75, 95% CI 0.61 to 0.92; 1 study, 3891 participants; 24 fewer women per 1000, 95% CI 38 fewer to 8 fewer; highÃƒÂ¢Ã¢â€šÂ¬Ã‚Âcertainty evidence). TXA likely r sults in little to no difference in maternal satisfaction. The evidence is very uncertain about the effect of TXA on maternal death, thromboembolic events, and hysterectomy (very lowÃƒÂ¢Ã¢â€šÂ¬Ã‚Âcertainty evidence): maternal death (RR 0.99, 95% CI 0.39 to 2.49; 2 studies, 15,081 participants; 0 fewer per 1000, 95% CI 1 fewer to 2 more); thromboembolic events (RR 0.25, 95% CI 0.03 to 2.24; 3 studies, 18,774 participants; 3 fewer women per 10,000, 95% CI 4 fewer to 5 more); hysterectomy (RR 0.89, 95% CI 0.36 to 2.19; 1 study, 15,066 participants; 1 fewer women per 10,000, 95% CI 9 fewer to 16 more). Authors' conclusions Adding prophylactic TXA to standard care of women during vaginal birth makes little to no difference to blood loss ÃƒÂ¢Ã¢â‚¬Â°Ã‚Â¥ 500 mL and likely makes little to no difference to blood loss ÃƒÂ¢Ã¢â‚¬Â°Ã‚Â¥ 1000 mL or the risk of severe morbidity, compared to placebo and standard care. TXA may result in little to no difference in additional surgical interventions to control PPH and results in little to no difference in blood transfusions. One trial found that TXA reduced the use of additional uterotonics in women without anaemia, whereas the largest trial found little to no difference in the use of additional uterotonics in women with anaemia. Although there were very few serious adverse events reported, the evidence is insufficient to draw conclusions about the effect of TXA on maternal death, thromboembolic events, hysterectomy, or seizures. TXA likely results in little to no difference in maternal satisfaction. These findings are based mainly on two large trials. In the smaller of these, less than 30% of study participants were at high risk of PPH. In the largest trial, all participants had moderate to severe anaemia. Those making decisions about routine administration of prophylactic TXA for all women having vaginal births should consider that current evidence does not show a benefit of TXA for blood loss outcomes and related morbidity, and the evidence is very uncertain about serious adverse events. Funding This review was partially funded by the World Health Organization (WHO). Registration Protocol (2009) DOI: 10.1002/14651858.CD007872ÃƒÂ¢Ã¢â€šÂ¬Ã‚Â¨Original review (2010) DOI: 10.1002/14651858.CD007872.pub2ÃƒÂ¢Ã¢â€šÂ¬Ã‚Â¨Review update (2015) DOI: 10.1002/14651858.CD007872.pub3 Plain language summary What are the benefits and risks of tranexamic acid for preventing heavy bleeding after vaginal birth? Key messages Tranexamic acid given as a preventive treatment makes little to no difference to heavy bleeding after vaginal birth. We are uncertain about whether there are any harmful effects from tranexamic acid. What is the issue? Postpartum haemorrhage, which is heavy bleeding after giving birth, is a common and potentially lifeÃƒÂ¢Ã¢â€šÂ¬Ã‚Âthreatening complication of birthing a child. Most women receive drugs (called uterotonics) that stimulate the womb to contract after a normal (vaginal) delivery to prevent postpartum haemorrhage. Tranexamic acid (TXA) is a medication that is used to decrease blood loss in surgery and health conditions associated with increased bleeding. It works by helping to prevent the breakdown of blood clots. If a woman is bleeding heavily after birth, it decreases blood loss. We do not know if TXA can help prevent heavy bleeding after vaginal birth. What did we want to find out? We wanted to know whether fewer women have heavy bleeding after a vaginal birth if they receive TXA, with or without additional uterotonics, during vaginal birth. We also wanted to find out if taking TXA during vaginal birth was associated with any harmful effects. What did we do? We searched for and selected all the studies that addressed our question. We used a checklist to make sure we only included studies with information we could verify. We made judgements about the quality of the studies before comparing and summarising the results of the studies. Lastly, we rated our confidence in the findings. Why is this important? It is important to determine whether TXA is effective in preventing heavy bleeding after birth when given to women during vaginal birth. If there is a benefit, it could help women around the world and even play a role in reducing the number of women who die after giving birth. How up to date is this evidence? We searched for all available evidence up to 6 September 2024. What evidence did we find? We identified three studies that investigated the effects of preventive TXA. The three studies involved a total of 18,974 participants at low or high risk of heavy bleeding. Participants were given either intravenous (into a vein) TXA plus standard care or placebo (saline) injection plus standard care. We found that preventive TXA results in little to no difference in heavy bleeding after birth. We are very uncertain about the effect of TXA on maternal death. TXA likely makes no difference to the risk of women developing serious illness. We found that TXA has no effect on the likelihood of receiving a blood transfusion. TXA may result in no difference in the need for further surgical intervention after giving birth. We are very uncertain about the effect of TXA on blood clots. In women with anaemia, TXA makes no difference to the need for additional drugs to help the womb contract, but in women with no anaemia, there was a slight reduction in this outcome. We are very uncertain about the effect of TXA on hysterectomy (an operation to remove the womb). There does not seem to be a difference in maternal satisfaction. What are the limitations of the evidence? The studies included women in both highÃƒÂ¢Ã¢â€šÂ¬Ã‚Â and lowÃƒÂ¢Ã¢â€šÂ¬Ã‚Âresource settings. Few women experienced harmful effects. However, we cannot be certain that this is indeed the case in the real world. What does this mean? We found no difference in the number of women experiencing heavy bleeding after birth after they were given TXA preventatively during vaginal birth, and we are very uncertain about the effect of TXA on blood clots and other serious side effects. As these are harmful effects, clinicians should take into account the lack of benefit and the potential harms when considering giving routine TXA to women during vaginal birth. Further research should focus on other interventions that may help to prevent heavy bleeding after vaginal birth.</t>
  </si>
  <si>
    <t>J6211</t>
  </si>
  <si>
    <t>Clinical pathways for secondary care and the effects on professional practice, patient outcomes, length of stay and hospital costs</t>
  </si>
  <si>
    <t>- Background Clinical pathways (CPWs) are structured multidisciplinary care plans. They aim to translate evidence into practice and optimize clinical outcomes. This is the first update of the previous systematic review ( Rotter 2010 ). Objectives To investigate the effect of CPWs on patient outcomes, length of stay, costs and charges, adherence to recommended practice, and to measure the impact of different approaches to implementation of CPWs. Search methods For this update, CENTRAL, MEDLINE, and Embase were searched on 25 July 2024. Two trial registries were searched on 26 July 2024, along with reference checking, citation searching and contacting authors to identify additional studies. Selection criteria We considered two groups of participants: health professionals involved in CPW utilization, including (but not limited to) physicians, nurses, physiotherapists, pharmacists, occupational therapists and social workers; and patients managed using a CPW. We included randomized trials, nonÃƒÂ¢Ã¢â€šÂ¬Ã‚Ârandomized trials, controlled beforeÃƒÂ¢Ã¢â€šÂ¬Ã‚Âafter (CBA) studies, and interrupted timeÃƒÂ¢Ã¢â€šÂ¬Ã‚Âseries (ITS) studies comparing (1) standÃƒÂ¢Ã¢â€šÂ¬Ã‚Âalone clinical pathways with usual care, and (2) clinical pathways as part of a multifaceted intervention with usual care. Data collection and analysis Two authors independently screened all titles, abstracts and fullÃƒÂ¢Ã¢â€šÂ¬Ã‚Âtext manuscripts to assess eligibility and the methodological quality of included studies using the Cochrane Effective Practice and Organization of Care 'Risk of Bias' tool. Certainty of evidence was assessed by two authors independently. Interventions were scored as 'high', 'moderate' or 'low' for the evidenceÃƒÂ¢Ã¢â€šÂ¬Ã‚Âbased implementation process. Main results The update provided 31 additional studies for a total of 58 included studies (24,841 patients and 2027 healthcare professionals). FortyÃƒÂ¢Ã¢â€šÂ¬Ã‚Âone (71%) were randomized trials, four (7%) nonÃƒÂ¢Ã¢â€šÂ¬Ã‚Ârandomized trials, four (7%) CBA studies and nine (16%) ITS studies. FortyÃƒÂ¢Ã¢â€šÂ¬Ã‚Ânine studies compared standÃƒÂ¢Ã¢â€šÂ¬Ã‚Âalone CPWs to usual care and nine compared multifaceted interventions including a CPW to usual care. Collectively, the risk of bias was high due to potential contamination by healthcare professionals, lack of blinding of patients and personnel, lack of allocation concealment and selective reporting in ITS studies. StandÃƒÂ¢Ã¢â€šÂ¬Ã‚Âalone clinical pathway interventions It is uncertain whether standÃƒÂ¢Ã¢â€šÂ¬Ã‚Âalone CPWs reduce inhospital mortality (13% v 16%: OR 0.79, 95% CI 0.53 to 1.20; P = 0.27; IÃƒâ€šÃ‚Â² = 65%; 7 randomized trials; n = 4603; lowÃƒÂ¢Ã¢â€šÂ¬Ã‚Âcertainty evidence due to serious imprecision and inconsistency) or mortality (up to 6 months) (4% v 3%: OR 1.37, 95% CI 0.72 to 2.60; P = 0.34; IÃƒâ€šÃ‚Â² = 20%; 3 randomized trials, n = 805; lowÃƒÂ¢Ã¢â€šÂ¬Ã‚Âcertainty evidence due to serious risk of bias and imprecision). StandÃƒÂ¢Ã¢â€šÂ¬Ã‚Âalone CPWs likely reduce inhospital complications (10% v 17%: OR 0.57, 95% CI 0.41 to 0.80; P = 0.001; IÃƒâ€šÃ‚Â² = 52%; 11 randomized trials, n = 3668; moderateÃƒÂ¢Ã¢â€šÂ¬Ã‚Âcertainty evidence due to serious risk of bias). It is very uncertain whether standÃƒÂ¢Ã¢â€šÂ¬Ã‚Âalone CPWs reduce hospital readmissions (up to 6 months) (9% v 13%: OR 0.67, 95% CI 0.44 to 1.03; P = 0.07; IÃƒâ€šÃ‚Â² = 11%; 9 randomized trials, n = 1578; very lowÃƒÂ¢Ã¢â€šÂ¬Ã‚Âcertainty evidence due to serious risk of bias and very serious imprecision). StandÃƒÂ¢Ã¢â€šÂ¬Ã‚Âalone CPWs likely reduce the length of hospital stay compared to usual care (MD ÃƒÂ¢Ã¢â€šÂ¬Ã‚Â1.12 days, 95% CI ÃƒÂ¢Ã¢â€šÂ¬Ã‚Â1.60 to ÃƒÂ¢Ã¢â€šÂ¬Ã‚Â0.65; P &lt; 0.00001; IÃƒâ€šÃ‚Â² = 64%; 21 studies; n = 5201; moderateÃƒÂ¢Ã¢â€šÂ¬Ã‚Âcertainty evidence due to serious inconsistency). Costs and charges were generally lower in CPWs as indicated by negative MDs in nine studies (10 studies, n = 2113, data not pooled; very lowÃƒÂ¢Ã¢â€šÂ¬Ã‚Âcertainty evidence due to serious indirectness and very serious inconsistency). StandÃƒÂ¢Ã¢â€šÂ¬Ã‚Âalone CPWs may slightly increase adherence to recommended practice compared with usual care (3 randomized studies, n = 573; data not pooled; lowÃƒÂ¢Ã¢â€šÂ¬Ã‚Âcertainty evidence due to serious risk of bias and serious inconsistency). Multifaceted clinical pathway interventions It is uncertain whether multifaceted CPWs reduce inhospital mor ality (2 randomized studies, n = 6304, data not pooled; lowÃƒÂ¢Ã¢â€šÂ¬Ã‚Âcertainty evidence due to very serious inconsistency). Multifaceted CPWs may make little or no difference to mortality (up to 6 months) (9% v 8%: OR 1.05, 95% CI 0.88 to 1.25; P = 0.61; IÃƒâ€šÃ‚Â² = 0%; 3 randomized studies; n = 6531; lowÃƒÂ¢Ã¢â€šÂ¬Ã‚Âcertainty evidence due to serious imprecision and serious risk of bias). It is uncertain whether multifaceted CPWs reduce inhospital complications (9% v 23%: OR 0.32, 95% CI 0.12 to 0.87; 1 study, n = 140; lowÃƒÂ¢Ã¢â€šÂ¬Ã‚Âcertainty evidence due to very serious imprecision). It is uncertain whether multifaceted CPWs reduce hospital readmission (up to 6 months) (2 randomized studies, n =1569, data not pooled; lowÃƒÂ¢Ã¢â€šÂ¬Ã‚Âcertainty evidence due to very serious inconsistency), or length of stay (4 randomized studies, n = 1936, data not pooled; lowÃƒÂ¢Ã¢â€šÂ¬Ã‚Âcertainty evidence due to very serious inconsistency), or hospital costs and charges (4 randomized studies, n = 2015, data not pooled; very lowÃƒÂ¢Ã¢â€šÂ¬Ã‚Âcertainty evidence due to very serious imprecision and serious indirectness in outcome measures). It is uncertain whether multifaceted CPWs increase adherence to recommended practice (2 randomized studies, n = 6304, data not pooled, lowÃƒÂ¢Ã¢â€šÂ¬Ã‚Âcertainty evidence due to very serious inconsistency). Key study characteristics The highest proportion of included studies were from the USA (36%), followed by Australia (10%), China (10%), Japan (5%), the UK (5%), Canada (5%), Italy (5%), and Germany (5%). More than half of the included studies tested CPW in general acute wards (53%), followed by emergency departments (17%), intensive care (14%), and extendedÃƒÂ¢Ã¢â€šÂ¬Ã‚Âstay facilities (10%). The most common clinical conditions were asthma (16%), stroke (10%), mechanical ventilation (9%) and myocardial infarction (7%). Authors' conclusions StandÃƒÂ¢Ã¢â€šÂ¬Ã‚Âalone CPWs are likely to reduce inhospital complications and length of hospital stay and may slightly increase adherence to recommended practice. There was little conclusive evidence for multifaceted CPWs due to mixed results from a limited number of included studies. It is uncertain whether standÃƒÂ¢Ã¢â€šÂ¬Ã‚Âalone CPWs or CPWs, as part of a multifaceted approach, reduce inhospital mortality, mortality (up to 6 months), hospital readmission (up to 6 months) or costs and charges. Plain language summary Effects of clinical pathways in hospitals on patient outcomes, length of hospital stay, hospital costs and charges, and adherence to recommended practice. What is the aim of this review? Clinical pathways (CPW) are documentÃƒÂ¢Ã¢â€šÂ¬Ã‚Âbased tools that provide a link between the best available evidence and clinical practice. They provide recommendations, processes and time frames for the management of specific medical conditions or interventions. This review update aimed to summarize the evidence and assess the effect of clinical pathways on patient outcomes (inhospital mortality, mortality (up to 6 months), inhospital complications, and hospital readmissions (up to 6 months)), length of hospital stay, hospital costs and charges, and professional practice (i.e. healthcare professionals adhering to recommended practice), compared to hospital care as usual. Also, we identified and compared different implementation strategies. We included patients in hospitals that were treated according to (1) the recommendations of a CPW, or (2) a CPW that has been implemented together with other interventions, such as a case manager or quality improvement initiatives. We analyzed 58 studies (24,841 patients and 2027 healthcare professionals), of which 27 were included in a previously published review (Rotter 2010) and 31 were retrieved for this update. This is the first update of the previous review. Key messages CPWs might have the potential to improve patient outcomes, and they may reduce length of hospital stay, hospital costs, and improve adherence to recommended practice. But we still need more highÃƒÂ¢Ã¢â€šÂ¬Ã‚Âquality studies that report on implementation strategies used during the pathway development and implementation. What was studied in the review? DecisionÃƒÂ¢Ã¢â€šÂ¬Ã‚Âmaking in hospitals h s evolved from being opinionÃƒÂ¢Ã¢â€šÂ¬Ã‚Âbased to being based on sound scientific evidence (i.e. evidenceÃƒÂ¢Ã¢â€šÂ¬Ã‚Âbased practice). Hospitals incorporate evidence into clinical pathways for health professionals to follow. They have been implemented worldwide but the evidence about their impact from single trials is contradictory. Perpetual publication of new evidence combined with the demands of everyday practice makes it difficult for health professionals to keep up to date. Included study designs were individual and clusterÃƒÂ¢Ã¢â€šÂ¬Ã‚Ârandomized studies, nonÃƒÂ¢Ã¢â€šÂ¬Ã‚Ârandomized studies, controlled beforeÃƒÂ¢Ã¢â€šÂ¬Ã‚Âafter studies (CBA), and interrupted timeÃƒÂ¢Ã¢â€šÂ¬Ã‚Âseries studies (ITS). In individual randomized trials, study participants were allocated to the CPW or usual care group by chance, called random allocation. ClusterÃƒÂ¢Ã¢â€šÂ¬Ã‚Ârandomized trials divided all study participants into smaller groups known as clusters. These clusters were then allocated by chance to the CPW or usual care group. For nonÃƒÂ¢Ã¢â€šÂ¬Ã‚Ârandomized trials, participants were allocated to different groups by investigators in a quasiÃƒÂ¢Ã¢â€šÂ¬Ã‚Ârandom fashion. QuasiÃƒÂ¢Ã¢â€šÂ¬Ã‚Ârandom allocation means that study participants were allocated to the CPW or usual care group based on criteria such as their date of birth or the day of the week. CBA studies are experimental studies without a random or quasiÃƒÂ¢Ã¢â€šÂ¬Ã‚Ârandom allocation process. Data are collected from the CPW and usual care group before the CPW was implemented, and then further data were collected after the CPW was introduced. ITS studies represent a robust method of measuring the effect of a CPW as a trend over time. All included studies tested the impact of clinical pathways used in hospitals on one or more of the prespecified outcomes: inhospital mortality, mortality (up to 6 months), inhospital complications, hospital readmissions (up to 6 months), length of hospital stay, hospital costs and charges, and adherence to recommended practice. Studies focused on the change in outcome measures following the implementation of a standÃƒÂ¢Ã¢â€šÂ¬Ã‚Âalone clinical pathway or a multifaceted clinical pathway combined with other interventions compared to usual care. What are the main results of the review? We found 58 studies that measured the effects of clinical pathways on included outcomes. The main results are that, compared to usual care, it is uncertain if the implementation of a standÃƒÂ¢Ã¢â€šÂ¬Ã‚Âalone clinical pathway has any effect on inÃƒÂ¢Ã¢â€šÂ¬Ã‚Âhospital mortality and mortality (up to 6 months) (low certainty). StandÃƒÂ¢Ã¢â€šÂ¬Ã‚Âalone CPWs are likely to reduce inhospital complications (moderate certainty) but it is very uncertain if they make any difference to hospital readmissions (up to 6 months) (very low certainty). StandÃƒÂ¢Ã¢â€šÂ¬Ã‚Âalone CPWs are likely to reduce length of hospital stay (moderate certainty). Costs and charges were generally lower in CPWs in nine out of ten studies included in this comparison (very low certainty). StandÃƒÂ¢Ã¢â€šÂ¬Ã‚Âalone CPWs may also slightly increase adherence to recommended practice (low certainty). For multifaceted clinical pathways compared to usual care, it is uncertain whether there is a reduction in inhospital mortality (low certainty) and they may make little or no difference to mortality (up to 6 months) (low certainty). It is uncertain whether CPWs that have been combined with other interventions reduce inhospital complications (low certainty) or hospital readmissions (up to 6 months) (low certainty). It is also uncertain if they reduce length of hospital stay (low certainty), hospital costs and charges (very low certainty), and adherence to recommended practice (low certainty), compared to usual care. How upÃƒÂ¢Ã¢â€šÂ¬Ã‚ÂtoÃƒÂ¢Ã¢â€šÂ¬Ã‚Âdate is this review? This review update searched for new studies up to July 26, 2024.</t>
  </si>
  <si>
    <t>Focuses on hospital-based clinical pathways, not NHS shifts.</t>
  </si>
  <si>
    <t>J6212</t>
  </si>
  <si>
    <t>Cost-effectiveness of BOOST online intervention for supported self-management of pain, fatigue and bowel incontinence in Inflammatory Bowel Disease</t>
  </si>
  <si>
    <t>Background: People with IBD often experience symptoms of abdominal pain, fatigue and bowel incontinence that affect substantially their daily lives1 . IBD-BOOST is the first randomised controlled trial (RCT) assessing the effectiveness of an online self-management intervention, BOOST, in managing these symptoms in IBD2 . We report the cost-effectiveness of BOOST intervention compared to care as usual for people with IBD. Method(s): A cost-utility analysis was conducted alongside the pragmatic IBD-BOOST RCT of 780 patients requesting help for pain, fatigue or incontinence symptoms (mean age 49 years, 67% women, 55% with Crohn's disease)3 . The BOOST intervention costs and costs from patient-reported health service use, out-of-pocket expenses and time off work were calculated for each participant over the 12 months of follow-up. Qualityadjusted life-years (QALYs) over the 12 months were evaluated using the EQ-5D-5L questionnaires administered to participants at baseline, 6- and 12-months. Missing data (13% at 6 months and 38% at 12 months across the trial arms) was imputed using multiple imputation. Differences in total costs and QALYs between study arms were estimated using mixed effects models adjusting for pre-specified baseline factors. Incremental cost effectiveness ratios (ICERs) and net monetary benefit from UK healthcare and societal perspectives are reported. Result(s): At recruitment, study participants reported quality of life (EQ-5D utility) of 0.73 (SD 0.22) and overall IBD-related costs of 2321 (SD 3170) over the previous 3 months with cost of biologics accounting for 47% of these costs, followed by hospital outpatient services (22%) and work productivity loss costs (14%) (Figure 1). After missing data imputation and controlling for covariates, the BOOST intervention (151 per participant) was estimated to have led to health care cost savings of 746 (SE 356), other costs savings of 89 (SE 236) and incremental QALYs of 0.017 (SE 0.007) over the one-year follow-up per participant resulting in cost savings per QALY gained of 34,599 from the health services perspective and 39,745 from the societal perspective. The probability that the BOOST intervention was cost effective when compared with usual care was above 98% for willingness-to-pay thresholds of 20,000 to 30,000 from both health services and societal perspectives (Figure 2). Conclusion(s): Our findings indicate that the BOOST intervention for supported self-management of symptoms of pain, fatigue and bowel incontinence in people with IBD is cost-effective. (Figure Presented).</t>
  </si>
  <si>
    <t>J6213</t>
  </si>
  <si>
    <t>Can home-exercise programmes delivered via a handout format result in sufficient adherence among patients with musculoskeletal conditions/injuries? A systematic review</t>
  </si>
  <si>
    <t>Purpose: Musculoskeletal (MSK) conditions and injuries are a leading cause of disability globally, with the prevalence continuing to rise due to an increasing ageing population. This consequently increases the demands placed on health services to manage widespread physical disability to support those affected. In the UK, the NHS spends approximately 5bn a year treating MSK conditions, accounting for one of the largest areas of NHS expenditure and the biggest areas of workload. Home exercise programmes (HEPs) are a key component of evidence-based management of MSK conditions. However, effectiveness of treatment relies on patient adherence to these exercise programmes with the wider literature suggesting non-adherence rates may be as high as 70%. Adherence to physiotherapy interventions proves to be a complex issue and the reasons for poor adherence are shown to be multi-faceted. An avenue of exploration is the method of HEP delivery, which traditionally has been by verbal instruction often with a paper handout, although the use of digitised methods (e.g. smartphone Apps) are becoming more popular. Therefore, the purpose of this review was to understand if sufficient HEP adherence can be achieved when delivered via a printed format compared to alternate methods or physiotherapy interventions, specifically among adults treated for a MSK condition/injury. Method(s): This systematic review conducted according to the Preferred Reporting Items for Systematic Reviews and Meta-Analyses (PRISMA) guidelines. Six databases were searched from inception to April 2024: CINAHL, MEDLINE, Academic Search Complete, SPORTDiscus, PsycINFO and PubMed. Randomised clinical trials comparing HEPs delivered via paper handout versus alternate delivery methods or physiotherapy interventions, and the effect on adherence rates, were included. Methodological quality and certainty of evidence were assessed by one reviewer using the Cochrane RoB2 tool and modified GRADE approach, respectively. Result(s): Fifteen studies were included for review, categorised based on the type of intervention compared to paper handout, e.g., smart-device Apps/other digitised methods, supervised exercise, SMS/phone reminders. The findings suggest that while the use of paper handouts is superior to verbal instruction alone, Apps with more extensive functionalities, such as, remote monitoring, self-recording abilities and reminder notifications may promote even greater HEP adherence rates. However, studies were either of 'some concern' or 'high' risk of bias, and the overall quality (certainty) of evidence was determined to be 'low', meaning the ability to draw firm conclusions and recommendations is limited. Conclusion(s): Apps may potentially facilitate better adherence rates, but further high-quality research is required to firmly recommend a HEP delivery method. Clinicians should tailor their approaches specific to patients' needs and profiles, gaining an understanding of their patients' previous experiences, expectations and self-efficacy. Impact: The project highlights the need for more high-quality research in this important area of exercise therapy adherence. Methods of improving the currently poor adherence rates need to be established. Cost-effectiveness of such methods should also be researched prior to any widespread implementation. Facilitating better patient adherence with home-exercise treatment can lead to improved patient outcomes and self-management, which in turn can reduce healthcare provider burden and expenditure. Funding acknowledgements: No funding required. Work not funded. Keywords: Home-exercise, Adherence, Musculoskeletal conditions Copyright Ãƒâ€šÃ‚Â© 2025</t>
  </si>
  <si>
    <t>Explores digital methods for improving adherence to home-exercise programmes.</t>
  </si>
  <si>
    <t>J6218</t>
  </si>
  <si>
    <t>Direct factor Xa inhibitors versus low molecular weight heparins or vitamin K antagonists for prevention of venous thromboembolism in elective primary hip or knee replacement or hip fracture repair</t>
  </si>
  <si>
    <t>- Background People undergoing major orthopaedic surgery are at increased risk of postoperative thromboembolic events. Low molecular weight heparins (LMWHs) are recommended for thromboprophylaxis in this population. New oral anticoagulants, including direct factor Xa inhibitors, are recommended as alternatives. They may have more advantages than disadvantages compared to LMWHs and vitamin K antagonists (VKAs, another type of anticoagulant). Objectives To assess the benefits and harms of prophylactic anticoagulation with direct factor Xa inhibitors compared with low molecular weight heparins and vitamin K antagonists in people undergoing major orthopaedic surgery for elective total hip or knee replacement or hip fracture surgery. Search methods We searched the Cochrane Vascular Specialised Register, CENTRAL, MEDLINE, Embase, two other databases, and two trial registers to 11 November 2023. We conducted reference checks to identify additional studies. Selection criteria We included randomised controlled trials (RCTs) comparing the effects of direct factor Xa inhibitors to LMWHs or VKAs in people undergoing major orthopaedic surgery. Data collection and analysis We used standard Cochrane methods. Our primary outcomes were allÃƒÂ¢Ã¢â€šÂ¬Ã‚Âcause mortality, major venous thromboembolism (VTE), symptomatic VTE, major bleeding, and serious hepatic and nonÃƒÂ¢Ã¢â€šÂ¬Ã‚Âhepatic adverse events. We evaluated the risk of bias in the included studies using Cochrane's risk of bias 1 tool. We calculated estimates of treatment effects using risk ratios (RR) with 95% confidence intervals (CIs), and used GRADE criteria to assess the certainty of the evidence. Main results We included 53 RCTs (44,371 participants). Participants' average age was 64 years (range: 18 to 93 years). Only one RCT compared a VKA with direct factor Xa inhibitors. All 53 RCTs compared direct factor Xa inhibitors with LMWHs. TwentyÃƒÂ¢Ã¢â€šÂ¬Ã‚Âthree studies included participants undergoing total hip replacement; 21 studies, total knee replacement; and three studies included people having hip fracture surgery. The studies' average duration was approximately 42 days (range: two to 720 days). Compared to LMWHs, direct factor Xa inhibitors may have little to no effect on allÃƒÂ¢Ã¢â€šÂ¬Ã‚Âcause mortality, but the evidence is very uncertain (RR 0.83, 95% CI 0.52 to 1.31; I 2 = 0%; 28 studies, 29,698 participants; very lowÃƒÂ¢Ã¢â€šÂ¬Ã‚Âcertainty evidence). Direct factor Xa inhibitors may make little to no difference to major venous thromboembolic events compared to LMWHs, but the evidence is very uncertain (RR 0.51, 95% CI 0.37 to 0.71; absolute risk difference: 12 fewer major VTE events per 1000 participants, 95% CI 16 fewer to 7 fewer; I 2 = 48%; 28 studies, 24,574 participants; very lowÃƒÂ¢Ã¢â€šÂ¬Ã‚Âcertainty evidence). Compared to LMWHs, direct factor Xa inhibitors may reduce symptomatic VTE (RR 0.64, 95% CI 0.50 to 0.83; I 2 = 0%; 33 studies, 31,670 participants; lowÃƒÂ¢Ã¢â€šÂ¬Ã‚Âcertainty evidence). The absolute benefit of substituting factor Xa inhibitors for LMWHs may be between two and five fewer symptomatic VTE episodes per 1000 patients. In the metaÃƒÂ¢Ã¢â€šÂ¬Ã‚Âanalysis with all studies pooled, direct factor Xa inhibitors appeared to make little or no difference to major bleeding compared to LMWHs, but the evidence was very uncertain (RR 1.05, 95% CI 0.86 to 1.30; I 2 = 15%; 36 studies, 39,778 participants; very low certaintyÃƒÂ¢Ã¢â€šÂ¬Ã‚Âevidence). ÃƒÂ¢Ã¢â€šÂ¬Ã‚Â¨ÃƒÂ¢Ã¢â€šÂ¬Ã‚Â¢ In a subgroup analysis limited to studies comparing rivaroxaban to LMWHs, people given rivaroxaban may have had more major bleeding events (RR 1.94, 95% CI 1.26 to 2.98; I 2 = 0%; 17 studies, 17,630 participants; lowÃƒÂ¢Ã¢â€šÂ¬Ã‚Âcertainty evidence). The absolute risk of substituting rivaroxaban for LMWH may be between one and seven more major bleeding events per 1000 patients. ÃƒÂ¢Ã¢â€šÂ¬Ã‚Â¨ÃƒÂ¢Ã¢â€šÂ¬Ã‚Â¢ In a subgroup analysis limited to studies comparing direct factor Xa inhibitors other than rivaroxaban to LMWHs, people given these other direct factor Xa inhibitors may have had fewer major bleeding events, but the evidence was very uncertain (RR 0.80, 95% CI 0.63 to 1.02; absolute risk difference: 3 fewer major bl eding events per 1000 participants, 95% CI 5 fewer to 0 fewer; I 2 = 0%; 19 studies, 22,148 participants; very lowÃƒÂ¢Ã¢â€šÂ¬Ã‚Âcertainty evidence). Direct factor Xa inhibitors may make little to no difference in serious hepatic adverse events compared to LMWHs, but the evidence is very uncertain (RR 3.01, 95% CI 0.12 to 73.93; 2 studies, 3169 participants; very lowÃƒÂ¢Ã¢â€šÂ¬Ã‚Âcertainty evidence). Only two studies reported this outcome, with one death in the intervention group due to hepatitis reported in one study, and no events reported in the other study. People given direct factor Xa inhibitors may have a lower risk of serious nonÃƒÂ¢Ã¢â€šÂ¬Ã‚Âhepatic adverse events than those given LMWHs (RR 0.89, 95% CI 0.81 to 0.97; I 2 = 18%; 15 studies, 26,246 participants; lowÃƒÂ¢Ã¢â€šÂ¬Ã‚Âcertainty evidence). The absolute benefit of substituting factor Xa inhibitors for LMWH may be between three and 14 fewer serious nonÃƒÂ¢Ã¢â€šÂ¬Ã‚Âhepatic adverse events per 1000 patients. Only one study compared a direct factor Xa inhibitor with a VKA. It reported outcome data with imprecise results due to the small number of events. It showed no difference in the effects of the study drugs. Authors' conclusions Oral direct factor Xa inhibitors may have little to no effect on allÃƒÂ¢Ã¢â€šÂ¬Ã‚Âcause mortality, but the evidence is very uncertain. Oral direct factor Xa inhibitors may slightly reduce symptomatic VTE events when compared with LMWH. They may make little or no difference to major VTE events, but the evidence is very uncertain. In the evaluation of major bleeding, the evidence suggests rivaroxaban results in a slight increase in major bleeding events compared to LMWHs. The remaining oral direct factor Xa inhibitors may have little to no effect on major bleeding, but the evidence is very uncertain. Oral direct factor Xa inhibitors may reduce serious nonÃƒÂ¢Ã¢â€šÂ¬Ã‚Âhepatic adverse events slightly compared to LMWHs. They may have little to no effect on serious hepatic adverse events, but the evidence is very uncertain. Due to the high rates of missing participants and selective outcome reporting, the effect estimates may be biased. Plain language summary Direct factor Xa inhibitors or classic 'blood thinners': which leads to better outcomes for people undergoing major hip or knee surgery? Key messages ÃƒÂ¢Ã¢â€šÂ¬Ã‚Â¢ We do not know if classic anticoagulant medicines (commonly known as 'blood thinners') or newer bloodÃƒÂ¢Ã¢â€šÂ¬Ã‚Âthinning medicines called 'direct factor Xa inhibitors' (DFXa inhibitors) are better at preventing death or the development of blood clots in the deep veins of the legs or in the lungs of people who have had hip or knee replacement surgery. ÃƒÂ¢Ã¢â€šÂ¬Ã‚Â¢ Compared to classic anticoagulants, DFXa inhibitors may slightly reduce the number of people who experience blood clot symptoms (such as breathing difficulties or pain). One type of DFXa inhibitor, rivaroxaban, may slightly increase the number of people who have serious uncontrolled bleeding. Why are blood clots a concern for people having major hip or knee surgery? 'Venous thromboembolism' is when a blood clot forms in a vein, the vessels that carry blood back to the heart. Clots can narrow or block veins, leading to tissue damage, stroke, and death. People having hip or knee replacement surgery, or an operation to fix a broken hip, are at a higher risk of developing a blood clot. How can blood clots be prevented and treated? People undergoing major hip or knee surgery are typically given an anticoagulant medicine, commonly known as a 'blood thinner', to help prevent blood clots from forming. There are two main types of 'classic' anticoagulants: (1) low molecular weight heparins (LMWHs), which are injected with a needle at a fixed dose; and (2) vitamin K antagonists (VKAs), given by mouth in variable amounts. Newer anticoagulant medicines known as direct factor Xa inhibitors have been developed. They are given by mouth in fixed doses. Rivaroxaban and apixaban are types of DFXa inhibitors. What did we want to find out? We wanted to find out if DFXa inhibitors were better than classic anticoagulants at reducing the number of people who (1) died from any cause aft r major hip or knee surgery, and (2) developed blood clots or symptoms of blood clots (e.g. breathing difficulties and pain). We also wanted to find out if DFXa inhibitors were associated with any unwanted effects, including uncontrolled bleeding, serious liver disease, and other serious unwanted events. What did we do? We searched for studies that compared DFXa inhibitors with classic anticoagulants in people undergoing hip or knee surgery. We compared and summarised the results of the studies and rated our confidence in the evidence, based on factors such as study methods and sizes. What did we find? We found 53 studies that involved 44,371 adults who had hip or knee replacement surgery, and had a high risk of developing blood clots in their lungs, legs, or pelvis. They received anticoagulant treatment for 6 to 39 days, and followÃƒÂ¢Ã¢â€šÂ¬Ã‚Âup lasted for an average of 42 days. All 53 studies compared DFXa inhibitors with low molecular weight heparins (LMWHs). Just one study also investigated the VKA called warfarin. The biggest study involved 5407 participants, and the smallest study, 50 participants. They were conducted in countries unevenly distributed around the world; most were done in highÃƒÂ¢Ã¢â€šÂ¬Ã‚Âincome regions. Roughly oneÃƒÂ¢Ã¢â€šÂ¬Ã‚Âthird of participants (31%) were male. Participants' average age was 64 years. Pharmaceutical companies funded half of the studies (27 of 53). Main results Compared to LMWHs, we do not know if DFXa inhibitors reduce the number of people who:ÃƒÂ¢Ã¢â€šÂ¬Ã‚Â¨ÃƒÂ¢Ã¢â€šÂ¬Ã‚Â¢ die from any cause after surgery, orÃƒÂ¢Ã¢â€šÂ¬Ã‚Â¨ÃƒÂ¢Ã¢â€šÂ¬Ã‚Â¢ develop blood clots in the lungs or deep veins of the leg or pelvisÃƒÂ¢Ã¢â€šÂ¬Ã‚Â¨because the evidence is very uncertain. Compared to LMWHs, DFXa inhibitors may slightly reduce the number of people who have blood clot symptoms: between 2 and 5 fewer people out of every 1000 people given DFXa inhibitors would have blood clot symptoms compared to people given LMWHs. The DFXa inhibitor rivaroxaban may slightly increase the number of people who have major uncontrolled bleeding compared to LMWHs. Between 1 and 7 more people out of every 1000 people given rivaroxaban may have uncontrolled bleeding compared to those given LMWHs. The other DFXa inhibitors may have little to no effect on major bleeding, but the evidence is very uncertain. Compared to LMWHs, DFXa inhibitors may have little to no effect on serious unwanted events affecting the liver, but the evidence is very uncertain. They may slightly reduce other serious, nonÃƒÂ¢Ã¢â€šÂ¬Ã‚ÂliverÃƒÂ¢Ã¢â€šÂ¬Ã‚Ârelated events compared to LMWHs. Between 3 and 14 fewer people out of every 1000 people given DFXa inhibitors would have serious, nonÃƒÂ¢Ã¢â€šÂ¬Ã‚ÂliverÃƒÂ¢Ã¢â€šÂ¬Ã‚Ârelated events compared to people given LMWHs. We did not find enough studies investigating VKAs to help us answer our questions. What are the limitations of the evidence? We have little confidence in the evidence because people in some studies were aware of which treatment they were getting. Most studies did not have a complete set of results for all participants. There were insufficient studies to be certain about the results of some outcomes. How current is this evidence? The evidence is current to November 2023.</t>
  </si>
  <si>
    <t>Pharmacy‐based management for depression in adults</t>
  </si>
  <si>
    <t>- Background It is common for people not to take antidepressant medication as prescribed, with around 50% of people likely to prematurely discontinue taking their medication after six months. Community pharmacists may be well placed to have a role in antidepressant management because of their unique pharmacotherapeutic knowledge and ease of access for people. Pharmacists are in an ideal position to offer proactive interventions to people with depression or depressive symptoms. However, the effectiveness and acceptability of existing pharmacist‐based interventions is not yet well understood. The degree to which a pharmacy‐based management approach might be beneficial, acceptable to people, and effective as part of the overall management for those with depression is, to date, unclear. A systematic review of randomised controlled trials (RCTs) will help answer these questions and add important knowledge to the currently sparse evidence base. Objectives To examine the effects of pharmacy‐based management interventions compared with active control (e.g. patient information materials or any other active intervention delivered by someone other than the pharmacist or the pharmacy team), waiting list, or treatment as usual (e.g. standard pharmacist advice or antidepressant education, signposting to support available in primary care services, brief medication counselling, and/or (self‐)monitoring of medication adherence offered by a healthcare professional outside the pharmacy team) at improving depression outcomes in adults. Search methods We searched the Cochrane Common Mental Disorders Controlled Trials Register (CCMD‐CTR) to June 2016; the Cochrane Library (Issue 11, 2018); and Ovid MEDLINE, Embase, and PsycINFO to December 2018. We searched theses and dissertation databases and international trial registers for unpublished/ongoing trials. We applied no restrictions on date, language, or publication status to the searches. Selection criteria We included all RCTs and cluster‐RCTs where a pharmacy‐based intervention was compared with treatment as usual, waiting list, or an alternative intervention in the management of depression in adults over 16 years of age. Eligible studies had to report at least one of the following outcomes at any time point: depression symptom change, acceptability of the intervention, diagnosis of depression, non‐adherence to medication, frequency of primary care appointments, quality of life, social functioning, or adverse events. Data collection and analysis Two authors independently, and in duplicate, conducted all stages of study selection, data extraction, and quality assessment (including GRADE). We discussed disagreements within the team until we reached consensus. Where data did not allow meta‐analyses, we synthesised results narratively. Main results Twelve studies (2215 participants) met the inclusion criteria and compared pharmacy‐based management with treatment as usual. Two studies (291 participants) also included an active control (both used patient information leaflets providing information about the prescribed antidepressant). Neither of these studies reported depression symptom change. A narrative synthesis of results on acceptability of the intervention was inconclusive, with one study reporting better acceptability of pharmacy‐based management and the other better acceptability of the active control. One study reported that participants in the pharmacy‐based management group had better medication adherence than the control participants. One study reported adverse events with no difference between groups. The studies reported no other outcomes. Meta‐analyses comparing pharmacy‐based management with treatment as usual showed no evidence of a difference in the effect of the intervention on depression symptom change (dichotomous data; improvement in symptoms yes/no: risk ratio (RR), 0.95, 95% confidence interval (CI) 0.86 to 1.05; 4 RCTs, 475 participants; moderate‐quality evidence; continuous data: standard mean difference (SMD) ‐0.04, 95%</t>
  </si>
  <si>
    <t>J553</t>
  </si>
  <si>
    <t>Interventions for preventing obesity in children</t>
  </si>
  <si>
    <t>- Background Prevention of childhood obesity is an international public health priority given the significant impact of obesity on acute and chronic diseases, general health, development and well‐being. The international evidence base for strategies to prevent obesity is very large and is accumulating rapidly. This is an update of a previous review. Objectives To determine the effectiveness of a range of interventions that include diet or physical activity components, or both, designed to prevent obesity in children. Search methods We searched CENTRAL, MEDLINE, Embase, PsychINFO and CINAHL in June 2015. We re‐ran the search from June 2015 to January 2018 and included a search of trial registers. Selection criteria Randomised controlled trials (RCTs) of diet or physical activity interventions, or combined diet and physical activity interventions, for preventing overweight or obesity in children (0‐17 years) that reported outcomes at a minimum of 12 weeks from baseline. Data collection and analysis Two authors independently extracted data, assessed risk‐of‐bias and evaluated overall certainty of the evidence using GRADE. We extracted data on adiposity outcomes, sociodemographic characteristics, adverse events, intervention process and costs. We meta‐analysed data as guided by the Cochrane Handbook for Systematic Reviews of Interventions and presented separate meta‐analyses by age group for child 0 to 5 years, 6 to 12 years, and 13 to 18 years for zBMI and BMI. Main results We included 153 RCTs, mostly from the USA or Europe. Thirteen studies were based in upper‐middle‐income countries (UMIC: Brazil, Ecuador, Lebanon, Mexico, Thailand, Turkey, US‐Mexico border), and one was based in a lower middle‐income country (LMIC: Egypt). The majority (85) targeted children aged 6 to 12 years.  Children aged 0‐5 years: There is moderate‐certainty evidence from 16 RCTs (n = 6261) that diet combined with physical activity interventions, compared with control, reduced BMI (mean difference (MD) −0.07 kg/m 2 , 95% confidence interval (CI) −0.14 to −0.01), and had a similar effect (11 RCTs, n = 5536) on zBMI (MD −0.11, 95% CI −0.21 to 0.01). Neither diet (moderate‐certainty evidence) nor physical activity interventions alone (high‐certainty evidence) compared with control reduced BMI (physical activity alone: MD −0.22 kg/m 2 , 95% CI −0.44 to 0.01) or zBMI (diet alone: MD −0.14, 95% CI −0.32 to 0.04; physical activity alone: MD 0.01, 95% CI −0.10 to 0.13) in children aged 0‐5 years.  Children aged 6 to 12 years: There is moderate‐certainty evidence from 14 RCTs (n = 16,410) that physical activity interventions, compared with control, reduced BMI (MD −0.10 kg/m 2 , 95% CI −0.14 to −0.05). However, there is moderate‐certainty evidence that they had little or no effect on zBMI (MD −0.02, 95% CI −0.06 to 0.02). There is low‐certainty evidence from 20 RCTs (n = 24,043) that diet combined with physical activity interventions, compared with control, reduced zBMI (MD −0.05 kg/m2, 95% CI −0.10 to −0.01). There is high‐certainty evidence that diet interventions, compared with control, had little impact on zBMI (MD −0.03, 95% CI −0.06 to 0.01) or BMI (−0.02 kg/m2, 95% CI −0.11 to 0.06). Children aged 13 to 18 years: There is very low‐certainty evidence that physical activity interventions, compared with control reduced BMI (MD −1.53 kg/m2, 95% CI −2.67 to −0.39; 4 RCTs; n = 720); and low‐certainty evidence for a reduction in zBMI (MD ‐0.2, 95% CI −0.3 to ‐0.1; 1 RCT; n = 100). There is low‐certainty evidence from eight RCTs (n = 16,583) that diet combined with physical activity interventions, compared with control, had no effect on BMI (MD −0.02 kg/m2, 95% CI −0.10 to 0.05); or zBMI (MD 0.01, 95% CI −0.05 to 0.07; 6 RCTs; n = 16,543). Evidence from two RCTs (low‐certainty evidence; n = 294) found no effect of diet interventions on BMI. Direct comparisons of interventions: Two RCTs reported data directly comparing die with either physical activity or diet combined with physical activity interventions for children aged 6 to 12 years and reported no differences. Heterogeneity was apparent in the results from all three age groups, which could not be entirely explained by setting or duration of the interventions. Where reported, interventions did not appear to result in adverse effects (16 RCTs) or increase health inequalities (gender: 30 RCTs; socioeconomic status: 18 RCTs), although relatively few studies examined these factors. Re‐running the searches in January 2018 identified 315 records with potential relevance to this review, which will be synthesised in the next update. Authors' conclusions Interventions that include diet combined with physical activity interventions can reduce the risk of obesity (zBMI and BMI) in young children aged 0 to 5 years. There is weaker evidence from a single study that dietary interventions may be beneficial. However, interventions that focus only on physical activity do not appear to be effective in children of this age. In contrast, interventions that only focus on physical activity can reduce the risk of obesity (BMI) in children aged 6 to 12 years, and adolescents aged 13 to 18 years. In these age groups, there is no evidence that interventions that only focus on diet are effective, and some evidence that diet combined with physical activity interventions may be effective. Importantly, this updated review also suggests that interventions to prevent childhood obesity do not appear to result in adverse effects or health inequalities. The review will not be updated in its current form. To manage the growth in RCTs of child obesity prevention interventions, in future, this review will be split into three separate reviews based on child age. Plain language summary Do diet and physical activity strategies help prevent obesity in children (aged 0 to 18 years)? Background More children are becoming overweight and obese worldwide. Being overweight as a child can cause health problems, and children may be affected psychologically and in their social life. Overweight children are likely also to be overweight as adults and continue to experience poor physical and mental health. Searching for studies We searched many scientific databases to find studies that looked at ways of preventing obesity in children. We included studies aimed at all ages of children. We only included studies if the methods they were using were aimed at changing children's diet, or their level of physical activity, or both. We looked only for the studies that contained the best information to answer this question, ‘randomised controlled trials’ or RCTs. What we found We found 153 RCTs. The studies were based mainly in high‐income countries such as the USA and European countries although 12% were in middle‐income countries (Brazil, Ecuador, Egypt, Lebanon, Mexico, Thailand and Turkey). Just over half the RCTs (56%) tried out strategies to change diet or activity levels in children aged 6 to 12 years, a quarter were for children aged 0 to 5 years and a fifth (20%) were for teenagers aged 13 to 18. The strategies were used in different settings such as home, preschool or school and most were targeted towards trying to change individual behaviour. Did they work? One widely accepted way of assessing if a child is overweight is to calculate a score based on their height and how much they weigh, and relating this to the weight and height of many children their age in their country. This is called the zBMI score. We found 61 RCTs involving over 60,000 children, that had reported zBMI scores. Children aged 0 to 5, and children aged 6 to 12 who were helped with a strategy to change their diet or activity levels reduced their zBMI score by 0.07 and 0.04 units respectively compared to children who were not given a strategy. This means these children were able to reduce their weight. This change in zBMI, when provided to many children across a whole population, is useful for governments in trying to tackle the problems of obesity in child en. Strategies to change diet or physical activity, or both, given to adolescents and young adults aged 13 to 18 years, did not successfully reduce zBMI. We looked to see if the strategies were likely to work fairly for all children, for example girls and boys, children from wealthy or less wealthy backgrounds, children from different racial backgrounds. Not many RCTs reported this, but in those that did, there was no indication that the strategies increased inequalities. However we could not find enough RCTs with this information to help us answer this question. We also looked to see if children were harmed by any of the strategies, for example by having injuries, losing too much weight or developing damaging views about themselves and their weight. Not many RCTs reported this, but in those that did, none reported any harms from children who had been given strategies to change their diet or physical activity. We looked at how well the RCTs were done to see if they might be biased. We decided to downgrade some information based on these assessments. The quality of the evidence was ‘moderate’ for children aged 0 to 5 for zBMI, ‘low’ for children aged 6 to 12 and moderate for adolescents (13 to 18). Our conclusions Strategies for changing diet or activity levels, or both, of children in order to help prevent them becoming overweight or obese are effective in making modest reductions in zBMI score in children aged 0 to 5 years and in children aged 6 to 12 years. This can be useful to parents and children concerned about children becoming overweight. It can also be useful for governments, trying to tackle a growing trend of children who are becoming obese or overweight. We found less evidence for adolescents and young people aged 13 to 18, and the strategies given to them did not reduce their zBMI score.</t>
  </si>
  <si>
    <t>J554</t>
  </si>
  <si>
    <t>Early supported discharge for patients with febrile neutropenia - experience at a large district hospital in the UK</t>
  </si>
  <si>
    <t>Neutropenic sepsis can be life threatening, with mortality 2-21%. The heterogeneity of patients referred with suspected neutropenic sepsis" has led to strategies being developed to risk-stratify patients and identify those with a low risk of septic complications that could be managed in the outpatient setting, such as The Multinational Association for Supportive Care in Cancer score (MASCC). Outcomes for patients referred with suspected neutropenic sepsis were assessed before and after use of MASCC guided early-supported discharge. 50/123 (41%) patients over 24 months were eligible for early-supported discharge. 26/50 patients had same-day discharge, 14 had overnight admission, 8 stayed 2 nights and 2 stayed 3 nights. Patients received on average 2 follow-up telephone consultations. There were 5 readmissions (10%) and no adverse events. In comparison group; 8 patients over 3-months would have been suitable, potentially saving 40 bed-days. This shows MASCC guided early-supported discharge is safe and cost-effective. Copyright © 2019 Rila Publications Ltd."</t>
  </si>
  <si>
    <t>J555</t>
  </si>
  <si>
    <t>Should we all be looking for marginal gains in endoscopy efficiency?</t>
  </si>
  <si>
    <t>Introduction Demand for endoscopy in the UK has doubled in the last 5 years. In 2017, 64% of units failed to meet suspected cancer targets despite 66% of units having weekend lists and 27% outsourcing to external providers1. UCL Cancer Collaborative (UCLCC) data showed demand can be met by improving efficiency. This is important in a resource-limited setting. Our Quality Improvement (QI) Project aimed to improve efficiency by improving turnaround time, non-attendance and on-the-day cancellations. Methods The Endoscopy QI fellow, endoscopy unit manager and Gastroenterology service manager participated in the UCLCC Improvement Programme, and utilised QI methodology. We collected data from electronic patient records and scheduling system. At baseline, we identified that underutilisation of lists was multifactorial. We introduced a turnaround nurse role to consent patients. Healthcare assistants (HCAS) and nurses were trained in cannulation. As poor bowel preparation contributed to cancellations, we introduced telephone pre-assessment to educate patients. Finally, the administrative team sent text reminders before appointments. Results At baseline, our unit performed an average of 7.9 points per list, out of a planned 10. On average, 28.5 patients per month had procedures cancelled on the day due to poor bowel prep or inadequate fasting. After the introduction of pre-assessment, it improved to 23.5 per month, saving 5 procedures which would have had to be rearranged. The average points performed improved to 9.3 points per list. The average DNA rate has improved from 9% to 7% after the introduction of text reminders. After the introduction of the turnaround nurse and HCA cannulation, turnaround time reduced from an average of 18 to 9 minutes between procedures. This could save 90 minutes over a 12-point list. Despite these improvements, only 41.6% of lists are booked for 1-2 points. Inadequate staffing numbers and late start times are contributing factors. A start time audit showed that only 5 out of 27 lists in a week started within 10 minutes of supposed start times, a target for further cycles of this QI project. Conclusions Multiple small improvements in efficiency can achieve significant impact on productivity. Interventions focused on turnaround time can reduce underuse of list time. Patient-centred approaches to procedural preparation may reduce squandered appointments. Sustainability of these improvements is difficult to assess in the short term but will be promoted by the continuing QI fellow role and implementation of endoscopy QI champions from the administrative and nursing team.</t>
  </si>
  <si>
    <t>J556</t>
  </si>
  <si>
    <t>Low Back and Radicular Pain Including Symptomatic Spinal Stenosis</t>
  </si>
  <si>
    <t>Back pain is the largest single cause of disability in the UK, with lower back pain alone accounting for 11% of the total disability of the UK population. Currently there is enormous geographical variation in the pathways, costs and outcomes of patients with back pain. Despite existing evidence there are a significant number of treatments with low clinical value still in use. The NHS England Trauma Programme of Care Board selected Low Back Pain and Radicular Pain as a pathfinder project in 2013. A clinical group of 30 stakeholder representatives worked collaboratively to produce an agreed, seamless pathway, extending from first contact in primary care through to secondary care and specialist services. This pathway was updated in 2017 following the publication of NICE NG59 and is endorsed in the 2019 GIRFT report. The National Back and Radicular Pain Pathway (NBRPP) is recognised as the commissioning pathway of choice for CCG's. Implementation of the NBRPP is currently being driven through Right Care and GIRFT. National Back and Radicular Pain Pathway. Where implemented, evaluation of the pathway provides evidence that the NBRPP results in substantial cost saving through reducing; admissions for back pain (with or without radicular pain), therapeutic injections for back pain, readmissions and spinal fusions for back pain. This session will use case studies to explore the recommended pathway of care for people with: * Back pain who are at risk of persisting disability * Severe radicular pain, best managed with injection or surgery * Symptomatic spinal stenosis which can be managed conservatively..</t>
  </si>
  <si>
    <t>Objectives: In Financial Year (FY) 2018/19, NHS England (NHSE) spent 7.9 billion on prescription drugs prescribed by GPs to their patients. This is 2.7% less than FY 2017/18. This study investigated drivers of this trend at regional and drug-class levels on a risk-adjusted basis and projected the results over a five year time period. Method(s): Publicly available data was used. Prescription drug and population data published by the NHS were used to derive the per person per month costs. The prescription drug risk-adjustment factors were based on those used in the NHS funding allocation formula. Prescription drug cost and activity trends were analysed at a drug-class (BNF chapter) and regional level. Regions were defined by sustainability and transformation plan (STP) area. Risk-adjustment helped determine what cost we would 'expect' based on each STP's risk profile compared to the English average. Costs were projected over a five-year period under various scenarios, using expected changes in population size and structure published by the NHS. Result(s): The reduction in expenditure is driven by a combination of lower average costs (3.83% decrease) and lower levels of activity (0.92% decrease). These decreases in total cost are slightly offset by the 1.19% increase in the English population size. The research highlights particular BNF chapters and STP regions that are driving these trends as well as how STP regions' experience compares to the English average on a risk-adjusted basis. The projection model shows that prescription drug costs can be expected to decrease by 3.6% p.a. over the next five years if historical trends persist. Conclusion(s): The insights provided by this research can help stakeholders with experience analysis and planning by identifying cost and activity drivers on a population risk-adjusted basis as well as having a view of how demand may develop over the projection period. Copyright © 2019</t>
  </si>
  <si>
    <t>- Background In children, functional daytime urinary incontinence is the term used to describe any leakage of urine while awake that is not the result of a known underlying neurological or congenital anatomic cause (such as conditions or injuries that affect the nerves that control the bladder or problems with the way the urinary system is formed). It can result in practical difficulties for both the child and their family and can have detrimental effects on a child’s well‐being, education and social engagement. Objectives To assess the effects of conservative interventions for treating functional daytime urinary incontinence in children. Search methods We searched the Cochrane Incontinence Specialised Register, which contains studies identified from CENTRAL, MEDLINE, MEDLINE In‐Process, MEDLINE Epub Ahead of Print, CINAHL, ClinicalTrials.gov, WHO ICTRP and handsearching of journals and conference proceedings (searched 11 September 2018). We also searched Chinese language bibliographic databases: Chinese Biomedical Literature Database (CBM), China National Knowledge Infrastructure (CNKI), and Wanfang. No language restrictions were imposed. Selection criteria We included randomised controlled trials (RCTs), quasi‐randomised, multi‐arm studies, cross‐over studies and cluster‐randomised studies that included children aged between 5 and 18 years with functional daytime urinary incontinence. Data collection and analysis Two review authors independently screened records and determined the eligibility of studies for inclusion according to predefined criteria. Where data from the study were not provided, we contacted the study authors to request further information. Two review authors assessed risk of bias and processed included study data as described in the Cochrane Handbook for Systematic Reviews of Interventions . Where meta‐analysis was possible, we applied random‐effects meta‐analysis using the Mantel‐Haenszel method for dichotomous outcomes. Main results The review included 27 RCTs involving 1803 children. Of these, six were multi‐arm and one was also a cross‐over study. Most studies were small, with numbers randomised ranging from 16 to 202. A total of 19 studies were at high risk of bias for at least one domain. Few studies reported data suitable for pooling due to heterogeneity in interventions, outcomes and measurements. Individual conservative interventions (lifestyle, behavioural or physical) versus no treatment Transcutaneous electrical nerve stimulation (TENS) versus sham (placebo) TENS. M ore children receiving active TENS may achieve continence (risk ratio (RR) 4.89, 95% confidence interval (CI) 1.68 to 14.21; 3 studies; n = 93; low‐certainty evidence). One individual conservative intervention versus another individual or combined conservative intervention Pelvic floor muscle training (PFMT) with urotherapy versus urotherapy alone. We are uncertain whether more children receiving PFMT with urotherapy achieve continence (RR 2.36, 95% CI 0.65 to 8.53, 95% CI 25 to 100; 3 studies; n = 91; very low‐certainty evidence). Voiding education with uroflowmetry feedback and urotherapy versus urotherapy alone. Slightly more children receiving voiding education with uroflow feedback and urotherapy may achieve continence (RR 1.13, 95% CI 0.87 to 1.45; 3 studies; n = 151; low‐certainty evidence). Urotherapy with timer watch versus urotherapy alone. We are uncertain whether urotherapy plus timer watch increases the number of children achieving continence compared to urotherapy alone (RR 1.42, 95% CI 1.12 to 1.80; 1 study; n = 58; very low‐certainty evidence). Combined conservative interventions versus other combined conservative interventions TENS and standard urotherapy versus PFMT with electromyographic biofeedback and standard urotherapy. We are uncertain whether there is any evidence of a difference between treatment groups in the proportions of children achieving continence (RR 1.11, 95% CI 0.73 to 1.68; 1 study; n = 78; very low‐certainty evidence). PFMT with electr myography biofeedback and standard urotherapy versus PFMT without feedback but with standard urotherapy. We are uncertain whether there is any evidence of a difference between treatment groups in the proportions of children achieving continence (RR 1.05, 95% CI 0.72 to 1.52; 1 study; n = 41; very low‐certainty evidence). Individual conservative interventions versus non‐conservative interventions (pharmacological or invasive, combined or not with any conservative interventions) PFMT versus anticholinergics. We are uncertain whether more children receiving PFMT than anticholinergics achieve continence (RR 1.92, 95% CI 1.17 to 3.15; equivalent to an increase from 33 to 64 per 100 children; 2 studies; n = 86; very low‐certainty evidence). TENS versus anticholinergics. We are uncertain whether there was any evidence of a difference between treatment groups in the proportions of children achieving continence (RR 0.81, 95% CI 0.05 to 12.50; 2 studies; n = 72; very low‐certainty evidence). Combined conservative interventions versus non‐conservative interventions (pharmacological or invasive, combined or not with any conservative interventions) Voiding education with uroflowmetry feedback versus anticholinergics. We are uncertain whether there was any evidence of a difference between treatment groups in the proportion of children achieving continence (RR 1.02, 95% CI 0.58 to 1.78; 1 study; n = 64; very low‐certainty evidence). Authors' conclusions The review found little reliable evidence that can help affected children, their carers and the clinicians working with them to make evidence‐based treatment decisions. In this scenario, the clinical experience of individual clinicians and the support of carers may be the most valuable resources. More well‐designed research, with well‐defined interventions and consistent outcome measurement, is needed. Plain language summary Conservative (non‐pharmaceutical and non‐surgical) treatments for children who have daytime urinary incontinence Background Many children continue to have daytime wetting accidents (urinary incontinence) long after most become dry, some into teenage years. When there is no known cause, it is referred to as functional daytime urinary incontinence. Daytime wetting can be a practical problem for the child and their carers, leading to additional laundry, expenses on absorbent pads or underwear, wet or stained furnishings and difficulties attending school or travelling. It can also lead to emotional stress, poor school attendance and performance, difficulties with social activities and making friends, and even depression and behaviour problems. Finding an effective treatment can improve the quality of life of children and their carers. Review question Children, their carers, doctors and nurses may want to avoid treatments that involve drugs or surgery, at least until they have tried treatments that do not involve these. In this review researchers brought together the results of studies conducted around the world to combine the evidence and assess which treatment(s) are most effective for managing daytime urinary incontinence in children. How up‐to‐date is this review? The evidence is current to 11 September 2018. Study characteristics and funding sources The review identified 27 studies involving 1803 children. Twelve studies declared funding from outside sources. One of these was funded by Astellas Pharma, while another study was provided with special batches of placebo and medication free of charge, as well as materials for pad tests free of charge from another company. Certainty of evidence Cochrane Reviews assess the 'certainty' or reliability of the evidence using standardised methods that consider the way studies were designed, conducted and reported, differences between studies or populations, and the combined results of studies. Most of the studies identified for this review were small and many were poorly designed and not reported clearly. Most of the evidence was considered to be of very low certainty, meaning that little can be sa d with any certainty about the effectiveness of treatments. Key results Transcutaneous electrical nerve stimulation (TENS) may be more effective than no treatment for ending or reducing daytime wetting. We are uncertain whether urotherapy (behavioural programmes in which children ‐ and sometimes carers ‐ are taught about how the bladder works, proper toileting postures and methods, scheduled toileting, and planning what and how much to drink) is more effective when supplemented with PFMT, voiding education with feedback, or watches with alarms set to remind children when to go to the toilet. We are uncertain whether feedback that shows children how their muscles are working or how their bladder is emptying improves the effectiveness of TENS with urotherapy compared to PFMT plus feedback and urotherapy. We are also uncertain whether PFMT and urotherapy plus feedback improves the effectiveness of PFMT and urotherapy alone. We are uncertain whether pelvic floor muscle training (PFMT) or TENS are more effective than anticholinergics (drugs that can reduce signals from the brain that cause the bladder to contract and empty). We are uncertain whether voiding education plus uroflowmetry (a test to measure the volume of urine) and feedback increases the number of continent children compared to anticholinergics. No serious adverse events were reported that were considered to be related to study treatments. Most non‐serious adverse events and side effects were mild or moderate in severity and were in children receiving pharmaceutical interventions. These included common pharmaceutical side effects such as nausea, abdominal pain, dry mouth, drowsiness and headache. Authors' conclusions There is a lack of good‐quality research evidence that can help children, their carers and doctors and nurses to make decisions about treatments. More well‐designed research may provide much needed evidence about the effectiveness of promising interventions in children with daytime urinary incontinence, such as TENS, PFMT and timers on watches (or mobile phones) to remind children about toileting schedules. However, it is hoped that this review will draw attention to the need for research into effective treatments for daytime wetting in children.</t>
  </si>
  <si>
    <t>J559</t>
  </si>
  <si>
    <t>Enhancing efficiency in endoscopy unit using the 'time and motion' model</t>
  </si>
  <si>
    <t>Introduction Endoscopy Units throughout the UK are facing unprecedented pressures due to increasing demand with limited capacity. Our aim was to explore strategies to improve our endoscopy unit's efficiency. In order to identify targets for improvement we sought to undertake a 'Time and Motion' study in the endoscopy unit. Methods The study was conducted at Nottingham City Hospital Endoscopy centre between 13th January 2017 to 10th February 2017. Procedures included were gastroscopy, colonoscopy, sigmoidoscopy, bronchoscopy, therapeutic endoscopy and endoscopic ultrasound. From the time a patient reports to the reception to the time discharge was made the patients journey was mapped using the 'time and motion' principle. As part of this study, healthcare professionals and admission staff were asked to record the patient's journey through endoscopy unit accurately and complete templates which were kept with the patient's notes as they moved through the unit. Separate independent observers were then responsible for observing and recording times at which patients entered and exited the procedure room coupled with noting any issues for delays. Results A total of 509 day case patients and 27 inpatient procedures were performed in 4 procedure rooms during the study period over 138 endoscopy lists. The adjusted median delay in starting time was 26 minutes with a peak of 20 minutes. The adjusted median turnaround times (time period between exit of patient from endoscopy room to entry of next patient in to the room) was 13:11 minutes with a peak at 12:30 minutes. The median for overruns (overrunning of lists beyond schedule) was 49:00 minutes. The adjusted median procedure time was 25:00 minutes. 95% of endoscopy lists started late and 80% of the lists finished late. Bottlenecks identified were (1) delays in booking, (2) delays in patient preparation including enema, (3) inpatient transportation from and to wards and (4) timely endoscope availability. These were addressed by changing patient arrival times, additional support workers to support admission and patient preparation, introduction of co-ordinator to monitor lists with empowerment to redeploy staffing, and the role of a 'runner' to liaise between decontamination and the procedure rooms. Conclusion The 'time and motion' study is a useful tool to identify areas for improvement in patient flow and improve efficiency in the Endoscopy unit.</t>
  </si>
  <si>
    <t>J560</t>
  </si>
  <si>
    <t>Perioperative nutrition for the treatment of bladder cancer by radical cystectomy</t>
  </si>
  <si>
    <t>- Background Radical cystectomy (RC) is the primary surgical treatment for muscle‐invasive urothelial carcinoma of the bladder. This major operation is typically associated with an extended hospital stay, a prolonged recovery period and potentially major complications. Nutritional interventions are beneficial in some people with other types of cancer and may be of value in this setting too. Objectives To assess the effects of perioperative nutrition in people undergoing radical cystectomy for the treatment of bladder cancer. Search methods We performed a comprehensive search using multiple databases (Evidence Based Medicine Reviews, MEDLINE, Embase, AMED, CINAHL), trials registries, other sources of grey literature, and conference proceedings published up to 22 February 2019, with no restrictions on the language or status of publication. Selection criteria We included parallel‐group randomised controlled trials (RCTs) of adults undergoing RC for bladder cancer. The intervention was any perioperative nutrition support. Data collection and analysis Two review authors independently assessed studies for inclusion, extracted data, and assessed risk of bias and the quality of evidence using GRADE. Primary outcomes were postoperative complications at 90 days and length of hospital stay. The secondary outcome was mortality up to 90 days after surgery. When 90‐day outcome data were not available, we reported 30‐day data. Main results The search identified eight trials including 500 participants. Six trials were conducted in the USA and two in Europe. 1. Parenteral nutrition (PN) versus oral nutrition: based on one study with 157 participants, PN may increase postoperative complications within 30 days (risk ratio (RR) 1.40, 95% confidence interval (CI) 1.07 to 1.82; low‐quality evidence). We downgraded the quality of evidence for serious study limitations (unclear risk of selection, performance and selective reporting bias) and serious imprecision. This corresponds to 198 more complications per 1000 participants (95% CI 35 more to 405 more). Length of hospital stay may be similar (mean difference (MD) 0.5 days higher, CI not reported; low‐quality evidence). 2. Immuno‐enhancing nutrition versus standard nutrition: based on one study including 29 participants, immuno‐enhancing nutrition may reduce 90‐day postoperative complications (RR 0.31, 95% CI 0.08 to 1.23; low‐quality evidence). These findings correspond to 322 fewer complications per 1000 participants (95% CI 429 fewer to 107 more). Length of hospital stay may be similar (MD 0.20 days, 95% CI 1.69 lower to 2.09 higher; low‐quality evidence). We downgraded the quality of evidence of both outcomes for very serious imprecision. 3. Preoperative oral nutritional support versus normal diet: based on one study including 28 participants, we are very uncertain if preoperative oral supplements reduces postoperative complications. We downgraded quality for serious study limitations (unclear risk of selection, performance, attrition and selective reporting bias) and very serious imprecision. The study did not report on length of hospital stay. 4. Early postoperative feeding versus standard postoperative management: based on one study with 102 participants, early postoperative feeding may increase postoperative complications (very low‐quality evidence) but we are very uncertain of this finding. We downgraded the quality of evidence for serious study limitations (unclear risk of selection and performance bias) and very serious imprecision. Length of hospital stay may be similar (MD 0.95 days less, CI not reported; low‐quality evidence). We downgraded the quality of evidence for serious study limitations (unclear risk of selection and performance bias) and serious imprecision. 5. Amino acid with dextrose versus dextrose: based on two studies with 104 participants, we are very uncertain whether amino acids reduce postoperative complications (very low‐quality evidence). We are also very uncertain whether length of hospital stay is similar (very low‐quality evidence). We downgraded the quality of evidence for both outcomes for serious study limitations (unclear and high risk of selection bias; unclear risk of performance, detection and selective reporting bias), serious indirectness related to the patient population and very serious imprecision. 6. Branch chain amino acids versus dextrose only: based on one study including 19 participants, we are very uncertain whether complication rates are similar (very low‐quality evidence). We downgraded the quality of evidence for serious study limitations (unclear risk of selection, performance, detection, attrition and selective reporting bias), serious indirectness related to the patient population and very serious imprecision. The study did not report on length of hospital stay. 7. Perioperative oral nutritional supplements versus oral multivitamin and mineral supplement: based on one study with 61 participants, oral supplements compared to a multivitamin and mineral supplement may slightly decrease postoperative complications (low‐quality evidence). These findings correspond to 135 fewer occurrences per 1000 participants (95% CI 256 fewer to 65 more). Length of hospital stay may be similar (low‐quality evidence). We downgraded the quality of evidence of both outcomes for study limitations and imprecision. Authors' conclusions Based on few, small and dated studies, with serious methodological limitations, we found limited evidence for a benefit of perioperative nutrition interventions. We rated the quality of evidence as low or very low, which underscores the urgent need for high‐quality research studies to better inform nutritional support interventions for people undergoing surgery for bladder cancer. Plain language summary Nutrition support for people having an operation for bladder cancer Review objective To assess the effects of perioperative nutrition in participants undergoing an operation for treating bladder cancer. Background Some people with advanced bladder cancer require an operation called a radical cystectomy to remove their bladder , which has a risk of complications after surgery. Some people who have bladder cancer may have difficulties with eating before or after the operation and may lose weight and be malnourished. In this review, we wanted to see if providing additional nutrition is of benefit compared to waiting for people to eat ordinary food. Study characteristics The evidence is current up to 22 February 2019. There were eight studies conducted including 500 people in hospital. There were seven different ways in which nutrition was given. Key results 1. Feeding into a vein versus oral nutrition: based on one study that included 157 people, we found that feeding into a vein may increase complications after surgery. However, there may be little or no difference in length of hospital stay. 2. Immuno‐enhancing nutrition versus standard supplements: immuno‐enhancing nutrition has high levels of nutrients that are thought to improve the immune function and was given in one study that included 29 people. We found that this form of nutrition may decrease complications 90 days after surgery, but may have little effect on length of hospital stay. 3. Preoperative oral nutrition support versus diet: based on one study that included 28 people, we are uncertain if oral supplements before surgery improve complications after surgery. Length of hospital stay was not reported. 4. Early postoperative feeding versus standard care: based on one study that included 102 people, early postoperative feeding may increase postoperative complications after surgery, but we are very uncertain of this finding. Length of hospital stay may be similar. 5. Amino acids versus dextrose: amino acids are the building blocks of proteins and dextrose is sugary water. From two studies that included 104 people, we are uncertain whether complications may be reduced. Length of hospital stay may be similar. 6. Branch chain versus dextrose: branch chain are a type of amino acid. From one study that included 19 people, we are very uncertain whether complication rates are similar. Length of hospital stay was not reported. 7. Perioperative oral nutritional supplements versus multivitamin and mineral supplement: from one study that included 61 people, oral supplements compared to a multivitamin and mineral supplement may slightly decrease postoperative complications. Length of hospital stay may be similar. Certainty of the evidence The certainty of the evidence for all outcomes in this review was low or very low, meaning that the true effect may be very different or is likely very different from what we found.</t>
  </si>
  <si>
    <t>- Background International dietary recommendations include guidance on healthy eating and weight management for people who have survived cancer; however dietary interventions are not provided routinely for people living beyond cancer. Objectives To assess the effects of dietary interventions for adult cancer survivors on morbidity and mortality, changes in dietary behaviour, body composition, health‐related quality of life, and clinical measurements. Search methods We ran searches on 18 September 2019 and searched the Cochrane Central Register of Controlled trials (CENTRAL), in the Cochrane Library; MEDLINE via Ovid; Embase via Ovid; the Allied and Complementary Medicine Database (AMED); the Cumulative Index to Nursing and Allied Health Literature (CINAHL); and the Database of Abstracts of Reviews of Effects (DARE). We searched other resources including reference lists of retrieved articles, other reviews on the topic, the International Trials Registry for ongoing trials, metaRegister, Physicians Data Query, and appropriate websites for ongoing trials. We searched conference abstracts and WorldCat for dissertations. Selection criteria We included randomised controlled trials (RCTs) that recruited people following a cancer diagnosis. The intervention was any dietary advice provided by any method including group sessions, telephone instruction, written materials, or a web‐based approach. We included comparisons that could be usual care or written information, and outcomes measured included overall survival, morbidities, secondary malignancies, dietary changes, anthropometry, quality of life (QoL), and biochemistry. Data collection and analysis We used standard Cochrane methodological procedures. Two people independently assessed titles and full‐text articles, extracted data, and assessed risk of bias. For analysis, we used a random‐effects statistical model for all meta‐analyses, and the GRADE approach to rate the certainty of evidence, considering limitations, indirectness, inconsistencies, imprecision, and bias. Main results We included 25 RCTs involving 7259 participants including 977 (13.5%) men and 6282 (86.5%) women. Mean age reported ranged from 52.6 to 71 years, and range of age of included participants was 23 to 85 years. The trials reported 27 comparisons and included participants who had survived breast cancer (17 trials), colorectal cancer (2 trials), gynaecological cancer (1 trial), and cancer at mixed sites (5 trials). For overall survival, dietary intervention and control groups showed little or no difference in risk of mortality (hazard ratio (HR) 0.98, 95% confidence interval (CI) 0.77 to 1.23; 1 study; 3107 participants; low‐certainty evidence). For secondary malignancies, dietary interventions versus control trials reported little or no difference (risk ratio (RR) 0.99, 95% CI 0.84 to 1.15; 1 study; 3107 participants; low‐certainty evidence). Co‐morbidities were not measured in any included trials. Subsequent outcomes reported after 12 months found that dietary interventions versus control probably make little or no difference in energy intake at 12 months (mean difference (MD) ‐59.13 kcal, 95% CI ‐159.05 to 37.79; 5 studies; 3283 participants; moderate‐certainty evidence). Dietary interventions versus control probably led to slight increases in fruit and vegetable servings (MD 0.41 servings, 95% CI 0.10 to 0.71; 5 studies; 834 participants; moderate‐certainty evidence); mixed results for fibre intake overall (MD 5.12 g, 95% CI 0.66 to 10.9; 2 studies; 3127 participants; very low‐certainty evidence); and likely improvement in Diet Quality Index (MD 3.46, 95% CI 1.54 to 5.38; 747 participants; moderate‐certainty evidence). For anthropometry, dietary intervention versus control probably led to a slightly decreased body mass index (BMI) (MD ‐0.79 kg/m², 95% CI ‐1.50 to ‐0.07; 4 studies; 777 participants; moderate‐certainty evidence). Dietary interventions versus control probably had little or no effect on waist‐to‐hip ratio (MD ‐0.01, 95% CI ‐0.04 to 0.02; 2 studies; 106 participants; low‐certainty evidence). For QoL, there were mixed results; several different quality assessment tools were used and evidence was of low to very low‐certainty. No adverse events were reported in any of the included studies. Authors' conclusions Evidence demonstrated little effects of dietary interventions on overall mortality and secondary cancers. For comorbidities, no evidence was identified. For nutritional outcomes, there was probably little or no effect on energy intake, although probably a slight increase in fruit and vegetable intake and Diet Quality Index. Results were mixed for fibre. For anthropometry, there was probably a slight decrease in body mass index (BMI) but probably little or no effect on waist‐to‐hip ratio. For QoL, results were highly varied. Additional high‐quality research is needed to examine the effects of dietary interventions for different cancer sites, and to evaluate important outcomes including comorbidities and body composition. Evidence on new technologies used to deliver dietary interventions was limited. Plain language summary Dietary intake in people living beyond cancer Background   Diet has been linked to cancer, and dietary guidelines are available for cancer prevention. People after cancer have been found to have higher rates of other conditions including cardiovascular disease, diabetes, and other cancers. It is therefore sensible for people after cancer to look at changing their diet. It was important to undertake this review to assess the evidence on dietary advice for people who have survived cancer. Aim of the review   This review evaluates evidence on dietary interventions for people after cancer. Quality of evidence   The quality of evidence is generally low to very low. Most studies did not evaluate dietary interventions for key review outcomes, particularly mortality and morbidity. However, a few study outcomes with moderate‐certainty evidence focused on dietary intake and physical measurements. Included studies compared dietary interventions versus control or usual care. We pooled data from similar randomised controlled trials (RCTs) to provide a summary estimate of the effects of an intervention, and we judged how confident (certain) we were of these findings by using an established method (GRADE). Main findings   We identified 25 RCTs involving 27 different comparisons. For some outcomes, we found absence of evidence for dietary interventions. We found some evidence showing that dietary interventions probably did not modify energy intake; however, some evidence shows what is probably a slight increase in fruit and vegetable intake (moderate‐certainty evidence ) . Evidence on dietary fibre was mixed for different advice on weight reducing or healthy eating. Dietary interventions compared to control probably improved the Diet Quality Index (moderate‐certainty evidence ) . For physical measurements, we found a probable reduction in body mass index (BMI) with dietary interventions compared to controls (moderate‐certainty evidence) but little evidence showing any change in waist‐to‐hip ratio (low‐certainty evidence ) . For quality of life (QoL), results were mixed due to the wide variety of tools used. No adverse events were reported. Conclusion   Available evidence shows that dietary interventions can be helpful in modifying fruit and vegetable servings and diet quality; modification of fibre intake was variable, and some benefits were seen for anthropometric measurements, including BMI. Most of the evidence is based on women with breast cancer, so more research is needed for patients with other cancers. Gaps identified in the evidence involved the use of new technologies, comorbidities, and body composition data.</t>
  </si>
  <si>
    <t>J562</t>
  </si>
  <si>
    <t>Perspectives of healthcare professionals in England on falls interventions for people with dementia: a qualitative interview study</t>
  </si>
  <si>
    <t>Objective To explore the experiences of healthcare professionals working in falls prevention and memory assessment services in providing assessments and interventions for falls risk reduction in people with dementia. Design This is a qualitative study using 19 semistructured interviews. Interviews were analysed through thematic analysis. Setting Community-based falls and memory assessment services in the East Midlands, UK. Participants Nurses (n=10), physiotherapists (n=5), occupational therapists (n=3) and a psychiatrist (n=1). Results Three substantive themes were identified: challenges posed by dementia, adaptations to make falls prevention appropriate for people with dementia and organisational barriers. Patients' poor recall, planning and increased behavioural risk associated with dementia were key problems. Healthcare professionals provided many suggestions on how to overcome these challenges, such as adapting exercise interventions by using more visual aids. Problems associated with cognitive impairment created a need for additional support, for instance longer interventions, and supervision by support workers, to enable effective intervention, yet limited resources meant this was not always achievable. Communication between mental and physical health teams could be ineffective, as services were organised as separate entities, creating a reliance on third parties to be intermediaries. Structural and organisational factors made it difficult to deliver optimal falls prevention for people living with dementia. Conclusions Healthcare professionals experience challenges in providing falls prevention to people with dementia at the individual and organisational levels. Interventions can be adapted for people with dementia, but this requires additional resources and improved integration of services. Future research is needed to develop and test the effectiveness and cost-effectiveness of such services. Copyright © 2019 Author(s) (or their employer(s)). Re-use permitted under CC BY-NC.</t>
  </si>
  <si>
    <t>J563</t>
  </si>
  <si>
    <t>Protocol for a cluster randomised control trial evaluating the efficacy and safety of treatment for latent tuberculosis infection in recent migrants within primary care: the CATAPuLT trial</t>
  </si>
  <si>
    <t>BACKGROUND: The identification and treatment of LTBI is a key component of the WHO's strategy to eliminate TB. Recent migrants from high TB-incidence countries are recognised to be at risk TB reactivation, and many high-income countries have focused on LTBI screening and treatment programmes for this group. However, migrants are the group least likely to complete the LTBI cascade-of-care. This pragmatic cluster-randomised, parallel group, superiority trial investigates whether a model of care based entirely within a community setting (primary care) will improve treatment completion compared with treatment in specialist TB services (secondary care). METHOD(S): The CATAPuLT trial (Completion and Acceptability of Treatment Across Primary Care and the community for Latent Tuberculosis) randomised 34 general practices in London, England, to evaluate the efficacy and safety of treatment for LBTI in recent migrants within primary care. GP practices were randomised to either provide management for LTBI entirely within primary care (GPs and community pharmacists) or to refer patients to secondary care. The target recruitment number for individuals is 576. The primary outcome is treatment completion (defined as taking at least 90% of antibiotic doses). The secondary outcomes assess adherence, acceptance of treatment, the incidence of adverse effects including drug-induced liver injury, the rates of active TB, patient satisfaction and cost-effectiveness of LTBI treatment. This protocol adheres to the SPIRIT Checklist. DISCUSSION(S): The CATAPuLT trial seeks to provide implementation research evidence for a patient-centred intervention to improve treatment completion for LTBI amongst recent migrants to the UK. TRIAL REGISTRATION: NCT03069807, March 2017, registered retrospectively.</t>
  </si>
  <si>
    <t>J564</t>
  </si>
  <si>
    <t>Interventions to reduce ambient particulate matter air pollution and their effect on health</t>
  </si>
  <si>
    <t>- Background Ambient air pollution is associated with a large burden of disease in both high‐income countries (HICs) and low‐ and middle‐income countries (LMICs). To date, no systematic review has assessed the effectiveness of interventions aiming to reduce ambient air pollution. Objectives To assess the effectiveness of interventions to reduce ambient particulate matter air pollution in reducing pollutant concentrations and improving associated health outcomes. Search methods We searched a range of electronic databases with diverse focuses, including health and biomedical research (CENTRAL, Cochrane Public Health Group Specialised Register, MEDLINE, Embase, PsycINFO), multidisciplinary research (Scopus, Science Citation Index), social sciences (Social Science Citation Index), urban planning and environment (Greenfile), and LMICs (Global Health Library regional indexes, WHOLIS). Additionally, we searched grey literature databases, multiple online trial registries, references of included studies and the contents of relevant journals in an attempt to identify unpublished and ongoing studies, and studies not identified by our search strategy. The final search date for all databases was 31 August 2016. Selection criteria Eligible for inclusion were randomized and cluster randomized controlled trials, as well as several non‐randomized study designs, including controlled interrupted time‐series studies (cITS‐EPOC), interrupted time‐series studies adhering to EPOC standards (ITS‐EPOC), interrupted time‐series studies not adhering to EPOC standards (ITS), controlled before‐after studies adhering to EPOC standards (CBA‐EPOC), and controlled before‐after studies not adhering to EPOC standards (CBA); these were classified as main studies. Additionally, we included uncontrolled before‐after studies (UBA) as supporting studies. We included studies that evaluated interventions to reduce ambient air pollution from industrial, residential, vehicular and multiple sources, with respect to their effect on mortality, morbidity and several air pollutant concentrations. We did not restrict studies based on the population, setting or comparison. Data collection and analysis After a calibration exercise among the author team, two authors independently assessed studies for inclusion, extracted data and assessed risk of bias. We conducted data extraction, risk of bias assessment and evidence synthesis only for main studies; we mapped supporting studies with regard to the types of intervention and setting. To assess risk of bias, we used the Graphic Appraisal Tool for Epidemiological studies (GATE) for correlation studies, as modified and employed by the Centre for Public Health Excellence at the UK National Institute for Health and Care Excellence (NICE). For each intervention category, i.e. those targeting industrial, residential, vehicular and multiple sources, we synthesized evidence narratively, as well as graphically using harvest plots. Main results We included 42 main studies assessing 38 unique interventions. These were heterogeneous with respect to setting; interventions were implemented in countries across the world, but most (79%) were implemented in HICs, with the remaining scattered across LMICs. Most interventions (76%) were implemented in urban or community settings. We identified a heterogeneous mix of interventions, including those aiming to address industrial (n = 5), residential (n = 7), vehicular (n = 22), and multiple sources (n = 4). Some specific interventions, such as low emission zones and stove exchanges, were assessed by several studies, whereas others, such as a wood burning ban, were only assessed by a single study. Most studies assessing health and air quality outcomes used routine monitoring data. Studies assessing health outcomes mostly investigated effects in the general population, while few studies assessed specific subgroups such as infants, children and the elderly. No identified studies assessed unintended or adverse effects. The judgements regarding the risk of bias f studies were mixed. Regarding health outcomes, we appraised eight studies (47%) as having no substantial risk of bias concerns, five studies (29%) as having some risk of bias concerns, and four studies (24%) as having serious risk of bias concerns. Regarding air quality outcomes, we judged 11 studies (31%) as having no substantial risk of bias concerns, 16 studies (46%) as having some risk of bias concerns, and eight studies (23%) as having serious risk of bias concerns. The evidence base, comprising non‐randomized studies only, was of low or very low certainty for all intervention categories and primary outcomes. The narrative and graphical synthesis showed that evidence for effectiveness was mixed across the four intervention categories. For interventions targeting industrial, residential and multiple sources, a similar pattern emerged for both health and air quality outcomes, with essentially all studies observing either no clear association in either direction or a significant association favouring the intervention. The evidence base for interventions targeting vehicular sources was more heterogeneous, as a small number of studies did observe a significant association favouring the control. Overall, however, the evidence suggests that the assessed interventions do not worsen air quality or health. Authors' conclusions Given the heterogeneity across interventions, outcomes, and methods, it was difficult to derive overall conclusions regarding the effectiveness of interventions in terms of improved air quality or health. Most included studies observed either no significant association in either direction or an association favouring the intervention, with little evidence that the assessed interventions might be harmful. The evidence base highlights the challenges related to establishing a causal relationship between specific air pollution interventions and outcomes. In light of these challenges, the results on effectiveness should be interpreted with caution; it is important to emphasize that lack of evidence of an association is not equivalent to evidence of no association. We identified limited evidence for several world regions, notably Africa, the Middle East, Eastern Europe, Central Asia and Southeast Asia; decision‐makers should prioritize the development and implementation of interventions in these settings. In the future, as new policies are introduced, decision‐makers should consider a built‐in evaluation component, which could facilitate more systematic and comprehensive evaluations. These could assess effectiveness, but also aspects of feasibility, fidelity and acceptability. The production of higher quality and more uniform evidence would be helpful in informing decisions. Researchers should strive to sufficiently account for confounding, assess the impact of methodological decisions through the conduct and communication of sensitivity analyses, and improve the reporting of methods, and other aspects of the study, most importantly the description of the intervention and the context in which it is implemented. Plain language summary Ambient air quality – what works to reduce pollution and improve health? Why did we conduct this review? Globally, outdoor air pollution is a serious public health problem. In 2016, approximately 4 million deaths were attributable to air pollution, mostly from cardiovascular and respiratory diseases. Air pollution has also been linked to other health problems, like asthma. It is of much concern both in low‐ and middle‐income countries, where air quality may still be worsening, as well as in high‐income countries, where pollution levels have decreased over several decades. Many different policies and programmes have been put into place to reduce air pollution; examples include vehicle restrictions to reduce traffic, fuel standards for cars, buses and other motorized transport, industrial regulations to limit pollution from factories, and the replacement of inefficient heating stoves with more efficient, cleaner burning stoves. So far, no review has investigated sy tematically whether these measures have impacted air pollution and health as intended. What is the aim of this review? We investigated whether measures put into place to reduce outdoor air pollution have actually reduced air pollution and improved health. What were the main results of this review? We found 42 studies evaluating a broad range of measures to reduce air pollution in different countries around the world, although most were from high‐income countries. Most aimed to reduce air pollution from cars and other vehicles. However, we also identified measures addressing heating and cooking, industry, or a combination of different sources. We wanted to know whether these measures led to a reduction in the overall number of deaths, and in the number of deaths from cardiovascular and respiratory causes. We also investigated whether the measures led to fewer people going to hospitals for cardiovascular and respiratory problems. We also examined whether there were any changes in outdoor air quality, looking at different pollutants, such as particulate matter, fine particulate matter and other criteria pollutants. Studies were very diverse with respect to the policies or programmes they assessed, the settings and contexts in which they were implemented, and the methods used to evaluate them. The evidence we identified was of low and very low certainty, which means we cannot be very confident in the overall findings. Questions around certainty arose because of how studies were designed, conducted and analyzed. While some studies applied rigorous methods, others did not. Overall, we observed mixed results across studies. Many studies observed no clear changes in health or air quality associated with the measures, while others did observe clear improvements. We identified very few studies that reported worsened health or air quality associated with the measures. How do we interpret these results? Differences in the studies make it difficult to draw general conclusions about whether the measures worked. Detecting changes in population health and air pollution levels is challenging, and assessing whether changes that occur are due to a specific measure is complex. Air pollution levels are changing constantly and often unpredictably due to weather and other factors, and other changes happening at the same time could also impact population health and air pollution. When regulations to limit industrial pollution are introduced, one must keep in mind that several other changes may be occurring in the background: an increase in traffic and an upgrade of residential heating systems, for example, or an economic downturn that leads to reduced pollution. It can sometimes take a long time before improvements in health become apparent. In interpreting the review’s findings it is important to remember that just because a study did not detect an improvement does not mean that there really was no improvement. Further evaluations of measures to reduce outdoor air pollution in different countries, in particular in low‐ and middle‐income countries, are needed. Wherever possible, future evaluations should apply more reliable and standardized methods to analyze the data. This should help improve the quality of individual studies as well as our confidence in the findings across studies. How up to date is this review? This review includes studies up to 31 August 2016; any studies that were published after that date are not included in this review.</t>
  </si>
  <si>
    <t>J565</t>
  </si>
  <si>
    <t>Development of local alcohol services-experience from an english rural district general hospital</t>
  </si>
  <si>
    <t>Introduction Alcohol services are the cornerstone to delivering good alcohol detoxification treatment and outcomes for patients with alcohol dependence. The impact of staff educational program, e-CIWA proforma and inpatient outreach service for community rehabilitation (The Well) is assessed in this two-cycle audit study, leading to improvement in patient care and ongoing local service development at an English rural district general hospital.</t>
  </si>
  <si>
    <t>J566</t>
  </si>
  <si>
    <t>Pharmacological interventions for the treatment of delirium in critically ill adults</t>
  </si>
  <si>
    <t>- Background Although delirium is typically an acute reversible cognitive impairment, its presence is associated with devastating impact on both short‐term and long‐term outcomes for critically ill patients. Advances in our understanding of the negative impact of delirium on patient outcomes have prompted trials evaluating multiple pharmacological interventions. However, considerable uncertainty surrounds the relative benefits and safety of available pharmacological interventions for this population. Objectives Primary objective 1. To assess the effects of pharmacological interventions for treatment of delirium on duration of delirium in critically ill adults with confirmed or documented high risk of delirium Secondary objectives To assess the following: 1. effects of pharmacological interventions on delirium‐free and coma‐free days; days with coma; delirium relapse; duration of mechanical ventilation; intensive care unit (ICU) and hospital length of stay; mortality; and long‐term outcomes (e.g. cognitive; discharge disposition; health‐related quality of life); and 2. the safety of such treatments for critically ill adult patients. Search methods We searched the following databases from their inception date to 21 March 2019: Ovid MEDLINE®, Ovid MEDLINE® In‐Process &amp; Other Non‐Indexed Citations, Embase Classic+Embase, and PsycINFO using the Ovid platform. We also searched the Cochrane Library on Wiley, the International Prospective Register of Systematic Reviews (PROSPERO) ( http://www.crd.york.ac.uk/PROSPERO/ ), the Cumulative Index to Nursing and Allied Health Literature (CINAHL), and Web of Science. We performed a grey literature search of relevant databases and websites using the resources listed in Grey Matters developed by the Canadian Agency for Drugs and Technologies in Health (CADTH). We also searched trial registries and abstracts from annual scientific critical care and delirium society meetings. Selection criteria We sought randomized controlled trials (RCTs), including quasi‐RCTs, of any pharmacological (drug) for treatment of delirium in critically ill adults. The drug intervention was to be compared to another active drug treatment, placebo, or a non‐pharmacological intervention (e.g. mobilization). We did not apply any restrictions in terms of drug class, dose, route of administration, or duration of delirium or drug exposure. We defined critically ill patients as those treated in an ICU of any specialty (e.g. burn, cardiac, medical, surgical, trauma) or high‐dependency unit. Data collection and analysis Two review authors independently identified studies from the search results; four review authors (in pairs) performed data extraction and assessed risk of bias independently. We performed data synthesis through pairwise meta‐analysis and network meta‐analysis (NMA). Our hypothetical network structure was designed to be analysed at the drug class level and illustrated a network diagram of 'nodes' (i.e. drug classes) and 'edges' (i.e. comparisons between different drug classes from existing trials), thus describing a treatment network of all possible comparisons between drug classes. We assessed the quality of the body of evidence according to GRADE, as very low, low, moderate, or high. Main results We screened 7674 citations, from which 14 trials with 1844 participants met our inclusion criteria. Ten RCTs were placebo‐controlled, and four reported comparisons of different drugs. Drugs examined in these trials were the following: antipsychotics (n = 10), alpha 2 agonists (n = 3; all dexmedetomidine), statins (n = 2), opioids (n = 1; morphine), serotonin antagonists (n = 1; ondansetron), and cholinesterase (CHE) inhibitors (n = 1; rivastigmine). Only one of these trials consistently used non‐pharmacological interventions that are known to improve patient outcomes in both intervention and control groups. Eleven studies (n = 1153 participants) contributed to analysis of the primary outcome. Results of the NMA showed that the intervention with the smallest ratio of means (RoM) (i.e. most preferred) compared with placebo was the alpha 2 agonist dexmedetomidine (0.58; 95% credible interval (CrI) 0.26 to 1.27; surface under the cumulative ranking curve (SUCRA) 0.895; moderate‐quality evidence). In order of descending SUCRA values (best to worst), the next best interventions were atypical antipsychotics (RoM 0.80, 95% CrI 0.50 to 1.11; SUCRA 0.738; moderate‐quality evidence), opioids (RoM 0.88, 95% CrI 0.37 to 2.01; SUCRA 0.578; very‐low quality evidence), and typical antipsychotics (RoM 0.96, 95% CrI 0.64 to1.36; SUCRA 0.468; high‐quality evidence). The NMAs of multiple secondary outcomes revealed that only the alpha 2 agonist dexmedetomidine was associated with a shorter duration of mechanical ventilation (RoM 0.55, 95% CrI 0.34 to 0.89; moderate‐quality evidence), and the CHE inhibitor rivastigmine was associated with a longer ICU stay (RoM 2.19, 95% CrI 1.47 to 3.27; moderate‐quality evidence). Adverse events often were not reported in these trials or, when reported, were rare; pair‐wise analysis of QTc prolongation in seven studies did not show significant differences between antipsychotics, ondansetron, dexmedetomidine, and placebo. Authors' conclusions We identified trials of varying quality that examined six different drug classes for treatment of delirium in critically ill adults. We found evidence that the alpha 2 agonist dexmedetomidine may shorten delirium duration, although this small effect (compared with placebo) was seen in pairwise analyses based on a single study and was not seen in the NMA results. Alpha 2 agonists also ranked best for duration of mechanical ventilation and length of ICU stay, whereas the CHE inhibitor rivastigmine was associated with longer ICU stay. We found no evidence of a difference between placebo and any drug in terms of delirium‐free and coma‐free days, days with coma, physical restraint use, length of stay, long‐term cognitive outcomes, or mortality. No studies reported delirium relapse, resolution of symptoms, or quality of life. The ten ongoing studies and the six studies awaiting classification that we identified, once published and assessed, may alter the conclusions of the review. Plain language summary Medicines to treat delirium in critically ill adult patients Review question We reviewed the evidence from randomized controlled trials for the benefits and safety of all prescription medicines used to treat critically ill adult patients with delirium in the intensive care units (ICUs) of hospitals. Background Delirium is commonly associated with surgery, infection, or critical illness. It is experienced as new‐onset, generally short‐term inability to think clearly. Patients with delirium shift between periods of clear thinking and periods of agitation and/or great sleepiness and confusion. Lack of sleep, pain, a noisy environment, physical restraint, and the use of sedatives and strong analgesics are some of the contributing factors. Delirium affects both immediate and longer‐term health outcomes of critically ill patients as it can increase the length of time a breathing machine is required, time spent in the ICU and in hospital, and the chance of functional weakening and death. The odds of a poor outcome with delirium are increased with frail patients and those of advanced age and already present cognitive difficulties. Frequently, delirious ICU patients are given medicines to help treat symptoms such as agitation. Study characteristics This review is current to 21 March 2019. We found 14 randomized controlled studies that enrolled a total of 1844 adult participants. Six different classes of medicines were tested. These were antipsychotic drugs used as tranquillizers in ten studies; the sedative alpha 2 agonist dexmedetomidine in three studies; statins that reduce cholesterol in two studies; opioids as part of pain management in one study; serotonin antagonists for nausea and vomiting in one study; and cholinesterase inhibitors, which are medicines for Alzheimer's disease, in one study. Ten studies co pared medicine to placebo ‐ an inactive medicine also known as a sugar pill; four studies compared different drugs. Eleven studies with 1153 participants reported on the main outcome of this review ‐ duration of delirium. Key findings When drug classes were directly compared with placebo, only the alpha 2 agonist dexmedetomidine was found to reduce the duration of delirium, and the cholinesterase inhibitor rivastigmine was found to prolong the duration of delirium. Each of these results is based on findings from a single small study. The other drugs when compared to placebo did not change delirium duration. The Review authors used the statistical method of network meta‐analysis to compare the six different drug classes. Dexmedetomidine was ranked most effective in reducing delirium duration, followed by atypical antipsychotics. However, network meta‐analysis of delirium duration failed to rule out the possibility of no difference for all six drug classes compared to placebo. Using this method, we did not find that any drug improved the duration of coma, length of stay, long‐term cognitive outcomes, or death. The alpha 2 agonist dexmedetomidine shortened time spent on a breathing machine. Adverse events often were not reported in these trials or were rare when reported. An analysis of reported events showed that events were similar to those reported with placebo. We found 10 ongoing studies and six studies awaiting classification that, once published and assessed, may change the conclusions of this review. Quality of the evidence Most of the included studies were small but of good design. Nine of the 14 studies were considered to have low risk of bias.</t>
  </si>
  <si>
    <t>Hospital nurse‐staffing models and patient‐ and staff‐related outcomes</t>
  </si>
  <si>
    <t>- Background Nurses comprise the largest component of the health workforce worldwide and numerous models of workforce allocation and profile have been implemented. These include changes in skill mix, grade mix or qualification mix, staffâ€allocation models, staffing levels, nursing shifts, or nursesâ€™ work patterns. This is the first update of our review published in 2011. Objectives The purpose of this review was to explore the effect of hospital nurseâ€staffing models on patient and staffâ€related outcomes in the hospital setting, specifically to identify which staffing model(s) are associated with: 1) better outcomes for patients, 2) better staffâ€related outcomes, and, 3) the impact of staffing model(s) on cost outcomes. Search methods CENTRAL, MEDLINE, Embase, two other databases and two trials registers were searched on 22 March 2018 together with reference checking, citation searching and contact with study authors to identify additional studies. Selection criteria We included randomised trials, nonâ€randomised trials, controlled beforeâ€after studies and interruptedâ€timeâ€series or repeatedâ€measures studies of interventions relating to hospital nurseâ€staffing models. Participants were patients and nursing staff working in hospital settings. We included any objective reported measure of patientâ€, staffâ€related, or economic outcome. The most important outcomes included in this review were: nursingâ€staff turnover, patient mortality, patient readmissions, patient attendances at the emergency department (ED), length of stay, patients with pressure ulcers, and costs. Data collection and analysis We worked independently in pairs to extract data from each potentially relevant study and to assess risk of bias and the certainty of the evidence. Main results We included 19 studies, 17 of which were included in the analysis and eight of which we identified for this update. We identified four types of interventions relating to hospital nurseâ€staffing models: â€ introduction of advanced or specialist nurses to the nursing workforce; â€ introduction of nursing assistive personnel to the hospital workforce; â€ primary nursing; and â€ staffing models. The studies were conducted in the USA, the Netherlands, UK, Australia, and Canada and included patients with cancer, asthma, diabetes and chronic illness, on medical, acute care, intensive care and longâ€stay psychiatric units. The risk of bias across studies was high, with limitations mainly related to blinding of patients and personnel, allocation concealment, sequence generation, and blinding of outcome assessment. The addition of advanced or specialist nurses to hospital nurse staffing may lead to little or no difference in patient mortality (3 studies, 1358 participants). It is uncertain whether this intervention reduces patient readmissions (7 studies, 2995 participants), patient attendances at the ED (6 studies, 2274 participants), length of stay (3 studies, 907 participants), number of patients with pressure ulcers (1 study, 753 participants), or costs (3 studies, 617 participants), as we assessed the evidence for these outcomes as being of very low certainty. It is uncertain whether adding nursing assistive personnel to the hospital workforce reduces costs (1 study, 6769 participants), as we assessed the evidence for this outcome to be of very low certainty. It is uncertain whether primary nursing (3 studies, &gt; 464 participants) or staffing models (1 study, 647 participants) reduces nursingâ€staff turnover, or if primary nursing (2 studies, &gt; 138 participants) reduces costs, as we assessed the evidence for these outcomes to be of very low certainty. Authors' conclusions The findings of this review should be treated with caution due to the limited amount and quality of the published research that was included. We have most confidence in our finding that the introduction of advanced or specialist nurses may lead to little or no difference in one patient outcome (i.e. mortality) with greater uncertainty about other patient outcomes ( .e. readmissions, ED attendance, length of stay and pressure ulcer rates). The evidence is of insufficient certainty to draw conclusions about the effectiveness of other types of interventions, including new nurseâ€staffing models and introduction of nursing assistive personnel, on patient, staff and cost outcomes. Although it has been seven years since the original review was published, the certainty of the evidence about hospital nurse staffing still remains very low. Plain language summary What do we know about the impact of hospital nurse staffing on patients, staff and the costs of care? What is the aim of this review? The aim of this Cochrane Review was to find out if changes made to nurse staffing in hospitals improve outcomes for patients or nurses, or have an impact on the cost of health care. Nurse staffing can refer to the number of nurses per patient, the mix of different types of nurses in a hospital unit, or models used to allocate nurses to patients in a hospital unit. Key messages The research relating to hospital nurse staffing is very limited and the findings should be treated with caution. It is unlikely that adding nurses with advanced nursing skills (Nurse Practitioners (NPs)) or with expertise in a particular area of practice (Clinical Nurse Specialists (CNSs)) to hospital nurse staffing makes any difference to patient death rates. We cannot be sure what other effect it might have on patients, for example, if it reduces the time patients spend in hospital or the costs of patient care. We cannot be sure if changes to the way in which nurses are allocated to patient care reduces the numbers of nurses resigning, or if introducing unqualified nurses to the nursing workforce reduces costs, as the research here is very limited too. What was studied in the review? We found studies that looked at the effects of four main strategies or models of nurse staffing: adding advanced or specialist nurses to the nursing workforce, introducing lessâ€qualified nursing personnel to the nursing workforce, changing the way in which nurses are allocated within a hospital unit to provide patient care, and changing the way hospital units schedule nursing shifts. We were most interested in the impact of these interventions on seven main outcomes: nursingâ€staff resignations (turnover), patient deaths, patients being readmitted following discharge from the hospital, patients attending the Emergency Department (ED) for care following discharge, the number of days patients stayed in the hospital, the number of patients with pressure sores, and the costs of care. What are the main results of the review? We found 11 studies where advanced or specialist nurses were added to the nursing workforce. None of the studies reported the impact of this intervention on nursingâ€staff resignations; three studies found that it may make little or no difference to patient deaths. We cannot be sure whether this intervention has an effect on reducing the number of patients being readmitted following discharge from hospital or attending an ED for care after discharge because the research is very limited. As well, we are uncertain about its effect on reducing the number of days patients stayed in the hospital, the number of patients with pressure sores, or healthcare costs, again because the research is very limited. We found one relevant study that looked at adding nursing assistants to the nursing workforce, which was aimed at reducing costs. We cannot be sure about the effect on costs as the research is very limited. We found five studies of primary nursing (where one nurse is responsible for the total care of a number of patients 24 hours a day, seven days a week) and two studies of nurseâ€staffing models. One nurseâ€staffing model study tested hospital units scheduling their own nursing shifts (selfâ€staffing), and the other study compared different ways to schedule nursing shifts. We cannot be sure about the impact of primary nursing or nurseâ€staffing models on nurse resignations or costs because the research is very limited. How upâ toâ€date is this review? The review authors searched for studies that had been published up to March 2018.</t>
  </si>
  <si>
    <t>J568</t>
  </si>
  <si>
    <t>Guideline No. 388-Determination of Gestational Age by Ultrasound</t>
  </si>
  <si>
    <t>Objective: To assist clinicians in assigning gestational age based on ultrasound biometry. Outcome(s): To determine whether ultrasound dating provides more accurate gestational age assessment than menstrual dating with or without the use of ultrasound. To provide maternity health care providers and researchers with evidence-based guidelines for the assignment of gestational age. To determine which ultrasound biometric parameters are superior when gestational age is uncertain. To determine whether ultrasound gestational age assessment is cost effective. Evidence: Published literature was retrieved through searches of PubMed or MEDLINE and The Cochrane Library in 2013 using appropriate controlled vocabulary and key words (gestational age, ultrasound biometry, ultrasound dating). Results were restricted to systematic reviews, randomized control trials/controlled clinical trials, and observational studies written in English. There were no date restrictions. Searches were updated on a regular basis and incorporated in the guideline to July 31, 2013. Grey (unpublished) literature was identified through searching the websites of health technology assessment and health technology-related agencies, clinical practice guideline collections, clinical trial registries, and national and international medical specialty societies. Values: The quality of evidence in this document was rated using the criteria described in the Report of the Canadian Task Force on Preventive Health Care (Table 1). Benefits, harms, and costs: Accurate assignment of gestational age may reduce post-dates labour induction and may improve obstetric care through allowing the optimal timing of necessary interventions and the avoidance of unnecessary ones. More accurate dating allows for optimal performance of prenatal screening tests for aneuploidy. A national algorithm for the assignment of gestational age may reduce practice variations across Canada for clinicians and researchers. Potential harms include the possible reassignment of dates when significant fetal pathology (such as fetal growth restriction or macrosomia) result in a discrepancy between ultrasound biometric and clinical gestational age. Such reassignment may lead to the omission of appropriate-or the performance of inappropriate-fetal interventions. Summary Statements: 1 When performed with quality and precision, ultrasound alone is more accurate than a certain" menstrual date for determining gestational age in the first and second trimesters (&lt;= 23 weeks) in spontaneous conceptions, and it is the best method for estimating the delivery date (II). 2 In the absence of better assessment of gestational age, routine ultrasound in the first or second trimester reduces inductions for post-term pregnancies (I). 3 Ideally, every pregnant woman should be offered a first-trimester dating ultrasound; however, if the availability of obstetrical ultrasound is limited, it is reasonable to use a second-trimester scan to assess gestational age (I). Recommendations: 1 First-trimester crown-rump length is the best parameter for determining gestational age and should be used whenever appropriate (I A). 2 If there is more than one first-trimester scan with a mean sac diameter or crown-rump length measurement, the earliest ultrasound with a crown-rump length equivalent to at least 7 weeks (or 10 mm) should be used to determine the gestational age (III B). Ideally the dating ultrasound is at least 7 weeks or 10 mm of gestation. However, in the absence of timed fertilization, clinical judgement and discretion can be applied should the only early crown-rump length scan be prior to 10 mm and 7 weeks and thus a repeat scan is not mandatory. Factors to consider include the quality of the scan, ultrasound method, and all available clinical information. 3 Between the 12th and 14th weeks, crown-rump length and biparietal diameter are similar in accuracy. It is recommended that crown-rump length be used up to 84 mm, and the biparietal diameter be used for measurements &gt; 84 mm (II-1 A). 4 If a second- or third-trimester scan is used to determine gestational age, a combination of multiple biometric parameters (bipariet l diameter, head circumference, abdominal circumference, and femur length) should be used to determine gestational age, rather than a single parameter (II-1 A). 5 When the assignment of gestational age is based on a third-trimester ultrasound, it is difficult to confirm an accurate due date. Follow-up of interval growth is suggested 2 to 3 weeks following the ultrasound (III C). Copyright © 2019 The Society of Obstetricians and Gynaecologists of Canada/La Societe des obstetriciens et gynecologues du Canada."</t>
  </si>
  <si>
    <t>J569</t>
  </si>
  <si>
    <t>Taking stock of cost-effectiveness analysis of healthcare in China</t>
  </si>
  <si>
    <t>&lt;b&gt;INTRODUCTION&lt;/b&gt;: Cost-effectiveness analysis (CEA) is playing an increasingly important role in informing healthcare decision-making in China. This study aims to review the published literature on CEA in mainland China and describe its characteristics and evolution. We provide recommendations on the future direction of CEA as a methodology and as a tool to support healthcare decision-making in China._x000D_
&lt;b&gt;METHODS&lt;/b&gt;: English-language cost-per-quality-adjusted life-year (QALY) and cost-per-disability-adjusted life-year (DALY) publications relating to mainland China were reviewed using the Tufts Medical Center Cost-Effectiveness Analysis Registry and Global Health Cost-Effectiveness Analysis Registry through 2017. Study features were summarised using descriptive statistics. Changes in study methodology over time were analysed by trend test, and study characteristics influencing the incremental cost-effectiveness ratio (ICER) of cost-per-QALY studies were investigated using logistic regression._x000D_
&lt;b&gt;RESULTS&lt;/b&gt;: 170 studies were identified reporting CEA for mainland China (cost/QALY=125, cost/DALY=45) since 1998. The number and quality of studies has increased over the past two decades, with significantly more cost-per-QALY studies compared with cost-per-DALY studies (p&lt;0.0001) and more studies with authors affiliated with Chinese institutions (p=0.0002). The average quality score was 5.04 out of 7 for cost-per-QALY and 4.70 for cost-per-DALY studies based on Registry reviewers' subjective assessment of overall quality (methods, assumptions and reporting practices). The median ICER reported for interventions for oncology patients was higher (US$26 694 per QALY) than the median ICER reported for all interventions (US$11 503 per QALY). Oncology interventions were associated with the likelihood of reporting higher ICERs than the median ICER (p=0.003)._x000D_
&lt;b&gt;CONCLUSION&lt;/b&gt;: The number of English-language published CEA studies relating to China has grown rapidly over the past 20 years. In terms of quality, the China studies compare favourably with international studies, although they remain a small proportion of studies globally.</t>
  </si>
  <si>
    <t>Interventions for involving older patients with multi‐morbidity in decision‐making during primary care consultations</t>
  </si>
  <si>
    <t>- Background Older patients with multiple health problems (multi‐morbidity) value being involved in decision‐making about their health care. However, they are less frequently involved than younger patients. To maximise quality of life, day‐to‐day function, and patient safety, older patients require support to identify unmet healthcare needs and to prioritise treatment options. Objectives To assess the effects of interventions for older patients with multi‐morbidity aiming to involve them in decision‐making about their health care during primary care consultations. Search methods We searched the Cochrane Central Register of Controlled Trials (CENTRAL; all years to August 2018), in the Cochrane Library; MEDLINE (OvidSP) (1966 to August 2018); Embase (OvidSP) (1988 to August 2018); PsycINFO (OvidSP) (1806 to August 2018); the Cumulative Index to Nursing and Allied Health Literature (CINAHL) (Ovid) (1982 to September 2008), then in Ebsco (2009 to August 2018); Centre for Reviews and Dissemination Databases (Database of Abstracts and Reviews of Effects (DARE)) (all years to August 2018); the Health Technology Assessment (HTA) Database (all years to August 2018); the Ongoing Reviews Database (all years to August 2018); and Dissertation Abstracts International (1861 to August 2018). Selection criteria We sought randomised controlled trials (RCTs), cluster‐RCTs, and quasi‐RCTs of interventions to involve patients in decision‐making about their health care versus usual care/control/another intervention, for patients aged 65 years and older with multi‐morbidity in primary care. Data collection and analysis We used standard Cochrane methodological procedures. Meta‐analysis was not possible; therefore we prepared a narrative synthesis. Main results We included three studies involving 1879 participants: two RCTs and one cluster‐RCT. Interventions consisted of: · patient workshop and individual coaching using behaviour change techniques; · individual patient coaching utilising cognitive‐behavioural therapy and motivational interviewing; and · holistic patient review, multi‐disciplinary practitioner training, and organisational change. No studies reported the primary outcome ‘patient involvement in decision‐making’ or the primary adverse outcome ‘less patient involvement as a result of the intervention’. Comparing interventions (patient workshop and individual coaching, holistic patient review plus practitioner training, and organisational change) to usual care: we are uncertain whether interventions had any effect on patient reports of high self‐rated health (risk ratio (RR) 1.40, 95% confidence interval (CI) 0.36 to 5.49; very low‐certainty evidence) or on patient enablement (mean difference (MD) 0.60, 95% CI ‐9.23 to 10.43; very low‐certainty evidence) compared with usual care. Interventions probably had no effect on health‐related quality of life (adjusted difference in means 0.00, 95% CI ‐0.02 to 0.02; moderate‐certainty evidence) or on medication adherence (MD 0.06, 95% CI ‐0.05 to 0.17; moderate‐certainty evidence) but probably improved the number of patients discussing their priorities (adjusted odds ratio 1.85, 95% CI 1.44 to 2.38; moderate‐certainty evidence) and probably increased the number of nurse consultations (incident rate ratio from adjusted multi‐level Poisson model 1.37, 95% CI 1.17 to 1.61; moderate‐certainty evidence) compared with usual care. Practitioner outcomes were not measured. Interventions were not reported to adversely affect rates of participant death or anxiety, emergency department attendance, or hospital admission compared with usual care. Comparing interventions (patient workshop and coaching, individual patient coaching) to attention‐control conditions: we are uncertain whether interventions affect patient‐reported high self‐rated health (RR 0.38, 95% CI 0.15 to 1.00, favouring attention control, with very low‐certainty evidence; RR 2.17, 95% CI 0.85 to 5.52, favouring the intervention, with very low‐certain y evidence). We are uncertain whether interventions affect patient enablement and engagement by increasing either patient activation (MD 1.20, 95% CI ‐8.21 to 10.61; very low‐certainty evidence) or self‐efficacy (MD 0.29, 95% CI ‐0.21 to 0.79; very low‐certainty evidence); or whether interventions affect the number of general practice visits (MD 0.51, 95% CI ‐0.34 to 1.36; very low‐certainty evidence), compared to attention‐control conditions. The intervention may however lead to more patient‐reported changes in management of their health conditions (RR 1.82, 95% CI 1.35 to 2.44; low‐certainty evidence). Practitioner outcomes were not measured. Interventions were not reported to adversely affect emergency department attendance nor hospital admission when compared with attention control. Comparing one form of intervention with another: not measured. There was 'unclear' risk across studies for performance bias, detection bias, and reporting bias; however, no aspects were 'high' risk. Evidence was downgraded via GRADE, most often because of 'small sample size' and 'evidence from a single study'. Authors' conclusions Limited available evidence does not allow a robust conclusion regarding the objectives of this review. Whilst patient involvement in decision‐making is seen as a key mechanism for improving care, it is rarely examined as an intervention and was not measured by included studies. Consistency in design, analysis, and evaluation of interventions would enable a greater likelihood of robust conclusions in future reviews. Plain language summary Interventions for involving older patients with more than one long‐term health problem in decision‐making during primary care consultations Background The number of older people with more than one long‐term health problem is steadily increasing worldwide. Such individuals can have complicated healthcare needs. Although they frequently want to be involved in making decisions about their health care, they are less often involved than younger, healthier people. As a result, they may not be offered the same treatment options. Review question We reviewed available evidence about the effects of interventions intended to involve older people with more than one long‐term health problem in decision‐making about their health care during primary care consultations. Study characteristics We included research published up until August 2018. We found three relevant studies involving 1879 participants. These studies were reported from three countries. Participants were over 65 years of age with three or more long‐term health problems on average. Interventions investigated included: · patient workshops and individual patient coaching; · patient coaching including cognitive‐behavioural therapy; and · whole‐person patient review, practitioner training, and organisational changes. All studies were funded by national research bodies. Key results None of the studies reported the main outcome ‘patient involvement in decision‐making about their health care’ nor whether there was less patient involvement as a result of the intervention. Interventions were not found to increase adverse outcomes such as death, anxiety, emergency department attendance, or hospital admissions.. We are uncertain whether interventions for involving older people with more than one long‐term health problem in decision‐making about their health care can improve their self‐rated health or healthcare engagement, or make any difference in self‐efficacy (one's belief in one's ability to succeed in specific situations) or in the overall number of general practice visits. We can report that these interventions probably make little or no difference in patients' quality of life but probably increase the number of patients discussing their priorities, and are associated with more patient consultations with nurses, when compared to usual care. Interventions may be associated with more changes in the management of health conditions when considered from the patient’s perspective whe compared with a control group. The quality of the evidence was limited by small studies, and by studies choosing to measure different outcomes, resulting in lack of data that could be combined in analyses. Conclusions Further research in this developing area is required before firm conclusions can be drawn.</t>
  </si>
  <si>
    <t>J572</t>
  </si>
  <si>
    <t>Barriers and facilitators to the implementation of a stratified model of care for low back pain patients in primary care in Portugal</t>
  </si>
  <si>
    <t>Background: The results of a recent study have suggested that the current clinical practice is not in line with clinical guideline recommendations and may not be delivering the best outcomes to Low Back Pain (LBP) Portuguese patients. Since the stratified primary care approach has demonstrated clinical and cost-effectiveness in the UK and other countries, the SPLIT project aimed to introduce a similar approach that involves general practitioners (GPs) and physiotherapists (PTs) in the triage and targeted treatment for LBP patients, in Portugal. In order to facilitate the implementation of this project a training program for GPs and PTs was delivered by rheumatologists and PTs. Considering the specific organization of the Portuguese primary care, it was important to explore the perceptions of the GPs and PTs, who attended to the training, regarding the implementation of the SPLIT stratified model of care in the Portuguese context. Objective(s): Identify and understand the potential barriers and facilitators to the implementation of the SPLIT stratified model of care. Method(s): After obtaining ethical approval, two focus groups (one for each professional group) were carried out. The focus groups were based on a semi-structured interview schedule, audio-recorded and transcribed verbatim. A thematic analysis was conducted. Firstly, two researchers independently coded the transcripts. Secondly, these researchers discussed the codes and examined their scope and relevance. Thirdly, the researchers developed a coding scheme that included the main themes and sub-themes, as well as the connections among them. Result(s): The potential barriers were identified and explored by both professional groups. The introduction of change into the routine delivery care was identified as one of the most important barriers. According to the GPs perspective, the possibility of inadequate referral was considered as an issue. The PTs highlighted the challenges inherent to the psychosocial informed physiotherapy treatment of patients classified with high risk of developing persistent and disabling pain. More specifically, they emphasised the need to receive mentoring sessions in clinical practice, in order to develop competences for the management of psychosocial issues. In what concerns to the potential facilitators to the implementation of the model, the participants personal motivation was considered as one of the most important factors. The alignment of the SPLIT model with the mission and goals of the health care units where the project was going to be piloted was also identified as an important facilitator. Finally, both professionals groups considered that the SPLIT model may facilitate the interdisciplinary approach to the management of this condition, as it clarifies the specific contribution of GPs and PTs in the approach to LBP patients Conclusion(s): The knowledge about the potential barriers and facilitators to the implementation of the SPLIT stratified model of care may contribute to the successful implementation of stratified care for LBP patients in Portugal.</t>
  </si>
  <si>
    <t>J573</t>
  </si>
  <si>
    <t>Protocol for a pragmatic cluster randomised controlled trial assessing the clinical effectiveness and cost effectiveness of electronic risk-assessment tools for cancer for patients in general practice (ERICA)</t>
  </si>
  <si>
    <t>Introduction: Compared with other developed countries, the UK has poorer cancer outcomes. Early cancer diagnosis within general practice has the potential to facilitate improvements. Paper and mouse mat Risk Assessment Tools (RATs) for 18 cancers have been developed to support GPs in identifying cancer. The RATs give precise estimates of the risk of an underlying cancer based on a single symptom or combination of symptoms. Some of the RATs have been converted into electronic versions (eRATs) and embedded into GPs' clinical systems, delivering an automated prompt to consider the possibility of cancer when a patient has at least a 2% risk of cancer. Early pilot work suggests that the eRATs are acceptable to GPs. There is no evidence to date of their clinical- or cost-effectiveness. Method(s): A pragmatic, cluster RCT with 530 practices across England randomised 1:1 to receive either the intervention (access to the eRATs medical device including: lung, oesophago-gastric, kidney, bladder, ovarian, colorectal) or usual practice. There will also be embedded process and health economics evaluations along with a parallel study modelling the impact of eRATs on NHS service delivery. Clinical outcomes will be observed in routinely collected data exported from the cancer registry. The primary outcome will be the proportion of the combined six cancers diagnosed during a 2-year follow-up that were at Stage 1/2 (early - cure likely) versus Stage 3/4 (late - cure not likely) at the time of diagnosis. Ethics approval and trial registration will be sought in the early spring 2019. Practice recruitment is planned to launch in summer 2019 and close in winter 2019. Result(s): Results will be available from winter 2023. Discussion(s): The results of the RCT will provide a definitive assessment of the clinical- and cost-effectiveness of the six eRATs being studied and report their impact on patient care.</t>
  </si>
  <si>
    <t>Background The United States Preventive Services Task Force supports individualised decision-making for prostate-specific antigen (PSA)-based screening in men aged 55-69. Knowing how the potential benefits and harms of screening vary by an individual's risk of developing prostate cancer could inform decision-making about screening at both an individual and population level. This modelling study examined the benefit-harm tradeoffs and the cost-effectiveness of a risk-tailored screening programme compared to age-based and no screening. Methods and findings A life-table model, projecting age-specific prostate cancer incidence and mortality, was developed of a hypothetical cohort of 4.48 million men in England aged 55 to 69 years with follow-up to age 90. Risk thresholds were based on age and polygenic profile. We compared no screening, age-based screening (quadrennial PSA testing from 55 to 69), and risk-tailored screening (men aged 55 to 69 years with a 10-year absolute risk greater than a threshold receive quadrennial PSA testing from the age they reach the risk threshold). The analysis was undertaken from the health service perspective, including direct costs borne by the health system for risk assessment, screening, diagnosis, and treatment. We used probabilistic sensitivity analyses to account for parameter uncertainty and discounted future costs and benefits at 3.5% per year. Our analysis should be considered cautiously in light of limitations related to our model's cohort-based structure and the uncertainty of input parameters in mathematical models. Compared to no screening over 35 years follow-up, age-based screening prevented the most deaths from prostate cancer (39,272, 95% uncertainty interval [UI]: 16,792-59,685) at the expense of 94,831 (95% UI: 84,827-105,630) overdiagnosed cancers. Age-based screening was the least cost-effective strategy studied. The greatest number of quality-adjusted life-years (QALYs) was generated by risk-based screening at a 10-year absolute risk threshold of 4%. At this threshold, risk-based screening led to one-third fewer overdiagnosed cancers (64,384, 95% UI: 57,382-72,050) but averted 6.3% fewer (9,695, 95% UI: 2,853-15,851) deaths from prostate cancer by comparison with age-based screening. Relative to no screening, risk-based screening at a 4% 10-year absolute risk threshold was cost-effective in 48.4% and 57.4% of the simulations at willingness-to-pay thresholds of GBP20,000 (US$26,000) and 30,000 ($39,386) per QALY, respectively. The cost-effectiveness of risk-tailored screening improved as the threshold rose. Conclusions Based on the results of this modelling study, offering screening to men at higher risk could potentially reduce overdiagnosis and improve the benefit-harm tradeoff and the cost-effectiveness of a prostate cancer screening program. The optimal threshold will depend on societal judgements of the appropriate balance of benefits-harms and cost-effectiveness. Copyright: © 2019 Callender et al. This is an open access article distributed under the terms of the Creative Commons Attribution License, which permits unrestricted use, distribution, and reproduction in any medium, provided the original author and source are credited.</t>
  </si>
  <si>
    <t>J576</t>
  </si>
  <si>
    <t>Pragmatic cluster randomised cohort cross-over trial to determine the effectiveness of bridging from emergency to regular contraception: The Bridge-It study protocol</t>
  </si>
  <si>
    <t>Introduction Oral emergency contraception (EC) can prevent unintended pregnancy but it is important to start a regular method of contraception. Women in the UK usually access EC from a pharmacy but then need a subsequent appointment with a general practitioner or a sexual and reproductive health (SRH) service to access regular contraception. Unintended pregnancies can occur during this time. Methods and analysis Bridge-It is a pragmatic cluster randomised cohort cross-over trial designed to determine whether pharmacist provision of a bridging supply of a progestogen-only pill (POP) plus rapid access to a local SRH clinic, results in increased uptake of effective contraception and prevents more unintended pregnancies than provision of EC alone. Bridge-It involves 31 pharmacies in three UK regions (London, Lothian and Tayside) aiming to recruit 626-737 women. Pharmacies will give EC (levonorgestrel) according to normal practice and recruit women to both intervention and the control phases of the study. In the intervention phase, pharmacists will provide the POP (desogestrel) and offer rapid access to an SRH clinic. In the control phase, pharmacists will advise women to attend a contraceptive provider for contraception (standard care). Women will be asked 4 months later about contraceptive use. Data linkage to abortion registries will provide abortion rates over 12 months. The sample size is calculated on the primary outcome of effective contraception use at 4 months (yes/no) with 90% power and a 5% level of significance. Abortion rates will be an exploratory secondary analysis. Process evaluation includes interviews with pharmacists, SRH clinicians and women. Cost-effectiveness analysis will use a healthcare system perspective and be expressed as incremental cost-effectiveness ratio. Ethics and dissemination Ethical approval was received from South East Scotland REC June 2017. Results will be published in peer-reviewed journals and conference presentations. Trial registration number ISRCTN70616901. Copyright © Author(s) (or their employer(s)) 2019. Re-use permitted under CC BY. Published by BMJ.</t>
  </si>
  <si>
    <t>J577</t>
  </si>
  <si>
    <t>Screening for Latent Tuberculosis Infection in Migrants With CKD: A Cost-effectiveness Analysis</t>
  </si>
  <si>
    <t>Rationale &amp; Objective: In countries with a low tuberculosis (TB) incidence, TB disproportionately affects populations born abroad. TB persists in these populations through reactivation of latent TB infection (LTBI) acquired before immigration. Those with chronic kidney disease (CKD) are at increased risk for reactivation and may benefit from LTBI screening and treatment. Study Design: Health administrative data from British Columbia, Canada, were used to inform a cost-effectiveness analysis evaluating LTBI screening in those diagnosed with stage 4 or 5 CKD not requiring dialysis (late-stage CKD) and those who began dialysis therapy. Setting &amp; Population: Permanent residents establishing residency in British Columbia, Canada, between 1985 and 2012 who had late-stage CKD diagnosed or began dialysis therapy. Intervention(s): Screening with the tuberculin skin test or interferon-gamma release assay (IGRA) compared to no LTBI screening at the time of late-stage CKD diagnosis and time of dialysis therapy initiation. Treatment for those who tested positive was isoniazid for 9 months. Outcome(s): Costs (2016 Can $), TB cases, and quality-adjusted life-years (QALYs). The incremental cost-effectiveness ratio for QALYs gained was calculated. Model, Perspective, &amp; Timeframe: Discrete event simulation model using a health care system perspective, 1.5% discount rate, and 5-year time horizon. Result(s): Screening with IGRA was superior to the tuberculin skin test in all situations. Screening with IGRA was less expensive and resulted in better outcomes compared to no screening in those initiating dialysis therapy from countries with an elevated TB incidence. In individuals with late-stage CKD, screening with IGRA was only cost-effective in those 60 years or older (cost per QALY gained, &lt;$48,000) from countries with an elevated TB incidence. Limitation(s): This study has limitations in generalizability to different epidemiologic settings and in modeling complicated clinical decisions. Conclusion(s): LTBI screening should be considered in non-Canadian-born residents initiating dialysis therapy and those with late stage CKD who are older. Copyright © 2018 National Kidney Foundation, Inc.</t>
  </si>
  <si>
    <t>J578</t>
  </si>
  <si>
    <t>Implementation interventions for musculoskeletal programs of care in the active military and barriers, facilitators, and outcomes of implementation: a scoping review</t>
  </si>
  <si>
    <t>BACKGROUND: Musculoskeletal disorders are common in the active military and are associated with significant lost duty days and disability. Implementing programs of care to manage musculoskeletal disorders can be challenging in complex healthcare systems such as in the military. Understanding how programs of care for musculoskeletal disorders have been implemented in the military and how they impact outcomes may help to inform future implementation interventions in this population. METHOD(S): We conducted a scoping review using the modified Arksey and O'Malley framework to identify literature on (1) implementation interventions of musculoskeletal programs of care in the active military, (2) barriers and facilitators of implementation, and (3) implementation outcomes. We identified studies published in English by searching MEDLINE, CINAHL, Embase, and CENTRAL (Cochrane) from inception to 1 June 2018 and hand searched reference lists of relevant studies. We included empirical studies. We synthesized study results according to three taxonomies: the Effective Practice and Organization of Care (EPOC) taxonomy to classify the implementation interventions; the capability, opportunity, motivation-behavior (COM-B) system to classify barriers and facilitators of implementation; and Proctor et al.'s taxonomy (Adm Policy Ment Health 38:65-76, 2011) to classify outcomes in implementation research. RESULT(S): We identified 1785 studies and 16 were relevant. All but two of the relevant studies were conducted in the USA. Implementation interventions were primarily associated with delivery arrangements (e.g., multidisciplinary care). Most barriers or facilitators of implementation were environmental (physical or social). Service and client outcomes indicated improved efficiency of clinical care and improved function and symptomology. Studies reporting implementation outcomes indicated the programs were acceptable, appropriate, feasible, or sustainable. CONCLUSION(S): Identification of evidence-based approaches for the management of musculoskeletal disorders is a priority for active-duty military. Our findings can be used by military health services to inform implementation strategies for musculoskeletal programs of care. Further research is needed to better understand (1) the components of implementation interventions, (2) how to overcome barriers to implementation, and (3) how to measure implementation outcomes to improve quality of care and recovery from musculoskeletal disorders.</t>
  </si>
  <si>
    <t>J579</t>
  </si>
  <si>
    <t>Results of a Birth Cohort Hepatitis C Screening Program in an Academic Emergency Department in Canada</t>
  </si>
  <si>
    <t>BACKGROUND: Epidemiologic and modeling studies suggest that between 45% and 70% of individuals with chronic hepatitis C virus (HCV) infection in Canada remain undiagnosed. The Canadian Association for the Study of the Liver (CASL) recommends one-time screening of baby boomers (1945-1975), based on data showing HCV prevalence is highest in this cohort and screening is cost-effective. Screening programs in the US have shown a very high prevalence of previously undiagnosed HCV among patients seen in the Emergency department (ED). The utility of ED screening has not been evaluated in Canada. PURPOSE: To assess the feasibility of implementing a targeted birth-cohort HCV screening program in the ED setting. METHOD(S): Patients born from 1945 to 1975 presenting to the ED of a tertiary care hospital were offered HCV testing. Patients with lifethreatening conditions and unable to provide verbal consent in English were excluded. Blood samples were collected by finger prick on Dried Blood Spot (DBS) collection cards and tested for anti-HCV with reflex to HCV RNA. Patients with positive HCV RNA were referred to a liver specialist. RESULT(S): During a 14-month period, 6,613 patients in the birth cohort presented to the ED during daytime hours. 77% (5,117) met the eligibility criteria, 52% (2,817) were offered testing: 269 (11%) were previously tested, 487 (20%) declined. 1,639 (66%) individuals underwent testing: median age 58.2 (35-74), 850 male (51.9%). Of these, 29 patients (1.8%; 95% CI 1.2% to 2.4%) were anti-HCV positive: 18 (69.2%) were HCV RNA positive, 7 (26.9%) negative and 3 not done due to inadequate DBS sample. Screening was successfully done by non-medical staff (mean 8/day, median spots on DBS 3). 14 patients (78%) were linked to care and 4 lost to follow-up. The HCV prevalence in the ED was significantly higher than the general Canadian population (1.8% vs 0.7%; p &lt; 0.0001) but much lower than reported rates in American EDs (1.8% vs 10.3%; p &lt; 0.0001). CONCLUSION(S): Acceptance of HCV screening in the ED birth cohort was high and easily performed using DBS to ensure the majority of positive samples were tested for HCV RNA. Challenges with implementation limited the number of people tested. HCV prevalence among this ED birth cohort was higher than the general population but lower than seen in the ED in the US. This may in part be due to exclusion of individuals with more severe medical issues or possibly due to population and health care system differences between countries.</t>
  </si>
  <si>
    <t>J580</t>
  </si>
  <si>
    <t>Results of a birth cohort hepatitis C screening program in an academic emergency department in Canada</t>
  </si>
  <si>
    <t>Background and aims: Epidemiologic and modeling studies suggest that between 45 and 70% of individuals with chronic hepatitis C virus (HCV) infection in Canada remain undiagnosed. The Canadian Association for the Study of the Liver (CASL) recommends one-time screening of baby boomers (1945-1975), based on data showing HCV prevalence is highest in this cohort and screening is cost-effective. Screening programs in the US have shown a very high prevalence of previously undiagnosed HCV among patients seen in the Emergency department (ED). The utility of ED screening has not been evaluated in Canada. To assess the feasibility of implementing a targeted birth-cohort HCV screening program in the ED setting. Method(s): Patients born from 1945 to 1975 presenting to the ED of a tertiary care hospital were offered HCV testing. Patients with life-threatening conditions and unable to provide verbal consent in English were excluded. Blood samples were collected by finger prick on Dried Blood Spot (DBS) collection cards and tested for anti-HCV with reflex to HCV RNA. Patients with positive HCV RNA were referred to a liver specialist. Result(s): During a 14-month period, 6, 613 patients in the birth cohort presented to the ED during daytime hours. 77% (5, 117) met the eligibility criteria, 52% (2, 817) were offered testing: 269 (11%) were previously tested, 487 (20%) declined. 1639 (66%) individuals underwent testing: median age 58.2 (35-74), 850 male (51.9%). Of these, 29 patients (1.8%; 95%CI 1.2%-2.4%) were anti-HCV positive: 18 (69.2%) were HCV RNA positive, 7 (26.9%) negative and 3 not done due to inadequate DBS sample. Screening was successfully done by non-medical staff (mean 8/day, median spots on DBS 3). 14 patients (78%) were linked to care and 4 lost to follow-up. The HCV prevalence in the ED was significantly higher than the general Canadian population (1.8% vs 0.7%; p &lt; 0.0001) but much lower than reported rates in American EDs (1.8% vs 10.3%; p &lt; 0.0001). Conclusion(s): Acceptance of HCV screening in the ED birth cohort was high and easily performed using DBS to ensure the majority of positive samples were tested for HCV RNA. Challenges with implementation limited the number of people tested. HCV prevalence among this ED birth cohort was higher than the general population but lower than seen in the ED in the US. This may in part be due to exclusion of individuals with more severe medical issues or possibly due to population and healthcare system differences between countries. Copyright © 2019 European Association for the Study of the Liver</t>
  </si>
  <si>
    <t>J581</t>
  </si>
  <si>
    <t>Fls implementation: An innovative service support model for secondary fracture prevention in the UK</t>
  </si>
  <si>
    <t>An FLS systematically finds, assesses, treats and follows-up fragility fracture patients to prevent secondary fractures. Fracture prevention is cost-effective in terms of both social and healthcare budgets. Studies show that half of hip fractures occur after a prior fragility fracture, and 25% of hip fractures could be prevented with effective identification and treatment. Since 2014 the NOS has led an innovative programme providing a 'top-down' (national influencing, policy agenda) and 'bottom-up' (operational health service delivery support) approach to developing FLS in the UK. To date, 29 new services have been set-up; providing FLS to an additional 10m people, potentially preventing over 3200 hip fractures and saving the local health economy 65m over 5 years. This session will share our extensive experience of promoting this model.</t>
  </si>
  <si>
    <t>J582</t>
  </si>
  <si>
    <t>Recontacting patients in clinical genetics services: recommendations of the European Society of Human Genetics</t>
  </si>
  <si>
    <t>Technological advances have increased the availability of genomic data in research and the clinic. If, over time, interpretation of the significance of the data changes, or new information becomes available, the question arises as to whether recontacting the patient and/or family is indicated. The Public and Professional Policy Committee of the European Society of Human Genetics (ESHG), together with research groups from the UK and the Netherlands, developed recommendations on recontacting which, after public consultation, have been endorsed by ESHG Board. In clinical genetics, recontacting for updating patients with new, clinically significant information related to their diagnosis or previous genetic testing may be justifiable and, where possible, desirable. Consensus about the type of information that should trigger recontacting converges around its clinical and personal utility. The organization of recontacting procedures and policies in current health care systems is challenging. It should be sustainable, commensurate with previously obtained consent, and a shared responsibility between healthcare providers, laboratories, patients, and other stakeholders. Optimal use of the limited clinical resources currently available is needed. Allocation of dedicated resources for recontacting should be considered. Finally, there is a need for more evidence, including economic and utility of information for people, to inform which strategies provide the most cost-effective use of healthcare resources for recontacting. Copyright © 2018, The Author(s).</t>
  </si>
  <si>
    <t>- Background Community pharmacists could provide effective smoking cessation treatment because they offer easy access to members of the community. They are well placed to provide both advice on the correct use of smoking cessation products and behavioural support to aid smoking cessation. Objectives To assess the effectiveness of interventions delivered by community pharmacy personnel to assist people to stop smoking, with or without concurrent use of pharmacotherapy. Search methods We searched the Cochrane Tobacco Addiction Group Specialised Register, along with clinicaltrials.gov and the ICTRP, for smoking cessation studies conducted in a community pharmacy setting, using the search terms pharmacist* or pharmacy or pharmacies. Date of the most recent search: January 2019. Selection criteria Randomised controlled trials of interventions delivered by community pharmacy personnel to promote smoking cessation amongst their clients who were smokers, compared with usual pharmacy support or any less intensive programme. The main outcome measure was smoking cessation rates at six months or more after the start of the intervention. Data collection and analysis We used standard methodological procedures expected by Cochrane for study screening, data extraction and management. We conducted a meta‐analysis using a Mantel‐Haenszel random‐effects model to generate risk ratios (RRs) and 95% confidence intervals (CIs). Main results We identified seven studies including 1774 participants. We judged three studies to be at high risk of bias and four to be at unclear risk. Each study provided face‐to‐face behavioural support delivered by pharmacy staff, and required pharmacy personnel training. Typically such programmes comprised support starting before quit day and continuing with weekly appointments for several weeks afterwards. Comparators were either minimal or less intensive behavioural support for smoking cessation, typically comprising a few minutes of one‐off advice on how to quit. Participants in both intervention and control arms received equivalent smoking cessation pharmacotherapy in all but one study. All studies took place in high‐income countries, and recruited participants visiting pharmacies. We pooled six studies of 1614 participants and detected a benefit of more intensive behavioural smoking cessation interventions delivered by community pharmacy personnel compared with less intensive cessation interventions at longest follow‐up (RR 2.30, 95% CI 1.33 to 3.97; I 2 = 54%; low‐certainty evidence). Authors' conclusions Community pharmacists can provide effective behavioural support to people trying to stop smoking. However, this conclusion is based on low‐certainty evidence, limited by risk of bias and imprecision. Further research could change this conclusion. Plain language summary Does quit‐smoking support delivered by community pharmacy staff help people to stop smoking? Background Tobacco smoking is the leading cause of preventable death and disease worldwide. Community pharmacists are respected healthcare professionals who provide easily accessible and convenient healthcare services to their communities, and they are well placed to provide their clients with help to quit smoking. Indeed, many governments recognise community pharmacies as a useful way of delivering many healthcare services. However, we need evidence that these services are effective before we develop them more widely. Study characteristics We searched for relevant studies in January 2019, and found seven studies including 1774 people. Three studies took place in the UK, and one each in Australia, United States, Qatar, and Italy. Each study provided face‐to‐face behavioural support delivered by pharmacy staff, who received specific training. Studies compared the structured programme to less intensive support to stop smoking. Key results We found evidence that more intensive structured care given by community pharmacy staff probably helps more people to quit smoking than less intensive support to quit. Qualit of the evidence We found low‐quality evidence that community pharmacy support helps people to quit smoking. Limitations of the evidence came from potential problems with the ways some of the studies were carried out and the low numbers of people who quit smoking across the included studies, which means we are not sure how effective these programmes really are.</t>
  </si>
  <si>
    <t>J584</t>
  </si>
  <si>
    <t>Physiotherapy triage service for cancer patients - a service evaluation</t>
  </si>
  <si>
    <t>Purpose: Individuals with cancer experience a plethora of symptoms from diagnosis, through treatment and beyond into survivorship. Allied Health Professionals are uniquely placed to impact upon these symptoms by engaging individuals in rehabilitation. Scoping of rehabilitation services amongst individuals with cancer undergoing haematological and oncological treatment highlighted various issues with fatigue, loss of function, pain and breathlessness. A pilot programme was implemented to address these unmet needs. Method(s): In an acute teaching trust in the South West of England, individuals with cancer were highlighted by health care professionals and referred into the Therapy Treatment Support Service (TTSS). Included individuals had a cancer diagnosis and were adults aged 16 years and over, exclusion criteria specified those under 16 years of age and those without a cancer diagnosis. Telephone triage carried out by a physiotherapist provided appropriate interventions including fatigue management, musculoskeletal treatment, exercise programmes and breathlessness advice for individuals. The Functional Assessment of Cancer Therapy - General (FACT-G) was used as a quality of life outcome measure on initial and final contact. Result(s): Between March 2017 and March 2018 220 individuals were referred to TTSS with the following numbers specifying the primary reason for referral, 81 for fatigue, 71 for musculoskeletal issues, 42 for physical activity issues, 20 for mobility issues and 6 for breathlessness. In total 44 of 53 completed datasets demonstrated positive outcomes in terms of quality of life using the FACT-G. Of 23 completed datasets with fatigue as the primary reason for referral, 21 demonstrated an improvement. Conclusion(s): Fatigue is the primary reason for referral to TTSS and its interventions have shown a positive impact upon quality of life. A more detailed enquiry is required to investigate this service model. Implications: There is discrepancy in service provision for fatigue management amongst the population of those living with and beyond cancer. A cost-effective intervention that can provide equitable access is required to meet the aims stated in the Recovery Package. A standardised intervention delivered via a telephone clinic could reach a significant population of those living with and beyond cancer improving cancer-related fatigue symptoms. Funding acknowledgements: Macmillan Cancer Support provided funding for this pilot programme. The authors report no affiliations or conflicts of interest in the subject matter of this abstract. Copyright © 2018</t>
  </si>
  <si>
    <t>J585</t>
  </si>
  <si>
    <t>Fortification of wheat and maize flour with folic acid for population health outcomes</t>
  </si>
  <si>
    <t>- Background Folate is a B‐vitamin required for DNA synthesis, methylation, and cellular division. Wheat and maize (corn) flour are staple crops consumed widely throughout the world and have been fortified with folic acid in over 80 countries to prevent neural tube defects. Folic acid fortification may be an effective strategy to improve folate status and other health outcomes in the overall population. Objectives To evaluate the health benefits and safety of folic acid fortification of wheat and maize flour (i.e. alone or in combination with other micronutrients) on folate status and health outcomes in the overall population, compared to wheat or maize flour without folic acid (or no intervention). Search methods We searched the following databases in March and May 2018: Cochrane Central Register of Controlled Trials (CENTRAL), MEDLINE and MEDLINE In Process, Embase, CINAHL, Web of Science (SSCI, SCI), BIOSIS, Popline, Bibliomap, TRoPHI, ASSIA, IBECS, SCIELO, Global Index Medicus‐AFRO and EMRO, LILACS, PAHO, WHOLIS, WPRO, IMSEAR, IndMED, and Native Health Research Database. We searched the International Clinical Trials Registry Platform and ClinicalTrials.gov for ongoing or planned studies in June 2018, and contacted authors for further information. Selection criteria We included randomised controlled trials (RCTs), with randomisation at the individual or cluster level. We also included non‐RCTs and prospective observational studies with a control group; these studies were not included in meta‐analyses, although their characteristics and findings were described. Interventions included wheat or maize flour fortified with folic acid (i.e. alone or in combination with other micronutrients), compared to unfortified flour (or no intervention). Participants were individuals over two years of age (including pregnant and lactating women), from any country. Data collection and analysis Two review authors independently assessed study eligibility, extracted data, and assessed risk of bias. Main results We included 10 studies: four provided data for quantitative analyses (437 participants); five studies were randomised trials (1182 participants); three studies were non‐RCTs (1181 participants, 8037 live births); two studies were interrupted time series (ITS) studies (1 study population of 2,242,438, 1 study unreported). Six studies were conducted in upper‐middle‐income countries (China, Mexico, South Africa), one study was conducted in a lower‐middle‐income country (Bangladesh), and three studies were conducted in a high‐income country (Canada). Seven studies examined wheat flour fortified with folic acid alone or with other micronutrients. Three studies included maize flour fortified with folic acid alone or with other micronutrients. The duration of interventions ranged from two weeks to 36 months, and the ITS studies included postfortification periods of up to seven years. Most studies had unclear risk of bias for randomisation, blinding, and reporting, and low/unclear risk of bias for attrition and contamination. Neural tube defects : none of the included RCTs reported neural tube defects as an outcome. In one non‐RCT, wheat flour fortified with folic acid and other micronutrients was associated with significantly lower occurrence of total neural tube defects, spina bifida, and encephalocoele, but not anencephaly, compared to unfortified flour (total neural tube defects risk ratio (RR) 0.32, 95% confidence interval (CI) 0.21 to 0.48; 1 study, 8037 births; low‐certainty evidence). Folate status : pregnant women who received folic acid‐fortified maize porridge had significantly higher erythrocyte folate concentrations (mean difference (MD) 238.90 nmol/L, 95% CI 149.40 to 328.40); 1 study, 38 participants; very low‐certainty evidence) and higher plasma folate (MD 14.98 nmol/L, 95% CI 9.63 to 20.33; 1 study, 38 participants; very low‐certainty evidence), compared to no intervention. Women of reproductive age consuming maize flour fortified with folic acid and other micronutrients did no have higher erythrocyte folate (MD ‐61.80 nmol/L, 95% CI ‐152.98 to 29.38; 1 study, 35 participants; very low‐certainty evidence) or plasma folate (MD 0.00 nmol/L, 95% CI ‐0.00 to 0.00; 1 study, 35 participants; very low‐certainty evidence) concentrations, compared to women consuming unfortified maize flour. Adults consuming folic acid‐fortified wheat flour bread rolls had higher erythrocyte folate (MD 0.66 nmol/L, 95% CI 0.13 to 1.19; 1 study, 30 participants; very low‐certainty evidence) and plasma folate (MD 27.00 nmol/L, 95% CI 15.63 to 38.37; 1 study, 30 participants; very low‐certainty evidence), versus unfortified flour. In two non‐RCTs, serum folate concentrations were significantly higher among women who consumed flour fortified with folic acid and other micronutrients compared to women who consumed unfortified flour (MD 2.92 nmol/L, 95% CI 1.99 to 3.85; 2 studies, 657 participants; very low‐certainty evidence). Haemoglobin or anaemia : in a cluster‐randomised trial among children, there were no significant effects of fortified wheat flour flatbread on haemoglobin concentrations (MD 0.00 nmol/L, 95% CI ‐2.08 to 2.08; 1 study, 334 participants; low‐certainty evidence) or anaemia (RR 1.07, 95% CI 0.74 to 1.55; 1 study, 334 participants; low‐certainty evidence), compared to unfortified wheat flour flatbread. Authors' conclusions Fortification of wheat flour with folic acid may reduce the risk of neural tube defects; however, this outcome was only reported in one non‐RCT. Fortification of wheat or maize flour with folic acid (i.e. alone or with other micronutrients) may increase erythrocyte and serum/plasma folate concentrations. Evidence is limited for the effects of folic acid‐fortified wheat or maize flour on haemoglobin levels or anaemia. The effects of folic acid fortification of wheat or maize flour on other primary outcomes assessed in this review is not known. No studies reported on the occurrence of adverse effects. Limitations of this review were the small number of studies and participants, limitations in study design, and low‐certainty of evidence due to how included studies were designed and reported. Plain language summary The effects of fortification of wheat and maize flour with folic acid on population health outcomes Background Folate is an essential vitamin that is needed to make and repair DNA and for cell division. Folate has two main forms: folate, the natural form found in foods, and folic acid, the form that is used in supplements and fortified foods. Wheat and maize (corn) flour are staple crops consumed widely throughout the world. Fortification (i.e. the addition of vitamins and minerals to foods, to increase their nutritional value) of wheat or maize flour with folic acid has been introduced in over 80 countries to prevent neural tube defects among women of reproductive age. However, no previous systematic reviews have been conducted to evaluate the effects of folic acid‐fortified flour on folate status or other health outcomes in the general population. Review question This review aimed to determine the benefits and safety of fortification of wheat and maize flour with folic acid (i.e. alone or with other vitamins and minerals), compared to wheat or maize flour without folic acid (or no intervention), on folate status and different measures of health in the general population. Study characteristics We conducted the literature search in March and May 2018. We included 10 studies; four studies provided data for meta‐analyses. Six studies were conducted in upper‐middle‐income countries (China, Mexico, South Africa), one study was conducted in a lower‐middle‐income country (Bangladesh), and three studies were conducted in a high‐income country (Canada). Seven studies examined the effects of wheat flour fortified with folic acid alone (3 studies) or with other micronutrients (4 studies). Three studies assessed the effects of maize flour fortified with folic acid alone (1 study) or with other micronutrients (two studies). Key results and certain y of the evidence Fortification of wheat flour with folic acid may reduce the likelihood of neural tube defects (i.e. total neural tube defects and two specific types of neural tube defects, spina bifida and encephalocoele (a type of neural tube defect that affects the brain and the membranes that cover it through an opening in the skull). Fortification of wheat or maize flour with folic acid (i.e. alone or with other vitamins and minerals) may increase folate status. There was limited evidence of the effects of folic acid‐fortified wheat flour on haemoglobin levels or anaemia. The effects of folic acid fortification of wheat or maize flour on other main outcomes assessed in this review is not known. No studies reported on the occurrence of adverse effects. Limitations of this review were the small number of studies and participants, and the low‐certainty of evidence due to how included studies were designed and reported.</t>
  </si>
  <si>
    <t>- Background Botulism is an acute paralytic illness caused by a neurotoxin produced by Clostridium botulinum . Supportive care, including intensive care, is key, but the role of other medical treatments is unclear. This is an update of a review first published in 2011. Objectives To assess the effects of medical treatments on mortality, duration of hospitalization, mechanical ventilation, tube or parenteral feeding, and risk of adverse events in botulism. Search methods We searched the Cochrane Neuromuscular Specialised Register, CENTRAL, MEDLINE, and Embase on 23 January 2018. We reviewed bibliographies and contacted authors and experts. We searched two clinical trials registers, WHO ICTRP and clinicaltrials.gov, on 21 February 2019. Selection criteria Randomized controlled trials (RCTs) and quasi‐RCTs examining the medical treatment of any of the four major types of botulism (infant intestinal botulism, food‐borne botulism, wound botulism, and adult intestinal toxemia). Potential medical treatments included equine serum trivalent botulism antitoxin, human‐derived botulinum immune globulin intravenous (BIG‐IV), plasma exchange, 3,4‐diaminopyridine, and guanidine. Data collection and analysis We followed standard Cochrane methodology. Our primary outcome was in‐hospital death from any cause occurring within four weeks from randomization or the beginning of treatment. Secondary outcomes were death from any cause occurring within 12 weeks, duration of hospitalization, duration of mechanical ventilation, duration of tube or parenteral feeding, and proportion of participants with adverse events or complications of treatment. Main results A single RCT met the inclusion criteria. Our 2018 search update identified no additional trials. The included trial evaluated BIG‐IV for the treatment of infant botulism and included 59 treatment participants and 63 control participants. The control group received a control immune globulin that did not have an effect on botulinum toxin. Participants were followed during the length of their hospitalization to measure the outcomes of interest. There was some violation of intention‐to‐treat principles, and possibly some between‐treatment group imbalances among participants admitted to the intensive care unit and mechanically ventilated, but otherwise the risk of bias was low. There were no deaths in either group, making any treatment effect on mortality inestimable. There was a benefit in the treatment group on mean duration of hospitalization (BIG‐IV: 2.60 weeks, 95% confidence interval (CI) 1.95 to 3.25; control: 5.70 weeks, 95% CI 4.40 to 7.00; mean difference (MD) ‐3.10 weeks, 95% CI ‐4.52 to ‐1.68; moderate‐certainty evidence); mechanical ventilation (BIG‐IV: 1.80 weeks, 95% CI 1.20 to 2.40; control: 4.40 weeks, 95% CI 3.00 to 5.80; MD ‐2.60 weeks, 95% CI ‐4.06 to ‐1.14; low‐certainty evidence); and tube or parenteral feeding (BIG‐IV: 3.60 weeks, 95% CI 1.70 to 5.50; control: 10.00 weeks, 95% CI 6.85 to 13.15; MD ‐6.40 weeks, 95% CI ‐10.00 to ‐2.80; moderate‐certainty evidence), but not on proportion of participants with adverse events or complications (BIG‐IV: 63.08%; control: 68.75%; risk ratio 0.92, 95% CI 0.72 to 1.18; absolute risk reduction 0.06, 95% CI 0.22 to ‐0.11; moderate‐certainty evidence). Authors' conclusions We found low‐ and moderate‐certainty evidence supporting the use of BIG‐IV in infant intestinal botulism. A single RCT demonstrated that BIG‐IV probably decreases the duration of hospitalization; may decrease the duration of mechanical ventilation; and probably decreases the duration of tube or parenteral feeding. Adverse events were probably no more frequent with immune globulin than with placebo. Our search did not reveal any evidence examining the use of other medical treatments including serum trivalent botulism antitoxin. Plain language summary Medical treatment for botulism Review question We reviewed the evidence on the effect of medical treatment on human botulism. Background Botuli m is a serious illness that starts suddenly and causes paralysis (an inability to use muscles). The cause of botulism is a germ called Clostridium botulinum . If the illness is left untreated, many people with botulism will die. There are four main types of botulism: adult and infant types where the intestine (gut) is infected; botulism from contaminated food; and wound botulism. We searched for clinical trials of medical treatments for any of the four major types of botulism. We assessed the effects of treatment on the rate of deaths in hospital from any cause within four weeks of infection. We were also interested in deaths within 12 weeks, length of hospital stay, the need for a ventilator to help with breathing (mechanical ventilation), feeding by tube, and harmful events of treatment. Study characteristics Our searches of the medical literature revealed one relevant study, which was in infant botulism. The treatment was a single dose of a medicine made from human immune proteins (human‐derived botulinum immune globulin intravenous, or BIG‐IV). Fifty‐nine infants received BIG‐IV, and 63 infants received a placebo (inactive treatment). Each study participant was followed up for the duration of their hospitalization. This study was sponsored by the California Department of Health Services. Key results and certainty of the evidence There were no deaths in either group in the trial. Infants treated with BIG‐IV spent, on average, about three weeks less time in hospital (i.e. 3.1 weeks versus 5.7 weeks) than infants who received the inactive treatment, and spent about three weeks less on a ventilator (1.8 weeks versus 4.4 weeks). The average duration of tube feeding in the BIG‐IV group was more than six weeks less than in the placebo group (i.e. 3.6 versus 10 weeks). The risk of harmful effects of the treatment was probably no greater with BIG‐IV than with the inactive treatment. The evidence was mostly of moderate certainty (low certainty for time spent on a ventilator). The review shows that BIG‐IV probably shortens hospitalization; may shorten time spent on a ventilator; and probably reduces the duration of tube feeding compared to placebo. On the other hand, we found no evidence for or against botulism antitoxin or other treatments for botulism. The evidence is up‐to‐date to January 2018, when we updated the searches and found no new trials.</t>
  </si>
  <si>
    <t>J587</t>
  </si>
  <si>
    <t>Digital and online symptom checkers and assessment services for urgent care to inform a new digital platform: a systematic review</t>
  </si>
  <si>
    <t>&lt;b&gt;BACKGROUND&lt;/b&gt;: Digital and online symptom checkers and assessment services are used by patients seeking guidance about health problems. NHS England is planning to introduce a digital platform (NHS111 Online) to operate alongside the NHS111 urgent-care telephone service. This review focuses on digital and online symptom checkers for urgent health problems._x000D_
&lt;b&gt;OBJECTIVES&lt;/b&gt;: This systematic review was commissioned to provide NHS England with an independent review of previous research in this area to inform strategic decision-making and service design._x000D_
&lt;b&gt;DATA SOURCES&lt;/b&gt;: Focused searches of seven bibliographic databases were performed and supplemented by phrase searching for names of symptom checker systems and citation searches of key included studies. The bibliographic databases searched were MEDLINE, EMBASE, The Cochrane Library, CINAHL (Cumulative Index to Nursing and Allied Health Literature), HMIC (Health Management Information Consortium), Web of Science and the Association of Computing Machinery (ACM) Digital Library, from inception up to April 2018._x000D_
&lt;b&gt;REVIEW METHODS&lt;/b&gt;: Brief inclusion criteria were (1) population - general population seeking information online or digitally to address an urgent health problem; (2) intervention - any online or digital service designed to assess symptoms, provide health advice and direct patients to appropriate services; and (3) comparator - telephone or face-to-face assessment, comparative performance in tests or simulations (studies with no comparator were included if they reported relevant outcomes). Outcomes of interest included safety, clinical effectiveness, costs or cost-effectiveness, diagnostic and triage accuracy, use of and contacts with health services, compliance with advice received, patient/carer satisfaction, and equity and inclusion. Inclusion was not restricted by study design. Screening studies for inclusion, data extraction and quality assessment were carried out by one reviewer with a sample checked for accuracy and consistency. Final decisions on study inclusion were taken by consensus of the review team. A narrative synthesis of the included studies was performed and structured around the predefined research questions and key outcomes. The overall strength of evidence for each outcome was classified as 'stronger', 'weaker', 'conflicting' or 'insufficient', based on study numbers and design._x000D_
&lt;b&gt;RESULTS&lt;/b&gt;: In total, 29 publications describing 27 studies were included. Studies were diverse in their design and methodology. The overall strength of the evidence was weak because it was largely based on observational studies and with a substantial component of non-peer-reviewed grey literature. There was little evidence to suggest that symptom checkers are unsafe, but studies evaluating their safety were generally short term and small scale. Diagnostic accuracy was highly variable between different systems but was generally low. Algorithm-based triage tended to be more risk averse than that of health professionals. Inconsistent evidence was found on effects on service use. There was very limited evidence on patients' reactions to online triage advice. The studies showed that younger and more highly educated people are more likely to use these services. Study participants generally expressed high levels of satisfaction with digital and online triage services, albeit in uncontrolled studies._x000D_
&lt;b&gt;LIMITATIONS&lt;/b&gt;: Findings from symptom checker systems for specific conditions may not be applicable to more general systems and vice versa. Studies of symptom checkers as part of electronic consultation systems in general practice were also included, which is a slightly different setting from a general 'digital 111' service. Most studies were screened by one reviewer._x000D_
&lt;b&gt;CONCLUSIONS&lt;/b&gt;: Major uncertainties surround the probable impact of digital 111 services on most outcomes. It will be important to monitor and evaluate the services using all available data sources and by commissioning high-quality research._x000D_
&lt;b&gt;FUTURE WORK&lt;/b&gt;: Priorities for research include comparisons of different systems, rigorous economic evaluations and investigations of patient pathways._x000D_
&lt;b&gt;STUDY REGISTRATION&lt;/b&gt;: The study is registered as PROSPERO CRD42018093564._x000D_
&lt;b&gt;FUNDING&lt;/b&gt;: The National Institute for Health Research Health Services and Delivery Research programme.</t>
  </si>
  <si>
    <t>J588</t>
  </si>
  <si>
    <t>Insights for Care: The Healthcare Utilisation and Cost Impact of Managing Type 2 Diabetes-Associated Microvascular Complications</t>
  </si>
  <si>
    <t>Introduction: The increasing prevalence of type 2 diabetes (T2DM) in the UK imposes a significant burden on the National Health Service (NHS). Despite the availability of effective treatments, the loss of glycaemic control over time results in significant comorbidities, including nephropathy, neuropathy and retinopathy. The cost of treating these microvascular complications has not been well documented, and this study aimed to provide an accurate assessment of the healthcare resource utilisation (HCRU) associated with managing T2DM and its complications.
Methods: This retrospective cohort study utilised electronic medical records from patients with T2DM from the Heart of England Foundation Trust (HEFT), which captures data from patients using secondary care services. Patients were diagnosed with microvascular complications based on ICD-10 or OPCS codes. HCRU over a 2-year period was based on NHS Tariffs for healthcare services for inpatient, accident and emergency, and dialysis clinic usage.
Results: The study cohort comprised 26,629 patients with T2DM who used HEFT services during the study period, 22.6%, 20.8% and 3.1% of whom had comorbid nephropathy, retinopathy or neuropathy, respectively. While the prevalence of diabetes in the overall HEFT population was reported to be 7% in 2012, diabetes and its associated complications accounted for more than 30% of secondary care costs. Furthermore, while patients with diabetes represent only 17% of HEFT inpatients, they account for more than 20% of service usage. The economic burden of microvascular complications increased substantially with the severity of the condition, with the overall cost exceeding £70 million over the 2-year period.
Conclusion: This study of patients with T2DM in a typical secondary care provider in the UK showed that avoiding the progression of microvascular complications could provide substantial cost savings through targeted interventions that improve outcomes and lower resource use.</t>
  </si>
  <si>
    <t>J589</t>
  </si>
  <si>
    <t>Can We Develop Sustainable and Sharable Cost-Effectiveness Models for Value Assessment in the U.S. Health Care System?</t>
  </si>
  <si>
    <t>There is currently a movement to make economic models more transparent, with some arguing for completely open-source models. However, increasing model transparency raises several logistical challenges, including ownership and funding. This article outlines recent experience and approaches to some of the logistical hurdles that must be overcome in pursuit of more transparent economic models. The Institute for Clinical and Economic Review (ICER) has recently completed a pilot transparency initiative that made drafts of executable economic models available to involved drug manufacturers during the review process. By directly viewing and interacting with models' structures, inputs, key assumptions, and results, stakeholders were better equipped to provide valuable feedback as part of the health technology assessments. This experience, along with feedback received from the modeling collaborators and relevant manufacturers during this pilot, have helped determine ICER's approach to sharing economic models associated with ongoing and future evidence reviews. This process has been expanded to all assessments going forward, making it the standard approach to model transparency. DISCLOSURES: No outside funding supported the writing of this article. Both authors are employees of the Institute for Clinical and Economic Review (ICER), which is an an independent organization that evaluates the evidence on the value of health care interventions. ICER receives grant funding from the California Healthcare Foundation, Laura and John Arnold Foundation, and New England States Consortium Systems Organization. ICER's annual policy summit is supported by dues from Aetna, AHIP, Allergan, Alnylam, Anthem, AstraZeneca, Biogen, Blue Shield of California, Cambia Health Services, CVS Caremark, Editas, Express Scripts, Genentech, GlaxoSmithKline, Harvard Pilgrim Health Care, Health Care Service Corporation, Health Partners, Johnson &amp; Johnson, Kaiser Permanente, LEO, Mallinckrodt, Merck, National Pharmaceutical Council, Novartis, Premera, Prime Therapeutics, Regeneron, Sanofi, Spark Therapeutics, and United Healthcare.</t>
  </si>
  <si>
    <t>Objective: Originator pharmaceutical companies prolonging the patent of a medicine prevents rivals' entry to the market and competition. As the entry of generic alternatives usually results in price reduction, any delay in their entry potentially deprives the National Health Service (NHS) of much-needed savings. This study estimates the potential cost savings lost to the NHS as a result of delayed entry of generic low-dose buprenorphine (LDTB) patches in England. Design(s): Two case scenarios were modelled to determine the savings from the entry of generic LDTB Butec only between February and August 2016 and the potential savings which could have been achieved if all generic LDTB patches had entered the market at the same time. Setting(s): The volume of utilisation of branded and generic LDTB in UK primary care was derived from the NHS business services authority website for prescriptions dispensed between February 2015 and January 2018. Main Outcome Measure(s): Cost savings associated with the entry of generic LDTB. Result(s): The cumulative cost savings from the introduction of Butec alone was 0.7 ($0.92) million. The model predicted that if all generic buprenorphine entered the market at the same time with Butec, they could have been achieved a 1.2 ($1.57) million saving. This means that approximately 0.5 ($0.65) million savings was lost to the NHS over the 6-month time period. Conclusion(s): The entry of Butec was associated with cost savings. We estimated that more cost savings could have been achieved if other generic LDTB patches had entered the market at the same time to drive competition between rivals. Patent protection strategies which delayed the entry of multiple generics were responsible for the reduced cost savings to the NHS in England. Copyright © 2019 Author(s).</t>
  </si>
  <si>
    <t>J591</t>
  </si>
  <si>
    <t>Healthcare in a carbon-constrained world</t>
  </si>
  <si>
    <t>Objective The climate crisis necessitates urgent decarbonisation. The health sector must address its large carbon footprint. In the present study, we sought healthcare thought leaders' views about a future environmentally sustainable health system. Methods The present study was a qualitative exploratory study consisting of semistructured, in-depth interviews with 15 healthcare thought leaders from Australia, the UK, the US and New Zealand. Audio recordings of the interviews were transcribed and analysed by matrix display and thematic analysis. Results Overall, healthcare thought leaders believe that to reduce the carbon footprint of healthcare we need to look beyond traditional 'green' initiatives towards a more fundamental and longer-term redesign. Five main themes and one 'key enabler' (information communication technology) were identified. In this paper we draw on other relevant findings, but chiefly focus on the fifth theme about reshaping the role of healthcare within society and using the size and influence of the health sector to leverage wider health, environmental and societal benefits. Conclusions These ideas represent potentially low-carbon models of care. The next step would be to pilot and measure the outcomes (health, environmental, financial) of these models. What is known about the topic? The health sector needs to reduce its large carbon footprint. Traditional 'green' initiatives, such as recycling and improving energy efficiency, are insufficient to achieve the scale of decarbonisation required. What does this paper add? Healthcare thought leaders surveyed in the present study suggested that we also consider other, non-traditional ways to achieve environmental sustainability. In this paper we discuss their ideas about adopting an anticipatory approach to healthcare using predictive analytics, and using the size and influence of the health sector to effect wider health and environmental benefits. What are the implications for practitioners? Achieving an environmentally sustainable healthcare system is likely to require broad and fundamental (i.e. transformational) change to the current service model. Health practitioners throughout the sector must be closely engaged in this process.</t>
  </si>
  <si>
    <t>J592</t>
  </si>
  <si>
    <t>Innovation as a value in healthcare priority-setting: the UK experience</t>
  </si>
  <si>
    <t>All healthcare systems operate with limited resources and therefore need to set priorities for allocating resources across a population. Trade-offs between maximising health and promoting health equity are inevitable in this process. In this paper, we use the UK's National Institute for Health and Care Excellence (NICE) as an example to examine how efforts to promote healthcare innovation in the priority-setting process can complicate these trade-offs. Drawing on NICE guidance, health technology assessment reports and relevant policy documents, we analyse under what conditions NICE recommends the National Health Service fund technologies of an innovative nature", even when these technologies do not satisfy NICE's cost-effectiveness criteria. Our findings fail to assuage pre-existing concerns that NICE's approach to appraising innovative technologies curtails its goals to promote health and health equity. They also reveal a lack of transparency and accountability regarding NICE's treatment of innovative technologies, as well as raising additional concerns about equity. We conclude that further research needs to evaluate how NICE can promote health and health equity alongside healthcare innovation and draw some general lessons for healthcare priority-setting bodies like NICE."</t>
  </si>
  <si>
    <t>J593</t>
  </si>
  <si>
    <t>Gallstone pancreatitis: Implication of an education programme</t>
  </si>
  <si>
    <t>Background: Current British guidelines state that all patients with pancreatitis should undergo definitive management of gall stones on their index admission, unless a clear plan for definitive management within the next two weeks has been made. Aim(s): Our primary aim is to assess compliance with current British Society of Gastroenterology guidelines. Our secondary aim is to assess current practice for choledocholithiasis management. Method(s): A retrospective observation study in a single district general hospital was conducted over a six month period admitted with gallstone pancreatitis. A database was created looking at investigations, definitive management and outcome. Result(s): A total of 60 patient were included, 25 men and 35 women. 7 patients (12%) had a cholecystectomy during their index admission. 2 patients (3%) had a cholecystectomy within two weeks of discharge. Mortality was 3%. Following this project a teaching programme has been introduced amongst the junior, radiology and endoscopy staff and several study education sessions have been started. A hospital BSG steering group to target education and resource allocation has been started and the project is currently under re-audit. Conclusion(s): Gall stone pancreatitis is becoming more common and should be preferably managed on the index admission. Our centre is currently under improvement in order to comply with guidelines.</t>
  </si>
  <si>
    <t>- Background Peer support provides the opportunity for peers with experiential knowledge of a mental illness to give emotional, appraisal and informational assistance to current service users, and is becoming an important recovery‐oriented approach in healthcare for people with mental illness. Objectives To assess the effects of peer‐support interventions for people with schizophrenia or other serious mental disorders, compared to standard care or other supportive or psychosocial interventions not from peers. Search methods We searched the Cochrane Schizophrenia Group's Study‐Based Register of Trials on 27 July 2016 and 4 July 2017. There were no limitations regarding language, date, document type or publication status. Selection criteria We selected all randomised controlled clinical studies involving people diagnosed with schizophrenia or other related serious mental illness that compared peer support to standard care or other psychosocial interventions and that did not involve 'peer' individual/group(s). We included studies that met our inclusion criteria and reported useable data. Our primary outcomes were service use and global state (relapse). Data collection and analysis The authors of this review complied with the Cochrane recommended standard of conduct for data screening and collection. Two review authors independently screened the studies, extracted data and assessed the risk of bias of the included studies. Any disagreement was resolved by discussion until the authors reached a consensus. We calculated the risk ratio (RR) and 95% confidence interval (CI) for binary data, and the mean difference and its 95% CI for continuous data. We used a random‐effects model for analyses. We assessed the quality of evidence and created a 'Summary of findings' table using the GRADE approach. Main results This review included 13 studies with 2479 participants. All included studies compared peer support in addition to standard care with standard care alone. We had significant concern regarding risk of bias of included studies as over half had an unclear risk of bias for the majority of the risk domains (i.e. random sequence generation, allocation concealment, blinding, attrition and selective reporting). Additional concerns regarding blinding of participants and outcome assessment, attrition and selective reporting were especially serious, as about a quarter of the included studies were at high risk of bias for these domains. All included studies provided useable data for analyses but only two trials provided useable data for two of our main outcomes of interest, and there were no data for one of our primary outcomes, relapse. Peer support appeared to have little or no effect on hospital admission at medium term (RR 0.44, 95% CI 0.11 to 1.75; participants = 19; studies = 1, very low‐quality evidence) or all‐cause death in the long term (RR 1.52, 95% CI 0.43 to 5.31; participants = 555; studies = 1, very low‐quality evidence). There were no useable data for our other prespecified important outcomes: days in hospital, clinically important change in global state (improvement), clinically important change in quality of life for peer supporter and service user, or increased cost to society. One trial compared peer support with clinician‐led support but did not report any useable data for the above main outcomes. Authors' conclusions Currently, very limited data are available for the effects of peer support for people with schizophrenia. The risk of bias within trials is of concern and we were unable to use the majority of data reported in the included trials. In addition, the few that were available, were of very low quality. The current body of evidence is insufficient to either refute or support the use of peer‐support interventions for people with schizophrenia and other mental illness. Plain language summary Peer support for schizophrenia and other serious mental illnesses Background Schizophrenia and other serious mental illnesses are chronic disruptive mental disorders with disturbing psychot c, affective and cognitive symptoms such as delusions, hallucinations, depression, anxiety, insomnia, difficulty in concentration, suspiciousness and social withdrawal. The primary treatment is antipsychotic medicine, but these are not always fully effective. Peer support provides the opportunity for both a service user and a provider of care to share knowledge, direct experience of their illness and to help each other along the path to recovery. The support is given alongside antipsychotic treatment. Through interpersonal sharing, modelling and assistance within or outside of group sessions, it is believed that these supportive strategies can help combat feelings of hopelessness and behavioural problems that may result from having an illness and empower people to continue their treatment and help them to resume key roles in real life. However, findings from research have been inconsistent regarding the effectiveness of peer support for people with schizophrenia and other serious mental illnesses. Review aims This review aimed to find high‐quality evidence from relevant randomised clinical trials (studies where people are randomly put into one of two or more treatment groups) so we could assess the effects of peer‐support interventions for people with serious mental illness in comparison to standard care or other supportive or psychosocial interventions not from peers. We were interested in finding clinically meaningful data that could provide information regarding the effect peer support has on hospital admission, relapse, global state, quality of life, death and cost to society for people with schizophrenia. Searches We searched Cochrane Schizophrenia's specialised register of trials (up to 2017) and found 13 trials that randomised 2479 people with schizophrenia or other similar serious mental illnesses to receive either peer support plus their standard care, clinician‐led support plus their standard care or standard care alone. Key results Thirteen trials were available but the evidence was very low quality. Useable data were reported for only two of our prespecified outcomes of importance and showed adding peer support to standard care appeared to have little or no clear impact on hospital admission or death for people with schizophrenia and other serious mental illnesses. One of these trials (participants = 156) also compared peer support with clinician‐led support (where a health professional provided support). However, there were no useable data for this comparison reported for the main outcomes. Conclusions We have little confidence in the above findings. Currently, there is no high‐quality evidence available to either support or refute the effectiveness of peer‐support interventions for people with schizophrenia or other serious mental illnesses.</t>
  </si>
  <si>
    <t>J596</t>
  </si>
  <si>
    <t>Effectiveness and safety of a herbal medication, HH368, for clinical symptoms of idiopathic Parkinson's disease: A randomized controlled, pilot trial protocol</t>
  </si>
  <si>
    <t>Objective: This study aims to assess feasibility of a herbal medication, HH368 for idiopathic Parkinson's disease (PD) patients who are in Hoehn &amp; Yahr stage 2 to 3 grades and have been taking levodopa agents for more than 5 years. Background(s): PD is a chronic neurodegenerative disease which requires long-term management strategy. Dopaminergic agents have been shown prominent clinical improvement but dyskinesia, wearing-off phenomena, psychosis are well-known symptoms related to long-term usage of these agents [1]. As alternative and complementary treatment options, various herbal medications have been used in East-Asian society, but clinical evidence was not established well [2]. Method(s): Forty participants will be assigned into one of two groups, herbal medicine and acupuncture treatment group or single acupuncture treatment group. In the treatment group, 4 g of HH368 (Eoggansangahubagjisil 4g) will be administered twice a day (8 g) for a total of 42 days, and acupuncture and physician consultation will be offered twice a week. In the control group, acupuncture treatment and physician consultation will be offered twice a week without herbal medication. All the study participants need to continue their dopaminergic medication during the participation. Movement disorder society-unified Parkinson's disease rating scale (MDS-UPDRS), Berg balance test, Schwab &amp; England ADL score, Parkinson's Disease Questionnaire (PDQ-39), doses of levodopa agent consumption, EuroQol(EQ-5D)-5D-5L and safety will be assessed up to 12 weeks of participation period [3-10]. Along with this clinical trial, cost-effectiveness analysis will be conducted for evaluating economic impact of this herbal medication. Result(s): The study protocol of this study was approved by institutional review board (IRB) of Kyunghee University Korean Medicine Hospital (IRB approval number: KOMCIRB-17-717-HR-021) and by Ministry of Food and Drug Safety of Republic of Korea (Approval number: 31858). The study protocol was registered at Clinical Research Information Service (registration number: KCT0003444). Currently study participants are recruited, and clinical trial is ongoing in Kyunghee University Korean Medicine Hospital. Conclusion(s): This study results will present basic data for assessing feasibility and designing future confirmative clinical trial.</t>
  </si>
  <si>
    <t>J597</t>
  </si>
  <si>
    <t>Larviciding to prevent malaria transmission</t>
  </si>
  <si>
    <t>- Background Larviciding refers to the regular application of chemical or microbial insecticides to water bodies or water containers to kill the aquatic immature forms of the mosquito (the larvae and pupae). Objectives To summarize research evidence evaluating whether larviciding with chemical or microbial insecticides prevents malaria transmission. Search methods We searched the Cochrane Infectious Diseases Group Specialized Register; the Cochrane Central Register of Controlled Trials (CENTRAL), published in the Cochrane Library; MEDLINE; Embase; CAB Abstracts; LILACS; the World Health Organization International Clinical Trials Registry Platform (WHO ICTRP); ClinicalTrials.gov; and the ISRCTN registry up to 6 June 2019. Selection criteria We included cluster‐randomized controlled trials (cRCTs), interrupted time series (ITS), randomized cross‐over studies, non‐randomized cross‐over studies, and controlled before‐and‐after studies (CBAs) that compared larviciding with no larviciding. Data collection and analysis We independently assessed trials for eligibility and risk of bias, and extracted data. We assessed the certainty of evidence using the GRADE approach. Main results Four studies (one cRCT, two CBAs, and one non‐randomized cross‐over design) met the inclusion criteria. All used ground application of larvicides (people hand‐delivering larvicides); one evaluated chemical and three evaluated microbial agents. Studies were carried out in The Gambia, Tanzania, Kenya, and Sri Lanka. Three studies were conducted in areas where mosquito aquatic habitats were less extensive (&lt; 1 km²), and one where habitats were more extensive (&gt; 1 km²; a cross‐over study from The Gambia). For aquatic habitats of less than 1 km², one cRCT randomized eight villages in Sri Lanka to evaluate chemical larviciding using insect growth regulator; and two CBA studies undertaken in Kenya and Tanzania evaluated microbial larvicides. In the cRCT, larviciding across all villages was associated with lower malaria incidence (rate ratio 0.24, 4649 participants, low‐certainty evidence) and parasite prevalence (risk ratio (RR) 0.26, 5897 participants, low‐certainty evidence) compared to no larviciding. The two CBA studies reported lower malaria prevalence during the intervention period (parasite prevalence RR 0.79, 95% confidence interval (CI) 0.71 to 0.89; 70,902 participants; low‐certainty evidence). The Kenyan study also reported a reduction in the incidence of new malaria cases (RR 0.62, 95% CI 0.38 to 1.01; 720 participants; very low‐certainty evidence). For aquatic habitats of more than 1 km², the non‐randomized cross‐over trial using microbial larvicides did not detect an effect for malaria incidence (RR 1.58, 95% CI 0.94 to 2.65; 4226 participants), or parasite prevalence (RR 1.15, 95% CI 0.41 to 3.20; 3547 participants); both were very low‐certainty evidence. The Gambia trial also reported the mean haemoglobin level, and there was no difference across the four comparisons (mean difference –0.13, 95% CI –0.40 to 0.13; 3586 participants). We were unable to summarize or pool entomological outcomes due to unreported and missing data. Authors' conclusions Most controlled studies on larviciding have been performed with microbial agents. Ground larviciding for non‐extensive larval habitats may have an effect on malaria transmission, and we do not know if there is an effect in large‐scale aquatic habitats. We found no studies using larviciding application techniques that could cover large aquatic habitats, such as aerial spraying using aircraft. 16 September 2019 Up to date All studies incorporated from most recent search All published trials found in the last search (6 Jun, 2019) were included, and we did not identify any ongoing trials. Plain language summary Larviciding to control malaria What was the aim of this review? Larviciding is the regular application of microbial or chemical insecticides to water bodies or water containers. The aim of larviciding is to reduce the adult population of osquitoes by killing the aquatic immature forms, so that fewer will develop into adults. This should reduce the number of mosquitoes that bite and infect humans with malaria. Key messages All four studies included in this review distributed larvicides manually. Hand larviciding of small mosquito habitats may be effective in preventing malaria. Only one study was conducted in an area where larval habitats spanned a large area and this study found no effect of larviciding. What was studied in the review? We searched for trials that evaluated the impact of larviciding, using a microbial agent or chemical insecticide on malaria transmission. We considered effects on both human health outcomes and on mosquito populations. What were the main results of the review? Evidence from three studies shows that larviciding may decrease at least one malaria disease outcome in some studies, and this was in areas where the mosquito aquatic habitats were less than 1 km 2 (low‐certainty evidence). We do not know if larviciding in large water bodies shows an impact on malaria based on results from one study in The Gambia (very low‐certainty evidence). How up to date is the review? We searched for relevant trials up to 6 June 2019.</t>
  </si>
  <si>
    <t>Aims: To develop a novel interactive budget impact model that assesses affordability of diabetes treatments in specific populations, and to test the model in a hypothetical scenario by estimating cost savings resulting from reduction in HbA&lt;inf&gt;1c&lt;/inf&gt; from &gt;=69 mmol/mol (8.5%) to a target of 53 mmol/mol (7.0%) in adults with Type 1 diabetes in the UK. Method(s): A dynamic, interactive model was created using the projected incidence and progression over a 5-year horizon of diabetes-related complications (micro- and macrovascular disease, severe hypoglycaemia and diabetic ketoacidosis) for different HbA&lt;inf&gt;1c&lt;/inf&gt; levels, with flexible input of population size, complications and therapy costs, HbA&lt;inf&gt;1c&lt;/inf&gt; distribution and other variables. The model took a National Health Service and societal perspective. Result(s): The model was developed, and in the proposed hypothetical situation, reductions in complications and expected costs evaluated. Achievement of target HbA&lt;inf&gt;1c&lt;/inf&gt; in individuals with HbA&lt;inf&gt;1c&lt;/inf&gt; &gt;=69 mmol/mol (8.5%) would reduce expected chronic complications from 6.8 to 1.2 events per 100 person-years, and diabetic ketoacidosis from 14.5 to 1.0 events per 100 person-years. Potential cumulative direct cost savings achievable in the modelled population were estimated at 687 m over 5 years (5,585/person), with total (direct and indirect) savings of 1,034 m (8,400/person). Conclusion(s): Implementation of strategies aimed at achieving target glucose levels in people with Type 1 diabetes in the UK has the potential to drive a significant reduction in complication costs. This estimate may provide insights into the potential for investment in achieving savings through improved diabetes care in the UK. Copyright © 2019 Diabetes UK</t>
  </si>
  <si>
    <t>- Background Hand eczema is an inflammation of the skin of the hands that tends to run a chronic, relapsing course. This common condition is often associated with itch, social stigma, and impairment in employment. Many different interventions of unknown effectiveness are used to treat hand eczema. Objectives To assess the effects of topical and systemic interventions for hand eczema in adults and children. Search methods We searched the following up to April 2018: Cochrane Skin Group Specialised Register, CENTRAL, MEDLINE, Embase, AMED, LILACS, GREAT, and four trials registries. We checked the reference lists of included studies for further references to relevant trials. Selection criteria We included randomised controlled trials (RCTs) that compared interventions for hand eczema, regardless of hand eczema type and other affected sites, versus no treatment, placebo, vehicle, or active treatments. Data collection and analysis We used standard methodological procedures expected by Cochrane. Primary outcomes were participant‐ and investigator‐rated good/excellent control of symptoms, and adverse events. Main results We included 60 RCTs, conducted in secondary care (5469 participants with mild to severe chronic hand eczema). Most participants were over 18 years old. The duration of treatment was short, generally up to four months. Only 24 studies included a follow‐up period. Clinical heterogeneity in treatments and outcome measures was evident. Few studies performed head‐to‐head comparisons of different interventions. Risk of bias varied considerably, with only five studies at low risk in all domains. Twenty‐two studies were industry‐funded. Eighteen trials studied topical corticosteroids or calcineurin inhibitors; 10 studies, phototherapy; three studies, systemic immunosuppressives; and five studies, oral retinoids. Most studies compared an active intervention against no treatment, variants of the same medication, or placebo (or vehicle). Below, we present results from the main comparisons. Corticosteroid creams/ointments: when assessed 15 days after the start of treatment, clobetasol propionate 0.05% foam probably improves participant‐rated control of symptoms compared to vehicle (risk ratio (RR) 2.32, 95% confidence interval (CI) 1.38 to 3.91; number needed to treat for an additional beneficial outcome (NNTB) 3, 95% CI 2 to 8; 1 study, 125 participants); the effect of clobetasol compared to vehicle for investigator‐rated improvement is less clear (RR 1.43, 95% CI 0.86 to 2.40). More participants had at least one adverse event with clobetasol (11/62 versus 5/63; RR 2.24, 95% CI 0.82 to 6.06), including application site burning/pruritus. This evidence was rated as moderate certainty. When assessed 36 weeks after the start of treatment, mometasone furoate cream used thrice weekly may slightly improve investigator‐rated symptom control compared to twice weekly (RR 1.23, 95% CI 0.94 to 1.61; 1 study, 72 participants) after remission is reached. Participant‐rated symptoms were not measured. Some mild atrophy was reported in both groups (RR 1.76, 95% CI 0.45 to 6.83; 5/35 versus 3/37). This evidence was rated as low certainty. Irradiation with ultraviolet (UV) light: local combination ultraviolet light therapy (PUVA) may lead to improvement in investigator‐rated symptom control when compared to local narrow‐band UVB after 12 weeks of treatment (RR 0.50, 95% CI 0.22 to 1.16; 1 study, 60 participants). However, the 95% CI indicates that PUVA might make little or no difference. Participant‐rated symptoms were not measured. Adverse events (mainly erythema) were reported by 9/30 participants in the narrow‐band UVB group versus none in the PUVA group. This evidence was rated as moderate certainty. Topical calcineurin inhibitors: tacrolimus 0.1% over two weeks probably improves investigator‐rated symptom control measured after three weeks compared to vehicle (14/14 tacrolimus versus 0/14 vehicle; 1 study). Participant‐rated symptoms were not measured. Four of 14 people in the tacroli us group versus zero in the vehicle group had well‐tolerated application site burning/itching. A within‐participant study in 16 participants compared 0.1% tacrolimus to 0.1% mometasone furoate but did not measure investigator‐ or participant‐rated symptoms. Both treatments were well tolerated when assessed at two weeks during four weeks of treatment. Evidence from these studies was rated as moderate certainty. Oral interventions: oral cyclosporin 3 mg/kg/d probably slightly improves investigator‐rated (RR 1.88, 95% CI 0.88 to 3.99; 1 study, 34 participants) or participant‐rated (RR 1.25, 95% CI 0.69 to 2.27) control of symptoms compared to topical betamethasone dipropionate 0.05% after six weeks of treatment. The risk of adverse events such as dizziness was similar between groups (up to 36 weeks; RR 1.22, 95% CI 0.80 to 1.86, n = 55; 15/27 betamethasone versus 19/28 cyclosporin). The evidence was rated as moderate certainty. Alitretinoin 10 mg improves investigator‐rated symptom control compared with placebo (RR 1.58, 95% CI 1.20 to 2.07; NNTB 11, 95% CI 6.3 to 26.5; 2 studies, n = 781) and alitretinoin 30 mg also improves this outcome compared with placebo (RR 2.75, 95% CI 2.20 to 3.43; NNTB 4, 95% CI 3 to 5; 2 studies, n = 1210). Similar results were found for participant‐rated symptom control: alitretinoin 10 mg RR 1.73 (95% CI 1.25 to 2.40) and 30 mg RR 2.75 (95% CI 2.18 to 3.48). Evidence was rated as high certainty. The number of adverse events (including headache) probably did not differ between alitretinoin 10 mg and placebo (RR 1.01, 95% CI 0.66 to 1.55; 1 study, n = 158; moderate‐certainty evidence), but the risk of headache increased with alitretinoin 30 mg (RR 3.43, 95% CI 2.45 to 4.81; 2 studies, n = 1210; high‐certainty evidence). Outcomes were assessed between 48 and 72 weeks. Authors' conclusions Most findings were from single studies with low precision, so they should be interpreted with caution. Topical corticosteroids and UV phototherapy were two of the major standard treatments, but evidence is insufficient to support one specific treatment over another. The effect of topical calcineurin inhibitors is not certain. Alitretinoin is more effective than placebo in controlling symptoms, but advantages over other treatments need evaluating. Well‐designed and well‐reported, long‐term (more than three months), head‐to‐head studies comparing different treatments are needed. Consensus is required regarding the definition of hand eczema and its subtypes, and a standard severity scale should be established. The main limitation was heterogeneity between studies. Small sample size impacted our ability to detect differences between treatments. Plain language summary Treatments for hand eczema Review question We reviewed evidence on the effects of topical and systemic (oral or injected medicines that work throughout the entire body) treatments for hand eczema when compared against placebo (an identical but inactive treatment), no treatment, vehicle (inactive ingredients that help deliver an active treatment), or another treatment. We included 60 randomised trials (5469 participants) published up to April 2018. Background Hand eczema is an inflammation of the skin of the hands that can be caused by contact allergens (i.e. substances that cause an allergic reaction) such as rubber chemicals, but other external factors (e.g. irritants such as water or detergents) and atopic predisposition are often important triggers. Hand eczema can cause a reduction in quality of life leading to many work‐related problems. Various types of hand eczema exist, and different topical (creams, ointments, or lotions) and systemic treatments with unknown effectiveness can be used. Study characteristics Most participants were hospital outpatients over 18 years of age with mild to severe chronic hand eczema. Treatment was usually given for up to four months, and outcomes were mainly assessed after treatment. A large variety of treatments were studied and compared to no treatment, variants of the same medication placebo, or vehicle. Twenty‐two studies were funded by pharmaceutical companies. Key results Limited data are available to support the best way of managing hand eczema due to varying study quality and inability to pool data from studies with similar interventions. Corticosteroid creams/ointments and phototherapy (irradiation with UV light) are the major treatment options, although comparisons between these options are lacking. Below, we present results for the main comparisons of interest. Corticosteroid creams/ointments: clobetasol propionate foam probably increases participant‐rated good/excellent control of hand eczema when compared to vehicle (516 versus 222 per 1000), but the difference between groups was less clear for investigator‐rated control, and more adverse events were reported with clobetasol propionate (178 versus 79 per 1000) (all based on moderate‐certainty evidence). Mometasone furoate cream used thrice weekly may slightly improve investigator‐rated good/excellent control compared to twice weekly treatment, and participant‐rated control was not measured. Mild skin thinning occurred in both groups, but cases were few (all based on low‐certainty evidence). Irradiation with UV light: various types of irradiation (i.e. exposure to radiation) were compared. Local PUVA may improve investigator‐rated good/excellent control compared to narrow‐band UVB (400 versus 200 per 1000); however, we are uncertain of this finding because results also show that local PUVA may make little or no difference. Participant‐rated symptoms were not measured. Nine out of 30 participants in the narrow‐band UVB group reported adverse events (mainly redness) compared to none in the PUVA group (all based on moderate‐certainty evidence). Topical calcineurin inhibitors: people receiving tacrolimus are probably more likely to achieve improved investigator‐rated good/excellent symptom control compared to those given vehicle (14/14 participants with tacrolimus compared to none with vehicle), but participant‐rated control of symptoms was not measured. Four of 14 people in the tacrolimus group versus zero in the vehicle group had well‐tolerated application site burning/itching. One small study compared tacrolimus to mometasone furoate, which were both well tolerated, but did not measure investigator‐ or participant‐rated control (all based on moderate‐certainty evidence). Oral interventions: oral immunosuppressant (a drug that hinders the immune response) cyclosporin probably slightly improves investigator‐ or participant‐rated control of good/excellent symptoms compared to topical betamethasone cream (a corticosteroid). The risk of adverse events such as dizziness was similar between groups (all based on moderate‐certainty evidence). The oral vitamin A derivative (retinoid) alitretinoin (10 mg) achieved investigator‐rated good/excellent symptom control in 307 compared to 194 participants per 1000 with placebo, and alitretinoin 30 mg achieved investigator‐rated control in 432 compared to 157 participants per 1000 with placebo. Similar results were shown for participant‐rated control (high‐certainty evidence). When the dosage of alitretinoin was increased to 30 mg, risk of headache was higher compared to placebo (74 versus 251 per 1000; high‐certainty evidence), but this probably does not differ between alitretinoin 10 mg and placebo (based on moderate‐certainty evidence). Quality of the evidence The quality of evidence was mainly moderate, with most analyses based on single studies that had small sample sizes; therefore, some results should be interpreted with care.</t>
  </si>
  <si>
    <t>Background: The optimal modality and sequencing of neoadjuvant treatment in gastroesophageal cancer is currently being investigated in clinical trials. Early response biomarkers are needed to guide treatment adaptation. This exploratory analysis of a prospective, non-interventional clinical trial (Magnetic resonance IMaging assessment in OeSophageal cAncer) assessed the potential of histogram T2- and diffusion-weighted imaging biomarkers in response prediction to neoadjuvant treatment in oesophageal cancer. Method(s): Patients with locally advanced T2-4N0-3M0 oesophageal/gastroesophageal squamous cell or adenocarcinoma underwent MRI at baseline (Timepoint_0), in week 3 (Timepoint_1) and on completion of neoadjuvant treatment (Timepoint_2). Free-hand regions of interest (ROI) were drawn on each slice with visible tumour on axial T2-weighted and axial high-b-value (b=800) diffusion-weighted MRI. Gross tumour volume (GTV), maximum tumour diameter (MTD) and 9 histogram features were extracted for the tumour at each timepoint. Univariate logistic regression analysis was used to select features with OR &gt;2 or &lt; 0.5 for the primary outcome of pathological response (Mandard score 1 and 2). Variables which met the cut-off criteria were used to fit multivariate logistic regression models combining clinical variables (age, gender, T-stage and N-stage) with imaging features. Performance of the combined models was compared with that of baseline clinical model and the area under the curve (AUC), and two-tailed p values were reported. Result(s): 37 patients (6 female, 31 male, median 65 years, range 41-80) were included in this analysis. 13/37 patients achieved a pathological response. Diffusion-weighted MTD at Timepoint_1 (OR 0.33, 95%CI 0.14-0.81, p 0.02) and T2-weighted kurtosis at Timepoint_2 (OR 0.09, 95%CI 0.01-0.91, p 0.04) were associated with pathological response. These statistically improved the predictive performance of the clinical model (AUC 0.88 and 0.94, respectively versus 0.75 for baseline clinical model). Conclusion(s): Diffusion-weighted maximal tumour dimension at week-3 and T2-weighted kurtosis on neoadjuvant treatment completion have the potential to improve the predictive value of clinical models for response to treatment, but would require external validation in subsequent studies. Clinical trial identification: Multiparametric Magnetic Resonance Imaging for Oesophageal cancer assessment: A pilot study; IRAS 115752. Legal entity responsible for the study: The author. Funding(s): Department of Health via the NIHR Comprehensive Biomedical Research Centre award to Guy's &amp; St Thomas' NHS Foundation Trust in partnership with King's College London/King's College Hospital NHS Foundation Trust; from King's College London/University College London Comprehensive Cancer Imaging Centre funded by Cancer Research UK and EPSRC in association with the Medical Research Council and Department of Health (C1519/A16463); and Wellcome EPSRC Centre for Medical Engineering at King's College London (WT 203148/Z/16/Z). Disclosure: All authors have declared no conflicts of interest. Copyright © 2021 European Society for Medical Oncology</t>
  </si>
  <si>
    <t>J2831</t>
  </si>
  <si>
    <t>Vitamin C supplementation for prevention and treatment of pneumonia</t>
  </si>
  <si>
    <t>- Background According to the Global Burden of Disease Study 2015, lower respiratory tract infection is the leading cause of infectious disease death, and the fifth most common cause of death overall. Vitamin C has a role in modulating resistance to infectious agents, therefore vitamin C supplementation may be important in preventing and treating pneumonia. Objectives To assess the impact of vitamin C supplementation to prevent and treat pneumonia in children and adults. Search methods We searched CENTRAL, MEDLINE, Embase, PubMed, CINAHL, LILACS, Web of Science, and two trials registers to 4 March 2020. We also checked references to identify additional studies. We did not apply any publication status or language filters. Selection criteria We included randomised controlled trials (RCTs) and quasi‐RCTs (studies using allocation methods that are not random, e.g. date of birth, medical record number) assessing the role of vitamin C supplementation in the prevention and treatment of pneumonia in children and adults compared to control or placebo. Data collection and analysis We used standard methodological procedures expected by Cochrane. Main results We included five studies in the review and identified two ongoing studies. The five included studies involved a total of 2655 participants; two studies were RCTs and three were quasi‐RCTs. The included studies were conducted in one high‐income country (USA) and three lower‐middle‐income countries (Bangladesh and Pakistan). Three studies were conducted in hospital inpatient settings, one in school, and one in a military training centre. Three studies included children under five years of age, one study included school‐aged children, and one study included adult participants. Two studies assessed the effect of vitamin C supplementation for pneumonia prevention; and three studies assessed the effect of vitamin C supplementation as an adjunct to pneumonia treatment. For pneumonia prevention, the included studies provided supplementation in doses of 1 g daily for 14 weeks, 2 g daily for 8 weeks, and 2 g daily for 14 weeks. For pneumonia treatment, the included studies provided vitamin C supplementation in doses of 125 mg daily and 200 mg daily until the symptoms resolved or discharge, as an adjunct to the pneumonia treatment. Overall, the included studies were judged to be at either high or unclear risk of bias for random sequence generation, allocation concealment, and blinding; and the evidence certainty was very low. Two studies assessed the effect of vitamin C supplementation for pneumonia prevention; we judged the certainty of the evidence as very low. We are uncertain about the effect of vitamin C supplementation on pneumonia incidence and adverse events (urticaria). None of the included studies reported other primary outcomes (pneumonia prevalence and mortality) or any of the secondary outcomes. Three studies assessed the effect of vitamin C supplementation as an adjunct to pneumonia treatment; we judged the certainty of the evidence as very low. We are uncertain of the effect of vitamin C supplementation on duration of illness and hospitalisation. None of the included studies reported other primary or secondary outcomes. Authors' conclusions Due to the small number of included studies and very low certainty of the existing evidence, we are uncertain of the effect of vitamin C supplementation for the prevention and treatment of pneumonia. Further good‐quality studies are required to assess the role of vitamin C supplementation in the prevention and treatment of pneumonia. Plain language summary Vitamin C supplementation for prevention and treatment of pneumonia Review question What is the role of vitamin C supplementation in the prevention and treatment of pneumonia in adults and children compared to no supplementation? Background Pneumonia is a chest infection caused by virus, bacteria, and fungi. Vitamin C has a role in the immune system, therefore supplementation could be important in preventing and treating pneumonia amongst children and adul s. We assessed the role of vitamin C for the prevention and treatment of pneumonia. Search date We searched for evidence up to 4 March 2020. Study characteristics We included five studies and two ongoing studies. The five included studies involved a total of 2655 participants and were conducted in one high‐income country (USA) and two lower‐middle‐income countries (Bangladesh and Pakistan). Three studies were conducted in hospital settings, one in schools, and one at a military training centre. Three studies included children under five years of age, one school‐aged children, and one adult participants. Two studies assessed the effect of vitamin C supplementation for pneumonia prevention; and three studies assessed the effect of vitamin C supplementation in pneumonia treatment. The doses of vitamin C supplementation used were 125 mg, 200 mg, 1 g and 2 g. Study funding sources Two studies were funded by pharmaceutical companies. Three studies did not report funding sources. Key results We assessed the rate of pneumonia (incidence), how common pneumonia is (prevalence), numbers of deaths from pneumonia (mortality), and unintended and harmful outcomes (adverse effects) associated with vitamin C for preventing pneumonia. Only one study (674 participants) reported incidence, and one study reported one adverse effect (hives) associated with vitamin C for preventing pneumonia. No study reported on prevalence or mortality. Evidence was insufficient to determine the effect of vitamin C for preventing pneumonia. We also assessed how long people were ill (duration of illness), how many people were cured, mortality, and adverse effects associated with the use of vitamin C as a treatment for pneumonia. Only one study reported duration of illness. No studies reported cure rates or adverse effects. Evidence was insufficient to determine the effect of vitamin C for treating pneumonia. Certainty of the evidence We judged the included studies to be at overall high or unclear risk of bias. The evidence certainty was very low due to study limitations, variations amongst the studies, small sample sizes and uncertainty of estimates.</t>
  </si>
  <si>
    <t>J2832</t>
  </si>
  <si>
    <t>Implementation of podiatry telephone appointments for people with rheumatic and musculoskeletal diseases</t>
  </si>
  <si>
    <t>BACKGROUND: Foot health problems are common in the general population, and particularly so in people with rheumatic and musculoskeletal disorders (RMD). Several clinical guidelines state that people with RMDs should have access to foot health services, although service capacity is often limited. The current COVID-19 pandemic has increased the need for alternative ways to provide patient care. The aim of this clinical audit was to review a newly implemented telephone follow-up appointment service conducted within the Rheumatology Podiatry Department in Leeds, UK. METHOD(S): Fifty-eight patients attending the Rheumatology Podiatry Department at Leeds Teaching Hospitals NHS Trust were contacted by telephone approximately 6-8 weeks following initial intervention. During the telephone consultation, all patients were asked pre-defined questions relating to their symptoms, intervention efficacy, the need for further appointments and their preference for the type of consultation. To assess the cost of the telephone consultation the number of attempts needed in order to make successful contact, the duration of the call and the number of telephone follow-up appointments completed in a working day were also recorded. RESULT(S): Twenty-five patients (43%) were successfully contacted within the 6-8 weeks stipulated time frame and were included in the analysis. Of the 25 contacted, twelve (48%) patients were successfully contacted on the first attempt. Ten (40%) were successfully contacted on the second attempt. The remaining three patients (12%) required 3 or more attempts to make successful contact. Telephone consultations were estimated not to last longer than 10 min, including notes screening and documentation. Eleven patients (44%) reported an improvement in their symptoms, thirteen (52%) reported no change and one patient (4%) reported their symptoms to be worse. CONCLUSION(S): Telephone follow-up consultations may be a potentially cost-effective alternative to face-to-face appointments when implemented in a Rheumatology Podiatry Department, and provide an alternative way of providing care, especially when capacity for face-to-face contact is limited. The potential cost saving and efficiency benefits of this service are likely to be enhanced when telephone consultations are pre-arranged with patients.</t>
  </si>
  <si>
    <t>Mobile phone‐based interventions for improving adherence to medication prescribed for the primary prevention of cardiovascular disease in adults</t>
  </si>
  <si>
    <t>- Background Cardiovascular disease (CVD) is a major cause of disability and mortality globally. Premature fatal and non‐fatal CVD is considered to be largely preventable through the control of risk factors by lifestyle modifications and preventive medication. Lipid‐lowering and antihypertensive drug therapies for primary prevention are cost‐effective in reducing CVD morbidity and mortality among high‐risk people and are recommended by international guidelines. However, adherence to medication prescribed for the prevention of CVD can be poor. Approximately 9% of CVD cases in the EU are attributed to poor adherence to vascular medications. Low‐cost, scalable interventions to improve adherence to medications for the primary prevention of CVD have potential to reduce morbidity, mortality and healthcare costs associated with CVD. Objectives To establish the effectiveness of interventions delivered by mobile phone to improve adherence to medication prescribed for the primary prevention of CVD in adults. Search methods We searched CENTRAL, MEDLINE, Embase, and two other databases on 7 January 2020. We also searched two clinical trials registers on 5 February 2020. We searched reference lists of relevant papers. We applied no language or date restrictions. Selection criteria We included randomised controlled trials investigating interventions delivered wholly or partly by mobile phones to improve adherence to cardiovascular medications prescribed for the primary prevention of CVD. We only included trials with a minimum of one‐year follow‐up in order that the outcome measures related to longer‐term, sustained medication adherence behaviours and outcomes. Eligible comparators were usual care or control groups receiving no mobile phone‐delivered component of the intervention. Data collection and analysis We used standard methodological procedures recommended by Cochrane. The main outcomes of interest were objective measures of medication adherence (blood pressure (BP) and cholesterol), CVD events, and adverse events. We contacted study authors for further information when this was not reported. Main results We included 14 trials with 25,633 randomised participants. Participants were recruited from community‐based primary and tertiary care or outpatient clinics. The interventions varied widely from those delivered solely through short messaging service (SMS) to those involving a combination of modes of delivery, such as SMS in addition to healthcare worker training, face‐to‐face counselling, electronic pillboxes, written materials, and home blood pressure monitors. Some interventions only targeted medication adherence, while others additionally targeted lifestyle changes such as diet and exercise. Due to heterogeneity in the nature and delivery of the interventions and study populations, we reported most results narratively, with the exception of two trials which were similar enough to meaningfully pool in meta‐analyses. The body of evidence for the effect of mobile phone‐based interventions on objective outcomes of adherence (BP and cholesterol) was of low certainty, due to most trials being at high risk of bias, and inconsistency in outcome effects. Two trials were at low risk of bias. Among five trials (total study enrolment: 5441 participants) recording low‐density lipoprotein cholesterol (LDL‐C), two studies found evidence for a small beneficial intervention effect on reducing LDL‐C (−5.30 mg/dL, 95% confidence interval (CI) −8.30 to −2.30; and −9.20 mg/dL, 95% CI −17.70 to −0.70). The other three studies found results varying from a small reduction (−7.7 mg/dL) to a small increase in LDL‐C (0.77 mg/dL). All of which had wide confidence intervals that included no effect. Across 13 studies (25,166 participants) measuring systolic blood pressure, effect estimates ranged from a large reduction (MD −12.45 mmHg, 95% CI −15.02 to −9.88) to a small increase (MD 2.80 mmHg, 95% CI 0.30 to 5.30). We found a similar range of effect estimates for diastolic BP, ranging from −12.23 mmHg (95% CI −14.03 to −10.43) to 1.64 mmHg (95% CI −0.55 to 3.83) (11 trials, 19,716 participants). Four trials showed intervention benefits for systolic and diastolic BP with confidence intervals excluding no effect, and among these were all three of the trials evaluating self‐monitoring of blood pressure with mobile phone‐based telemedicine. The fourth trial included SMS and provider support (with additional varied features). Seven studies (19,185 participants) reported 'controlled' BP as an outcome, and intervention effect estimates varied from negligible effects (odds ratio (OR) 1.01, 95% CI 0.76 to 1.34) to large improvements in BP control (OR 2.41, 95% CI: 1.57 to 3.68). The three trials of clinician training or decision support combined with SMS (with additional varied features) had confidence intervals encompassing benefits and harms, with point estimates close to zero. Pooled analyses of the two trials of interventions solely delivered through SMS were indicative of little or no beneficial intervention effect on systolic BP (MD −1.55 mmHg, 95% CI −3.36 to 0.25; I 2 = 0%) and small increases in controlled BP (OR 1.32, 95% CI 1.06 to 1.65; I 2 = 0%). Based on four studies (12,439 participants), there was very low‐certainty evidence (downgraded twice for imprecision and once for risk of bias) relating to the intervention effect on combined (fatal and non‐fatal) CVD events. Two studies (2535 participants) provided low‐certainty evidence for the effect of the intervention on cognitive outcomes, with little or no difference between trial arms for perceived quality of care and satisfaction with treatment. There was moderate‐certainty evidence (downgraded due to risk of bias) that the interventions did not cause harm, based on six studies (8285 participants). Three studies reported no adverse events attributable to the intervention. One study reported no difference between groups in experience of adverse effects of statins, and that no participants reported intervention‐related adverse events. One study stated that potential side effects were similar between groups. One study reported a similar number of deaths in each arm, but did not provide further information relating to potential adverse events. Authors' conclusions There is low‐certainty evidence on the effects of mobile phone‐delivered interventions to increase adherence to medication prescribed for the primary prevention of CVD. Trials of BP self‐monitoring with mobile‐phone telemedicine support reported modest benefits. One trial at low risk of bias reported modest reductions in LDL cholesterol but no benefits for BP. There is moderate‐certainty evidence that these interventions do not result in harm. Further trials of these interventions are warranted. Plain language summary Interventions delivered by mobile phone to help people adhere to medication to prevent heart and circulatory disease Review question We reviewed the evidence on the effect of interventions delivered by mobile phone to help people in taking their medication to prevent cardiovascular disease (for example, heart attacks and strokes). Background Around 17.6 million people die from cardiovascular disease every year. Medications can help to prevent cardiovascular disease, but many people who have been given these medications do not take them as often or as consistently as recommended. This means that the medication will not work as well as it could to prevent cardiovascular disease. Interventions delivered through mobile phones, for example, prompting by text messaging, may be a low‐cost way to help people to take their medication as recommended. Study characteristics The evidence is up to date to January 2020. We found 14 studies that tested interventions delivered at least partly by mobile phone, which followed up participants for at least 12 months. Key results We were not able to combine the results of most of the trials, because the interventions were very different. Two studies were at low risk of bias and 12 were at high risk of bias. T e effects of the interventions were inconsistent across studies, and so we are not confident about their findings. Self‐monitoring of blood pressure plus telemedicine support by mobile phone may improve blood pressure control, but we are not confident about the findings due to trials being at risk of bias. Interventions delivered by text message alone may have little or no effect on blood pressure control. Interventions which included text messages and clinician training or clinician decision support (with or without additional features) may have little or no effect on blood pressure or cholesterol. The effects of the interventions which included text messages and provider support (with or without other features) were inconsistent across studies, and so we are not confident about their findings. We are uncertain about the effects of apps held by the patient or apps with additional provider support. Some interventions delivered by mobile phone may help people to take their medication, but the benefits are small or modest. Some trials found that the interventions did not have any beneficial effect. There was no evidence to suggest that these types of interventions caused harm.</t>
  </si>
  <si>
    <t>J2834</t>
  </si>
  <si>
    <t>Mobile applications in clinical and perioperative care for anesthesia: Narrative review</t>
  </si>
  <si>
    <t>Background: The increasing use of smartphones by providers and patients alike demonstrates that digital health utilizing mobile applications has the potential to transform perioperative care and education in anesthesia.
Objective: This literature review describes the current scope of the use of mobile applications in anesthesiology.
Methods: Literature was searched using PubMed, Scopus, and clinicaltrials.gov for articles published from January 1, 2010, through April 1, 2020. Only English language studies were included. Articles were included if they examined the use of a mobile health application in the setting of anesthesia or the perioperative (immediate preoperative, intraoperative, and postoperative) period. Studies were excluded if they explored video interventions or did not examine the feasibility or efficacy of the mobile app.
Results: We included 29 articles, and three areas of clinical functionality were identified: patient-centered care (preoperative, intraoperative, and postoperative), systems-based improvement, and medical education. Several studies demonstrate the feasibility and reliability of mobile apps in these areas, but many are only tested for efficacy in simulated environments or with small patient samples.
Conclusions: Mobile health applications show promise in improving communication between anesthesiologists, improving workflow efficiency, enhancing medical education, and reducing hospital costs. However, there is a need for validation and improvement before full implementation by the provider, patients, and hospital systems. Future studies are needed to demonstrate meaningful health outcomes to create guidelines and recommendations specific to the application of mobile technology to health care.</t>
  </si>
  <si>
    <t>Anticholinergics combined with alpha‐blockers for treating lower urinary tract symptoms related to benign prostatic obstruction</t>
  </si>
  <si>
    <t>- Background Lower urinary tract symptoms (LUTS) due to benign prostatic obstruction (BPO) represent one of the most common clinical complaints in men. Alpha‐blockers are widely used as first‐line therapy for men with LUTS secondary to BPO, but up to one third of men report no improvement in their LUTS after taking alpha‐blockers. Anticholinergics used in addition to alpha‐blockers may help improve symptoms but it is uncertain how effective they are. Objectives To assess the effects of combination therapy with anticholinergics and alpha‐blockers in men with LUTS related to BPO. Search methods We performed a comprehensive search of medical literature, including the Cochrane Library, MEDLINE, Embase, and trials registries, with no restrictions on the language of publication or publication status. The date of the latest search was 7 August 2020. Selection criteria We included randomized controlled trials. Inclusion criteria were men with LUTS secondary to BPO, ages 40 years or older, and a total International Prostate Symptom Score of 8 or greater. We excluded trials of men with a known neurogenic bladder due to spinal cord injury, multiple sclerosis, or central nervous system disease, and those examining medical therapy for men who were treated with surgery for BPO. We performed three comparisons: combination therapy versus placebo, combination therapy versus alpha‐blockers monotherapy, and combination therapy versus anticholinergics monotherapy. Data collection and analysis Two review authors independently screened the literature, extracted data, and assessed risk of bias. We performed statistical analyses using a random‐effects model and interpreted data according to the Cochrane Handbook for Systematic Reviews of Interventions . We used the GRADE approach to rate the certainty of evidence. Main results We included 23 studies with 6285 randomized men across three comparisons. The mean age of participants ranged from 54.4 years to 73.9 years (overall mean age 65.7 years). Of the included studies, 12 were conducted with a single‐center setting, while 11 used a multi‐center setting. We only found short‐term effect (12 weeks to 12 months) of combination therapy based on available evidence. Combination therapy versus placebo: based on five studies with 2369 randomized participants, combination therapy may result in little or no difference in urologic symptom scores (mean difference (MD) –2.73, 95% confidence interval (CI) –5.55 to 0.08; low‐certainty evidence). We are very uncertain about the effect of combination therapy on quality of life (QoL) (MD –0.97, 95% CI –2.11 to 0.16; very low‐certainty evidence). Combination therapy likely increases adverse events (risk ratio (RR) 1.24, 95% CI 1.04 to 1.47; moderate‐certainty evidence); based on 252 adverse events per 1000 participants in the placebo group, this corresponds to 61 more adverse events (95% CI 10 more to 119 more) per 1000 participants treated with combination therapy. Combination therapy versus alpha‐blockers alone: based on 22 studies with 4904 randomized participants, we are very uncertain about the effect of combination therapy on urologic symptom scores (MD –2.04, 95% CI –3.56 to –0.52; very low‐certainty evidence) and QoL (MD –0.71, 95% CI –1.03 to –0.38; very low‐certainty evidence). Combination therapy may result in little or no difference in adverse events rate (RR 1.10, 95% CI 0.90 to 1.34; low‐certainty evidence); based on 228 adverse events per 1000 participants in the alpha‐blocker group, this corresponds to 23 more adverse events (95% CI 23 fewer to 78 more) per 1000 participants treated with combination therapy. Combination therapy compared to anticholinergics alone: based on three studies with 1218 randomized participants, we are very uncertain about the effect of combination therapy on urologic symptom scores (MD –3.71, 95% CI –9.41 to 1.98; very low‐certainty evidence). Combination therapy may result in an improvement in QoL (MD –1.49, 95% CI –1.88 to –1.11; lo ‐certainty evidence). Combination therapy likely results in little to no difference in adverse events (RR 1.26, 95% CI 0.81 to 1.95; moderate‐certainty evidence); based on 115 adverse events per 1000 participants in the anticholinergic alone group, this corresponds to 4 fewer adverse events (95% CI 7 fewer to 13 more) per 1000 participants treated with combination therapy. Authors' conclusions Based on the findings of the review, combination therapy with anticholinergics and alpha‐blockers are associated with little or uncertain effects on urologic symptom scores compared to placebo, alpha‐blockers, or anticholinergics monotherapy. However, combination therapy may result in an improvement in quality of life compared to anticholinergics monotherapy, but an uncertain effect compared to placebo, or alpha‐blockers. Combination therapy likely increases adverse events compared to placebo, but not compared to alpha‐blockers or anticholinergics monotherapy. The findings of this review were limited by study limitations, inconsistency, and imprecision. We were unable to conduct any of the predefined subgroup analyses. Plain language summary Anticholinergics combined with alpha‐blockers for treating lower urinary tract symptoms related to benign prostatic obstruction Review question Is combination therapy with anticholinergics, a type of medicine that can relieve abnormal bladder contraction (where a man cannot control when he urinates), and alpha‐blockers, a type of medicine that can relax the urethral muscle (the tube that carries urine from the bladder out through the penis during urination), effective and safe for managing urination difficulties and urgency related to enlarged prostate? Background Urination difficulties and urgency caused by enlarged prostate (a male organ near the bladder and surrounding a part of the urethra) are common in men. Although alpha‐blockers have been used to relieve the urinary symptoms, up to one third of men get no benefit. Combination therapy with alpha‐blockers and anticholinergics provides a treatment option for men with urinary symptoms. Study characteristics The search is up‐to‐date to 7 August 2020. We identified 23 studies involving 6285 men. Five studies compared combination therapy with anticholinergics and alpha‐blockers versus placebo (a pill with no therapeutic effects). A total of 22 studies compared combination therapy with anticholinergics and alpha‐blockers versus alpha‐blockers alone. Three studies compared combination therapy with anticholinergics and alpha‐blockers versus anticholinergics alone. The follow‐up period in the studies ranged from 12 weeks to one year. Key results Combination therapy versus placebo: combination therapy with anticholinergics and alpha‐blockers was associated with little effect in urinary symptoms and uncertain improvement on quality of life, but combination therapy may increase unwanted side effects. Combination therapy versus alpha‐blockers: combination therapy with anticholinergics and alpha‐blockers may have uncertain effects on improvement of urinary symptoms and quality of life compared to alpha‐blockers alone. Combination therapy may not increase unwanted side effects. Combination therapy compared to anticholinergics: combination therapy with anticholinergics and alpha‐blockers may be associated with uncertain effects on urinary symptoms, but an improvement in quality of life in comparison with anticholinergics alone. Combination therapy may not increase unwanted side effects. Quality of the evidence A majority of included studies were not well conducted or reported, which is why we rated down the certainty of evidence (the confidence to state the conclusion is right) to moderate, low or very low. This means that the true effect may be substantially different from what this review found.</t>
  </si>
  <si>
    <t>J2836</t>
  </si>
  <si>
    <t>Initial Assessment Structure in a Specialist Outpatient Clinic for Acquired Brain Injury in Adults</t>
  </si>
  <si>
    <t>Consistent with the NHS quality agenda, Dept. of Health, 20111 there has been a drive to routinely incorporate outcome and performance measurement data in clinical practice. An absolute requirement within NHS services2 are Patient- Rated Outcome Measures (PROMS) which are used by some Royal College of Psychiatry faculties to quantify outcomes, improve accountability, performance management and service. They can also be used to screen for common health problems and ensure the comprehensive assessment of complex Acquired Brain Injury (ABI) Patients who typically present with various neurological and psychiatric comorbidities. The North Bristol NHS Trust Outpatient Clinic at The Frenchay Brain Injury Rehabilitation Centre and The Rosa Burden, Southmead Hospital, conducts new assessments and regular patient reviews for referrals from South West England. As part of a quality improvement initiative a semistructured process of assessment was trialled, to improve patient experience by providing a comprehensive initial assessment, improving treatment productivity and reducing over-running clinics. Method Referrals were audited and common reasons for referrals identified. Questionnaires and tools used in the clinic were reviewed and those most frequently used were compiled. The evidence for questionnaires utilized for different psychiatric comorbidities and applicability in ABI was examined in the literature. The finalized patient questionnaires booklet section and their sequence was decided based on expert peer recommendations and patient feedback. The collateral section was similarly developed with some questionnaires modified for operational reasons. SECTION ONE: SELF RATED PRE-ASSESSMENT QUESTIONNAIRE Rivermead Post Concussion Symptoms Questionnaire, Patient Health Questionnaire (15): Somatic Screen, Patient Health Questionnaire-9: Depression screen, General Anxiety Disorder 7: Anxiety screen, Mood Disorder Questionnaire: Bipolar Affective Disorder screen and the Civilian Version PTSD Checklist. SECTION TWO: CARER/FAMILY PRE-ASSESSMENT QUESTIONNAIRE Modified Overt Aggression Scale screen for aggression, Neuropsychiatry Inventory Questionnaire: assesses psychiatric symptoms in patients with neurological disorders Outcome The final booklet was divided into three sections: Patient-Rated, ObserverRated and Clinician Section. Consultation efficiency was improved with the Patient and Observer rated sections completed prior to the initial assessment. The checklist is used for all initial assessments with good uptake and allowed for standardization of clinical information gathering. PROMs for mood are collected at each clinic appointment with other domains repeated if abnormal at initial clinic assessment or clinically relevant.</t>
  </si>
  <si>
    <t>J2837</t>
  </si>
  <si>
    <t>Cost-effectiveness analysis of a model of first-trimester prediction and prevention of preterm pre-eclampsia compared with usual care</t>
  </si>
  <si>
    <t>OBJECTIVES: Pre-eclampsia (PE) causes substantial maternal and neonatal mortality and morbidity. In addition to the personal impact on women, children and their families, PE has a significant economic impact on our society. Recent research suggests that a first-trimester multivariate model is highly predictive of preterm (&lt; 37 weeks' gestation) PE and can be combined successfully with targeted prophylaxis (low-dose aspirin), resulting in an 80% reduction in prevalence of disease. The aim of this study was to examine the potential health outcomes and cost implications following introduction of first-trimester prediction and prevention of preterm PE within a public healthcare setting, compared with usual care, and to conduct a cost-effectiveness analysis to inform health-service decisions regarding implementation of such a program. METHOD(S): A decision-analytic model was used to compare usual care with the proposed first-trimester screening intervention within the obstetric population (n = 6822) attending two public hospitals within a metropolitan district health service in New South Wales, Australia, between January 2015 and December 2016. The model, applied from early pregnancy, included exposure to a variety of healthcare professionals and addressed type of risk assessment (usual care or first-trimester screening) and use of (compliance with) low-dose aspirin prescribed prophylactically for prevention of PE. All pathways culminated in six possible health outcomes, ranging from no PE to maternal death. Results were presented as the number of cases of PE gained/avoided and the incremental increase/decrease in economic costs arising from the intervention compared with usual care. Significant assumptions were tested in sensitivity/uncertainty analyses. RESULT(S): The intervention produced, across all gestational ages, 31 fewer cases of PE and reduced aggregate economic health-service costs by 1 431 186 Australian dollars over the 2-year period. None of the tested iterations of uncertainty analyses reported additional cases of PE or higher economic costs. The new intervention based on first-trimester screening dominated usual care. CONCLUSION(S): This cost-effectiveness analysis demonstrated a reduction in prevalence of preterm PE and substantial cost savings associated with a population-based program of first-trimester prediction and prevention of PE, and supports implementation of such a policy. © 2020 International Society of Ultrasound in Obstetrics and Gynecology.</t>
  </si>
  <si>
    <t>J2838</t>
  </si>
  <si>
    <t>There are ways ... drug companies will get into DTC decisions": How Australian drug and therapeutics committees address pharmaceutical industry influence"</t>
  </si>
  <si>
    <t>Aims: One tool for protecting quality use of medicines in hospitals is a drug and therapeutics committee (DTC) that oversees medicines availability. Pharmaceutical industry marketing to prescribers is associated with less appropriate prescribing and increased costs. There is little data on decision-making practices of DTCs so it is unknown whether or how they might be vulnerable to pharmaceutical industry influence. This project explores DTC decision-making with a focus on how pharmaceutical industry influence on access and use of medicines is identified and managed. Method(s): We used a qualitative methodology with individual interviews of 29 participants who were current or recent members of public hospital DTCs across New South Wales, Australia. Participants included medical, pharmacy and nursing staff and 1 citizen. Committees were linked to specific hospitals or regions, and some were affiliated with paediatric, neonatal, rural or mental health services. Result(s): Drug committee processes for oversight of medicines in public hospitals are vulnerable to pharmaceutical industry influence at several points. Applications for formulary additions are sometimes initiated and completed by company representatives. Conflict of interest disclosures among applicants and committee members may be incomplete. In some institutions, medicines are available from pharmaceutical companies without committee review, including through free samples and industry-supported medicines access programmes. Participants noticed the presence and impact of pharmaceutical company marketing activities to local clinicians, resulting in increased prescriber demand for products. Conclusion(s): Improved DTC practices and review of hospital policies concerning pharmaceutical marketing activities might preserve the independence of evidence-based decision-making for safe, cost-effective prescribing. Copyright © 2020 British Pharmacological Society</t>
  </si>
  <si>
    <t>J2839</t>
  </si>
  <si>
    <t>Design, development and implementation of the virtual, coordination, access, referral and escalation service in western New South Wales</t>
  </si>
  <si>
    <t>PROBLEM: People in rural and remote New South Wales experience avoidable admissions, limited access to skilled clinicians and commonly travel &gt;400 km to access specialist services within the district and &gt;700 km for tertiary services outside. DESIGN: Iterative use of New South Wales Health redesign methodology in the period 2015-2020. SETTING: Western New South Wales Local Health District is geographically the largest Health District within New South Wales and includes disadvantaged communities. Virtual Coordination Access Referral Escalation is an audio-visually enabled transport, patient flow and clinical advice unit established in 2006 to support patients and clinicians at 35 small, rural and remote hospitals. KEY MEASURES FOR IMPROVEMENT: Right care, right place and right time by the right team the first time. Care delivery close to home and 'on country'. Safe and cost-effective transport. Performance measures to support quality, safety and clinical outcomes. Improving the human experience. STRATEGIES FOR CHANGE: Cycles of strategic planning, innovation, productive partnerships, change management and human systems development. EFFECTS OF CHANGE: Virtual Coordination Access Referral Escalation critical care telehealth more effectively supports rural and remote health care across large distances. LESSONS LEARNT: Improvements include expanded/redefined management and nursing roles, integration of dedicated critical care emergency medicine specialists within the service, delegated authority to accept transfers, upgraded technology, 24-hour service provision and a central 'Virtual Support' proactive outreach model. Copyright © 2021 National Rural Health Alliance Ltd.</t>
  </si>
  <si>
    <t>J2840</t>
  </si>
  <si>
    <t>Parent-delivered interventions used at home to improve eating, drinking and swallowing in children with neurodisability: The feeds mixed-methods study</t>
  </si>
  <si>
    <t>Background: Eating, drinking and swallowing difficulties are common in young children with neurodisability. These difficulties may lead to inadequate calorie intake, which affects a child's nutrition, growth and general physical health. Objective(s): To examine which interventions are available that can be delivered at home by parents to improve eating, drinking and swallowing in young children with neurodisability and are suitable for investigation in pragmatic trials. Design(s): This was a mixed-methods study that included focus groups, surveys, an update of published systematic reviews of interventions, a systematic review of measurement properties of existing tools, evidence mapping, evidence synthesis, a Delphi survey and stakeholder workshops. Setting(s): The study was carried out in NHS hospitals, community services, family homes and schools. Participant(s): Parents of children who had neurodisability and eating, drinking and swallowing difficulties. Professionals from health and education. Young people with eating, drinking and swallowing difficulties or young people who had previously experienced eating, drinking and swallowing difficulties. Data sources: Literature reviews; national surveys of parents and professionals; focus groups with parents, young people and professionals; and stakeholder consultation workshops. Review methods: An update of published systematic reviews of interventions (searched July-August 2017), a mapping review (searched October 2017) and a systematic review of measurement properties using COnsensus-based Standards for the Selection of health status Measurement INstruments (COSMIN) methodology (searched May 2018). Result(s): Significant limitations of the available research evidence regarding interventions and tools to measure outcomes were identified. A total of 947 people participated: 400 parents, 475 health professionals, 62 education professionals and 10 young people. The survey showed the wide range of interventions recommended by NHS health professionals, with parents and professionals reporting variability in the provision of these interventions. Parents and professionals considered 19 interventions as relevant because they modified eating, drinking and swallowing difficulties. Parents and professionals considered 10 outcomes as important to measure (including Nutrition, Growth and Health/safety); young people agreed that these were important outcomes. Stakeholder consultation workshops identified that project conclusions and recommendations made sense, were meaningful and were valued by parents and professionals. Parents and health professionals were positive about a proposed Focus on Early Eating, Drinking and Swallowing (FEEDS) toolkit of interventions that, through shared decision-making, could be recommended by health professionals and delivered by families. Limitation(s): The national surveys included large numbers of parents and professionals but, as expected, these were not representative of the UK population of parents of children with eating, drinking and swallowing difficulties. Owing to the limitations of research evidence, pragmatic decisions were made about interventions that might be included in future research and outcomes that might be measured. For instance, the reviews of research found only weak or poor evidence to support the effectiveness of interventions. The review of outcome measures found only limited low-level evidence about their psychometric properties. Conclusion(s): Opportunities and challenges for conducting clinical trials of the effectiveness of the FEEDS toolkit of interventions are described. Parents and professionals thought that implementation of the toolkit as part of usual NHS practice was appropriate. However, this would first require the toolkit to be operationalised through development as a complex intervention, taking account of constituent interventions, delivery strategies, implementation and manualisation. Subsequently, an evaluation of its clinical effectiveness and cost-effectiveness could be undertaken using appropriate research methods. Future work: Initial steps include FEEDS toolkit development and evaluation of its use in clinical practice, and identification of the most robust methods to measure valued outcomes, such as Nutrition and Growth. Copyright © Queen's Printer and Controller of HMSO 2021.</t>
  </si>
  <si>
    <t>- Background Dementia is a progressive syndrome characterised by deterioration in memory, thinking and behaviour, and by impaired ability to perform daily activities. Two classes of drug ‐ cholinesterase inhibitors (donepezil, galantamine and rivastigmine) and memantine ‐ are widely licensed for dementia due to Alzheimer's disease, and rivastigmine is also licensed for Parkinson's disease dementia. These drugs are prescribed to alleviate symptoms and delay disease progression in these and sometimes in other forms of dementia. There are uncertainties about the benefits and adverse effects of these drugs in the long term and in severe dementia, about effects of withdrawal, and about the most appropriate time to discontinue treatment. Objectives To evaluate the effects of withdrawal or continuation of cholinesterase inhibitors or memantine, or both, in people with dementia on: cognitive, neuropsychiatric and functional outcomes, rates of institutionalisation, adverse events, dropout from trials, mortality, quality of life and carer‐related outcomes. Search methods We searched the Cochrane Dementia and Cognitive Improvement Group’s Specialised Register up to 17 October 2020 using terms appropriate for the retrieval of studies of cholinesterase inhibitors or memantine. The Specialised Register contains records of clinical trials identified from monthly searches of a number of major healthcare databases, numerous trial registries and grey literature sources. Selection criteria We included all randomised, controlled clinical trials (RCTs) which compared withdrawal of cholinesterase inhibitors or memantine, or both, with continuation of the same drug or drugs. Data collection and analysis Two review authors independently assessed citations and full‐text articles for inclusion, extracted data from included trials and assessed risk of bias using the Cochrane risk of bias tool. Where trials were sufficiently similar, we pooled data for outcomes in the short term (up to 2 months after randomisation), medium term (3‐11 months) and long term (12 months or more). We assessed the overall certainty of the evidence for each outcome using GRADE methods. Main results We included six trials investigating cholinesterase inhibitor withdrawal, and one trial investigating withdrawal of either donepezil or memantine. No trials assessed withdrawal of memantine only. Drugs were withdrawn abruptly in five trials and stepwise in two trials. All participants had dementia due to Alzheimer's disease, with severities ranging from mild to very severe, and were taking cholinesterase inhibitors without known adverse effects at baseline. The included trials randomised 759 participants to treatment groups relevant to this review. Study duration ranged from 6 weeks to 12 months. There were too few included studies to allow planned subgroup analyses. We considered some studies to be at unclear or high risk of selection, performance, detection, attrition or reporting bias. Compared to continuing cholinesterase inhibitors, discontinuing treatment may be associated with worse cognitive function in the short term (standardised mean difference (SMD) ‐0.42, 95% confidence interval (CI) ‐0.64 to ‐0.21; 4 studies; low certainty), but the effect in the medium term is very uncertain (SMD ‐0.40, 95% CI ‐0.87 to 0.07; 3 studies; very low certainty). In a sensitivity analysis omitting data from a study which only included participants who had shown a relatively poor prior response to donepezil, inconsistency was reduced and we found that cognitive function may be worse in the discontinuation group in the medium term (SMD ‐0.62; 95% CI ‐0.94 to ‐0.31). Data from one longer‐term study suggest that discontinuing a cholinesterase inhibitor is probably associated with worse cognitive function at 12 months (mean difference (MD) ‐2.09 Standardised Mini‐Mental State Examination (SMMSE) points, 95% CI ‐3.43 to ‐0.75; moderate certainty). Discontinuation may make little or no difference to functional status in the short term (SM ‐0.25, 95% CI ‐0.54 to 0.04; 2 studies; low certainty), and its effect in the medium term is uncertain (SMD ‐0.38, 95% CI ‐0.74 to ‐0.01; 2 studies; very low certainty). After 12 months, discontinuing a cholinesterase inhibitor probably results in greater functional impairment than continuing treatment (MD ‐3.38 Bristol Activities of Daily Living Scale (BADLS) points, 95% CI ‐6.67 to ‐0.10; one study; moderate certainty). Discontinuation may be associated with a worsening of neuropsychiatric symptoms over the short term and medium term, although we cannot exclude a minimal effect (SMD ‐ 0.48, 95% CI ‐0.82 to ‐0.13; 2 studies; low certainty; and SMD ‐0.27, 95% CI ‐0.47 to ‐0.08; 3 studies; low certainty, respectively). Data from one study suggest that discontinuing a cholinesterase inhibitor may result in little to no change in neuropsychiatric status at 12 months (MD ‐0.87 Neuropsychiatric Inventory (NPI) points; 95% CI ‐8.42 to 6.68; moderate certainty). We found no clear evidence of an effect of discontinuation on dropout due to lack of medication efficacy or deterioration in overall medical condition (odds ratio (OR) 1.53, 95% CI 0.84 to 2.76; 4 studies; low certainty), on number of adverse events (OR 0.85, 95% CI 0.57 to 1.27; 4 studies; low certainty) or serious adverse events (OR 0.80, 95% CI 0.46 to 1.39; 4 studies; low certainty), and on mortality (OR 0.75, 95% CI 0.36 to 1.55; 5 studies; low certainty). Institutionalisation was reported in one trial, but it was not possible to extract data for the groups relevant to this review. Authors' conclusions This review suggests that discontinuing cholinesterase inhibitors may result in worse cognitive, neuropsychiatric and functional status than continuing treatment, although this is supported by limited evidence, almost all of low or very low certainty. As all participants had dementia due to Alzheimer's disease, our findings are not transferable to other dementia types. We were unable to determine whether the effects of discontinuing cholinesterase inhibitors differed with baseline dementia severity. There is currently no evidence to guide decisions about discontinuing memantine. There is a need for further well‐designed RCTs, across a range of dementia severities and settings. We are aware of two ongoing registered trials. In making decisions about discontinuing these drugs, clinicians should exercise caution, considering the evidence from existing trials along with other factors important to patients and their carers. Plain language summary Stopping or continuing anti‐dementia drugs in patients with dementia Background Dementia is the term used to describe a group of illnesses, usually developing in late life, in which there is a deterioration in a person’s ability to think, remember, communicate and manage daily activities independently. It can be caused by several different brain diseases, but the most common form is dementia due to Alzheimer’s disease. At the moment, there are no medical treatments which can prevent dementia or stop it from progressing, but there are two classes of drugs – the cholinesterase inhibitors (donepezil, rivastigmine and galantamine) and memantine ‐ which are approved and widely prescribed to treat some of the symptoms. They are used mainly for dementia due to Alzheimer's disease but also sometimes for other types of dementia. Most of the trials studying the effects of these drugs have been quite short (typically six months) even though dementia usually lasts for years. The drugs can have unwanted side effects in some people. There is uncertainty about their long‐term effects and about how useful they are for severe dementia, with different countries making different recommendations. Therefore it can be difficult for doctors and patients to decide if and when these drugs should be stopped once they have been started. What was the aim of this review? In this review, we aimed to summarise the best evidence about whether stopping cholinesterase inhibitors or memantine was beneficial or harmfu to people with dementia who had been taking them for at least two months. What we did We searched up to October 2020 for trials which had: recruited people with dementia who were taking a cholinesterase inhibitor or memantine, or both; divided them randomly into a group of patients who continued treatment and a group of patients who stopped treatment; and compared what happened in the two groups. What we found We found seven trials (759 participants) to include in the review. All of the participants had dementia due to Alzheimer’s disease, but in some trials, the disease was mild to moderate and in others, it was moderate to severe or very severe. Six trials investigated the effects of stopping a cholinesterase inhibitor and one trial investigated stopping either a cholinesterase inhibitor (specifically, donepezil) or memantine. We decided not to pool its results with the other six trials. Effects were measured over different periods of time in different trials. We looked separately at effects in the first 2 months (short term), between 3 and 11 months (medium term), and after a year or more (long term). When we looked at the effect on thinking skills and memory, we found that, compared to stopping treatment, continuing treatment with a cholinesterase inhibitor may be beneficial in the short term and medium term and is probably beneficial in the long term. For ability to carry out daily activities, there may be little or no effect in the short term, and the effect in the medium term was very uncertain, but there is probably a benefit to continuing treatment over the longer term. For mood and behavioural problems, continuing treatment may have benefits in the short term and medium term, but not in the long term. We found no clear evidence about the effects of stopping these drugs on patients’ physical health or risk of dying. There was very little evidence about effects on quality of life or on the likelihood of moving to a care home to live. There was not enough evidence for us to see whether results differed with the severity of dementia. Our certainty in the results varied from moderate to very low, mainly because of small numbers of trials and participants, some problems with the way the trials were conducted, and imprecise statistical results. Our conclusions Although there was uncertainty about the results, most of the evidence pointed to benefits of continuing treatment with cholinesterase inhibitors. There was no evidence about types of dementia other than Alzheimer’s disease, and we were unable to draw specific conclusions about continuing or stopping treatment at different stages of the illness. We found no trials that just investigated stopping memantine. These results may help patients and their doctors to make decisions about whether or not to continue treatment, although other factors, such as side effects in an individual patient and the patient’s preferences, are also important.</t>
  </si>
  <si>
    <t>Background: The NHS is the biggest employer in the UK. Depression and anxiety are common reasons for sickness absence among staff. Evidence suggests that an intervention based on a case management model using a biopsychosocial approach could be cost-effective and lead to earlier return to work for staff with common mental health disorders. Objective(s): The objective was to assess the feasibility and acceptability of conducting a trial of the clinical effectiveness and cost-effectiveness of an early occupational health referral and case management intervention to facilitate the return to work of NHS staff on sick leave with any common mental health disorder (e.g. depression or anxiety). Design(s): A multicentre mixed-methods feasibility study with embedded process evaluation and economic analyses. The study comprised an updated systematic review, survey of care as usual, and development of an intervention in consultation with key stakeholders. Although this was not a randomised controlled trial, the study design comprised two arms where participants received either the intervention or care as usual. Participant(s): Participants were NHS staff on sick leave for 7 or more consecutive days but less than 90 consecutive days, with a common mental health disorder. Intervention(s): The intervention involved early referral to occupational health combined with standardised work-focused case management. Copyright © Queen's Printer and Controller of HMSO 2021.</t>
  </si>
  <si>
    <t>Objective Investigated clinical effectiveness and cost-effectiveness of a person-centred intervention for informal carers/caregivers of stroke survivors. Design Pragmatic cluster randomised controlled trial (cRCT) with economic and process evaluation. Setting Clusters were services, from a UK voluntary sector specialist provider, delivering support primarily in the homes of stroke survivors and informal carers. Participants Adult carers in participating clusters were referred to the study by cluster staff following initial support contact. Interventions Intervention was the Carer Support Needs Assessment Tool for Stroke: a staff-facilitated, carer-led approach to help identify, prioritise and address the specific support needs of carers. It required at least one face-to-face support contact dedicated to carers, with reviews as required. Control was usual care, which included carer support (unstructured and variable). Outcome measures Participants provided study entry and self-reported outcome data by postal questionnaires, 3 and 6 months after first contact by cluster staff. Primary Outcome: 3-month caregiver strain (Family Appraisal of Caregiving Questionnaire, FACQ). Secondary Outcomes: FACQ subscales of caregiver distress and positive appraisals of caregiving, mood (Hospital Anxiety and Depression Scale) and satisfaction with stroke services (Pound). The economic evaluation included self-reported healthcare utilisation, intervention costs and EQ-5D-5L. Randomisation and masking Clusters were recruited before randomisation to intervention or control, with stratification for size of service. Cluster staff could not be masked as training was required for participation. Carer research participants provided self-reported outcome data unaware of allocation; they consented to follow-up data collection only. Results Between 1 February 2017 and 31 July 2018, 35 randomised clusters (18 intervention; 17 control) recruited 414 cRCT carers (208 intervention; 206 control). Study entry characteristics were well balanced. Primary outcome measure: intention-to-treat analysis for 84% retained participants (175 intervention; 174 control) found mean (SD) FACQ carer strain at 3 months to be 3.11 (0.87) in the control group compared with 3.03 (0.90) in the intervention group, adjusted mean difference of -0.04 (95% CI -0.20 to 0.13). Secondary outcomes had similarly small differences and tight CIs. Sensitivity analyses suggested robust findings. Intervention fidelity was not achieved. Intervention-related group costs were marginally higher with no additional health benefit observed on EQ-5D-5L. No adverse events were related to the intervention. Conclusions The intervention was not fully implemented in this pragmatic trial. As delivered, it conferred no clinical benefits and is unlikely to be cost-effective compared with usual care from a stroke specialist provider organisation. It remains unclear how best to support carers of stroke survivors. To overcome the implementation challenges of person-centred care in carers' research and service development, staff training and organisational support would need to be enhanced. Trial registration number ISRCTN58414120. Copyright © Author(s) (or their employer(s)) 2020. Re-use permitted under CC BY-NC. No commercial re-use. See rights and permissions. Published by BMJ.</t>
  </si>
  <si>
    <t>Objective To determine whether prostate artery embolization (PAE) is a cost-effective alternative to transurethral resection of the prostate (TURP) in the management of benign prostate hyperplasia (BPH) after 1-year follow-up. Design, setting and main outcome measures A retrospective cost-utility analysis over a 12-month time period was conducted to compare the two interventions from a National Health Service perspective. Effectiveness was measured as quality-adjusted life years (QALYs) derived from data collected during the observational UK Register of Prostate Embolisation (UK-ROPE) Study. Costs for both PAE and TURP were derived from University Hospital Southampton, a tertiary referral centre for BPH and the largest contributor to the UK-ROPE. An incremental cost-effectiveness ratio (ICER) was derived from cost and QALY values associated with both interventions to assess the cost-effectiveness of PAE versus TURP. Further sensitivity analyses involved a decision tree model to account for the impact of patient-reported complications on the cost-effectiveness of the interventions. Results The mean patient age for TURP (n=31) and PAE (n=133) was 69 and 65.6 years, respectively. In comparison to TURP, PAE was cheaper due to shorter patient stays and the lack of necessity for an operating theatre. Analysis revealed an ICER of 64 798.10 saved per QALY lost when comparing PAE to TURP after 1-year follow-up. Conclusion Our findings suggest that PAE is initially a cost-effective alternative to TURP for the management of BPH after 1-year follow-up. Due to a higher reintervention rate in the PAE group, this benefit may be lost in subsequent years. Trial registration number NCT02434575. Copyright © Authors 2021</t>
  </si>
  <si>
    <t>J2845</t>
  </si>
  <si>
    <t>A risk-adjusted and anatomically stratified cohort comparison study of open surgery, endovascular techniques and medical management for juxtarenal aortic aneurysms - The UK COMPlex AneurySm Study (UK-COMPASS): A study protocol</t>
  </si>
  <si>
    <t>Introduction In one-third of all abdominal aortic aneurysms (AAAs), the aneurysm neck is short (juxtarenal) or shows other adverse anatomical features rendering operations more complex, hazardous and expensive. Surgical options include open surgical repair and endovascular aneurysm repair (EVAR) techniques including fenestrated EVAR, EVAR with adjuncts (chimneys/endoanchors) and off-label standard EVAR. The aim of the UK COMPlex AneurySm Study (UK-COMPASS) is to answer the research question identified by the National Institute for Health Research Health Technology Assessment (NIHR HTA) Programme: What is the clinical and cost-effectiveness of strategies for the management of juxtarenal AAA, including fenestrated endovascular repair?' Methods and analysis UK-COMPASS is a cohort study comparing clinical and cost-effectiveness of different strategies used to manage complex AAAs with stratification of physiological fitness and anatomical complexity, with statistical correction for baseline risk and indication biases. There are two data streams. First, a stream of routinely collected data from Hospital Episode Statistics and National Vascular Registry (NVR). Preoperative CT scans of all patients who underwent elective AAA repair in England between 1 November 2017 and 31 October 2019 are subjected to Corelab analysis to accurately identify and include every complex aneurysm treated. Second, a site-reported data stream regarding quality of life and treatment costs from prospectively recruited patients across England. Site recruitment also includes patients with complex aneurysms larger than 55 mm diameter in whom an operation is deferred (medical management). The primary outcome measure is perioperative all-cause mortality. Follow-up will be to a median of 5 years. Ethics and dissemination The study has received full regulatory approvals from a Research Ethics Committee, the Confidentiality Advisory Group and the Health Research Authority. Data sharing agreements are in place with National Health Service Digital and the NVR. Dissemination will be via NIHR HTA reporting, peer-reviewed journals and conferences. Trial registration number ISRCTN85731188. Copyright © Author(s) (or their employer(s)) 2021. Re-use permitted under CC BY. Published by BMJ.</t>
  </si>
  <si>
    <t>J2846</t>
  </si>
  <si>
    <t>Estimating the Prevalence of Pseudomyxoma Peritonei in Europe Using a Novel Statistical Method</t>
  </si>
  <si>
    <t>Background: The determination of the incidence and prevalence of rare diseases is important for economists and health-care providers. Pseudomyxoma peritonei (PMP) is a rare, slow-growing abdominal cancer that represents a substantial burden on both patients and health-care systems. The incidence rate was previously approximated at 1-2 people per million per year; this incidence has never been challenged, and the prevalence has not been estimated. Method(s): Epidemiological data from Norway and England were obtained and analysed to calculate a minimum incidence rate based on the number of patients having a first surgical intervention for PMP. A novel method was then used to determine a prevalence rate for PMP, incorporating incidence, death, and cure rates in a multi-year analysis that accounted for the increasing population of Europe over a 10-year period. Result(s): An incidence rate of 3.2 people per million per year was calculated, with a corresponding estimated prevalence rate of 22 people per million per year. By this calculation, 11,736 people in Europe were estimated to be living with PMP in 2018. Conclusion(s): Incidence and prevalence are essential tools for assessment of the financial and human cost of a disease. For rare diseases, such as PMP, the lack of accurate registries presents a particular challenge in determining such health-related statistical parameters. Based on our calculations, a significant number of people are living with PMP in Europe, underlining the need for appropriate resource allocation to ensure that adequate health-care measures are provided. Copyright © 2020, The Author(s).</t>
  </si>
  <si>
    <t>J2847</t>
  </si>
  <si>
    <t>Understanding the acceptability of delivering a Fibromyalgia Self-Management Programme in the community (FALCON): Qualitative findings</t>
  </si>
  <si>
    <t>Purpose: Fibromyalgia (FM) is a complex long-term condition affecting up to 5.4% of the UK population. It is associated with chronic widespread pain, fatigue, stiffness, sleep problems, memory and concentration difficulties, and irritable bowel syndrome. FM can cause high levels of disability, with individuals making frequent use of healthcare resources, and experiencing loss of workdays. Current guidelines for the treatment of FM all recommend non-pharmacological interventions, of which cognitive behaviour therapy (CBT), aerobic exercise, warm water therapy, relaxation and patient education are the best evidenced. The Fibromyalgia Self-Management Programme (FSMP) is a non-pharmacological, multidisciplinary exercise and education group intervention which aims to provide education and teach core skills, enabling those affected by FM to self-manage. Local audits suggest that the FSMP improves patients' self-efficacy for managing their FM symptoms, reduces healthcare utilisation costs and has high levels of patient satisfaction. To date, the FSMP has been co-delivered by a multidisciplinary team within a secondary care service. A randomised feasibility study has been conducted to see whether or not the FSMP can be delivered in the community. This nested qualitative study aimed to explore the acceptability of delivering the FSMP within a community setting from the perspectives of both patients and therapists. Method(s): Semi-structured qualitative interviews were conducted with patient-participants (n = 13) and occupational therapists and physiotherapists (n = 4) delivering the FSMP in the community. The interviews explored the acceptability of the intervention and informed the feasibility of conducting a full trial in a community setting. All participants consented to the interviews. Interviews were audio-recorded and transcribed verbatim. The qualitative data were analysed using thematic analysis. Result(s): Overall, both the therapists and patient-participants found the content of the FSMP, supporting handbook, trial documentation, group-setting and delivery of the intervention in the community acceptable. As a result of the intervention, patient-participants reported: increased knowledge and understanding of FM; validation of their symptoms; improved physical function; and valued meeting others with FM. Some patient-participants noted that financial expenditure and time spent travelling were barriers to attending the intervention. Conclusion(s): The qualitative results suggest that the FSMP delivered in a community setting is acceptable to both patients and therapists. The results of this study will help to inform a future Randomised Controlled Trial exploring the clinical and cost-effectiveness of delivering the FSMP in a community setting. Impact: The results of this study support the government's plans to transfer the care of adults affected by long-term conditions from an acute hospital setting into the community. Specialist services for the management of long-term pain conditions could be successfully co-delivered by physiotherapists and occupational therapists in a community setting. Funding acknowledgements: This study was funded by the Chartered Society of Physiotherapy Charitable Trust (CSPCT). Copyright © 2021</t>
  </si>
  <si>
    <t>Background: We aimed to assess the cost effectiveness of intravitreal ranibizumab (Lucentis), aflibercept (Eylea) and bevacizumab (Avastin) for the treatment of macular oedema due to central retinal vein occlusion. Method(s): We calculated costs and quality-adjusted life-years from the UK National Health Service and Personal Social Services perspective. We performed a within-trial analysis using the efficacy, safety, resource use and health utility data from a randomised controlled trial (LEAVO) over 100 weeks. We built a discrete event simulation to model long-term outcomes. We estimated utilities using the Visual-Functioning Questionnaire-Utility Index, EQ-5D and EQ-5D with an additional vision question. We used standard UK costs sources for 2018/19 and a cost of 28 per bevacizumab injection. We discounted costs and quality-adjusted life-years at 3.5% annually. Result(s): Bevacizumab was the least costly intervention followed by ranibizumab and aflibercept in both the within-trial analysis (bevacizumab: 6292, ranibizumab: 13,014, aflibercept: 14,328) and long-term model (bevacizumab: 18,353, ranibizumab: 30,226, aflibercept: 35,026). Although LEAVO did not demonstrate bevacizumab to be non-inferior for the visual acuity primary outcome, the three interventions generated similar quality-adjusted life-years in both analyses. Bevacizumab was always the most cost-effective intervention at a threshold of 30,000 per quality-adjusted life-year, even using the list price of 243 per injection. Conclusion(s): Wider adoption of bevacizumab for the treatment of macular oedema due to central retinal vein occlusion could result in substantial savings to healthcare systems and deliver similar health-related quality of life. However, patients, funders and ophthalmologists should be fully aware that LEAVO could not demonstrate that bevacizumab is non-inferior to the licensed agents. Copyright © 2021, The Author(s).</t>
  </si>
  <si>
    <t>OBJECTIVE Spine surgery has been identified as a significant source of healthcare expenditures in the United States. Prolonged hospitalization has been cited as one source of increased spending, and there has been drive from providers and payors alike to decrease inpatient stays. One strategy currently being explored is the use of Enhanced Recovery After Surgery (ERAS) protocols. Here, the authors review the literature on adult spine ERAS protocols, focusing on clinical benefits and cost reductions. They also conducted a quantitative meta-analysis examining the following: 1) length of stay (LOS), 2) complication rate, 3) wound infection rate, 4) 30-day readmission rate, and 5) 30-day reoperation rate. METHODS Using the PRISMA guidelines, a search of the PubMed/Medline, Web of Science, Cochrane Reviews, Embase, CINAHL, and OVID Medline databases was conducted to identify all full-text articles in the English-language literature describing ERAS protocol implementation for adult spine surgery. A quantitative meta-analysis using random-effects modeling was performed for the identified clinical outcomes using studies that directly compared ERAS protocols with conventional care. RESULTS Of 950 articles reviewed, 34 were included in the qualitative analysis and 20 were included in the quantitative analysis. The most common protocol types were general spine surgery protocols and protocols for lumbar spine surgery patients. The most frequently cited benefits of ERAS protocols were shorter LOS (n = 12), lower postoperative pain scores (n = 6), and decreased complication rates (n = 4). The meta-analysis demonstrated shorter LOS for the general spine surgery (mean difference -1.22 days [95% CI -1.98 to -0.47]) and lumbar spine ERAS protocols (-1.53 days [95% CI -2.89 to -0.16]). Neither general nor lumbar spine protocols led to a significant difference in complication rates. Insufficient data existed to perform a meta-analysis of the differences in costs or postoperative narcotic use. CONCLUSIONS Present data suggest that ERAS protocol implementation may reduce hospitalization time among adult spine surgery patients and may lead to reductions in complication rates when applied to specific populations. To generate high-quality evidence capable of supporting practice guidelines, though, additional controlled trials are necessary to validate these early findings in larger populations. Copyright © AANS 2021.</t>
  </si>
  <si>
    <t>Background: Adrenaline has been used as a treatment for cardiac arrest for many years, despite uncertainty about its effects on long-term outcomes and concerns that it may cause worse neurological outcomes. Objective(s): The objectives were to evaluate the effects of adrenaline on survival and neurological outcomes, and to assess the cost-effectiveness of adrenaline use. Design(s): This was a pragmatic, randomised, allocation-concealed, placebo-controlled, parallel-group superiority trial and economic evaluation. Costs are expressed in Great British pounds and reported in 2016/17 prices. Setting(s): This trial was set in five NHS ambulance services in England and Wales. Participant(s): Adults treated for an out-of-hospital cardiac arrest were included. Patients were ineligible if they were pregnant, if they were aged &lt; 16 years, if the cardiac arrest had been caused by anaphylaxis or life-threatening asthma, or if adrenaline had already been given. Intervention(s): Participants were randomised to either adrenaline (1 mg) or placebo in a 1: 1 allocation ratio by the opening of allocation-concealed treatment packs. Main Outcome Measure(s): The primary outcome was survival to 30 days. The secondary outcomes were survival to hospital admission, survival to hospital discharge, survival at 3, 6 and 12 months, neurological outcomes and health-related quality of life through to 6 months. The economic evaluation assessed the incremental cost per quality-adjusted life-year gained from the perspective of the NHS and Personal Social Services. Participants, clinical teams and those assessing patient outcomes were masked to the treatment allocation. Result(s): From December 2014 to October 2017, 8014 participants were assigned to the adrenaline (n = 4015) or to the placebo (n = 3999) arm. At 30 days, 130 out of 4012 participants (3.2%) in the adrenaline arm and 94 out of 3995 (2.4%) in the placebo arm were alive (adjusted odds ratio for survival 1.47, 95% confidence interval 1.09 to 1.97). For secondary outcomes, survival to hospital admission was higher for those receiving adrenaline than for those receiving placebo (23.6% vs. 8.0%; adjusted odds ratio 3.83, 95% confidence interval 3.30 to 4.43). The rate of favourable neurological outcome at hospital discharge was not significantly different between the arms (2.2% vs. 1.9%; adjusted odds ratio 1.19, 95% confidence interval 0.85 to 1.68). The pattern of improved survival but no significant improvement in neurological outcomes continued through to 6 months. By 12 months, survival in the adrenaline arm was 2.7%, compared with 2.0% in the placebo arm (adjusted odds ratio 1.38, 95% confidence interval 1.00 to 1.92). An adjusted subgroup analysis did not identify significant interactions. The incremental cost-effectiveness ratio for adrenaline was estimated at 1,693,003 per quality-adjusted life-year gained over the first 6 months after the cardiac arrest event and 81,070 per quality-adjusted life-year gained over the lifetime of survivors. Additional economic analyses estimated incremental cost-effectiveness ratios for adrenaline at 982,880 per percentage point increase in overall survival and 377,232 per percentage point increase in neurological outcomes over the first 6 months after the cardiac arrest. Limitation(s): The estimate for survival with a favourable neurological outcome is imprecise because of the small numbers of patients surviving with a good outcome. Conclusion(s): Adrenaline improved long-term survival, but there was no evidence that it significantly improved neurological outcomes. The incremental cost-effectiveness ratio per quality-adjusted life-year exceeds the threshold of 20,000-30,000 per quality-adjusted life-year usually supported by the NHS. Future work: Further research is required to better understand patients' preferences in relation to survival and neurological outcomes after out-of-hospital cardiac arrest and to aid interpretation of the trial findings from a patient and public perspective. Trial registration: Current Controlled Trials ISRCTN73485024 and EudraCT 2014-000792-11. Copyright © 2021 Perkins et al.</t>
  </si>
  <si>
    <t>- Background Various rehabilitation treatments may be offered following surgery for flexor tendon injuries of the hand. Rehabilitation often includes a combination of an exercise regimen and an orthosis, plus other rehabilitation treatments, usually delivered together. The effectiveness of these interventions remains unclear. Objectives To assess the effects (benefits and harms) of different rehabilitation interventions after surgery for flexor tendon injuries of the hand. Search methods We searched the Cochrane Central Register of Controlled Trials, the Cochrane Bone, Joint and Muscle Trauma Group Specialised Register, MEDLINE, Embase, two additional databases and two international trials registries, unrestricted by language. The last date of searches was 11 August 2020. We checked the reference lists of included studies and relevant systematic reviews. Selection criteria We included randomised controlled trials (RCTs) and quasi‐RCTs that compared any postoperative rehabilitation intervention with no intervention, control, placebo, or another postoperative rehabilitation intervention in individuals who have had surgery for flexor tendon injuries of the hand. Trials comparing different mobilisation regimens either with another mobilisation regimen or with a control were the main comparisons of interest. Our main outcomes of interest were patient‐reported function, active range of motion of the fingers, and number of participants experiencing an adverse event. Data collection and analysis Two review authors independently selected trials for inclusion, extracted data, assessed risk of bias and assessed the quality of the body of evidence for primary outcomes using the GRADE approach, according to standard Cochrane methodology. Main results We included 16 RCTs and one quasi‐RCT, with a total of 1108 participants, mainly adults. Overall, the participants were aged between 7 and 72 years, and 74% were male. Studies mainly focused on flexor tendon injuries in zone II. The 17 studies were heterogeneous with respect to the types of rehabilitation treatments provided, intensity, duration of treatment and the treatment setting. Each trial tested one of 14 comparisons, eight of which were of different exercise regimens. The other trials examined the timing of return to unrestricted functional activities after surgery (one study); the use of external devices applied to the participant to facilitate mobilisation, such as an exoskeleton (one study) or continuous passive motion device (one study); modalities such as laser therapy (two studies) or ultrasound therapy (one study); and a motor imagery treatment (one study). No trials tested different types of orthoses; different orthosis wearing regimens, including duration; different timings for commencing mobilisation; different types of scar management; or different timings for commencing strengthening. Trials were generally at high risk of bias for one or more domains, including lack of blinding, incomplete outcome data and selective outcome reporting. Data pooling was limited to tendon rupture data in a three trial comparison. We rated the evidence available for all reported outcomes of all comparisons as very low‐certainty evidence, which means that we have very little confidence in the estimates of effect. We present the findings from three exercise regimen comparisons, as these are commonly used in clinical current practice. Early active flexion plus controlled passive exercise regimen versus early controlled passive exercise regimen (modified Kleinert protocol) was compared in one trial of 53 participants with mainly zone II flexor tendon repairs. There is very low‐certainty evidence of no clinically important difference between the two groups in patient‐rated function or active finger range of motion at 6 or 12 months follow‐up. There is very low‐certainty evidence of little between‐group difference in adverse events: there were 15 overall. All three tendon ruptures underwent secondary surgery. An active exercise regimen versus an immobilisation egimen for three weeks was compared in one trial reporting data for 84 participants with zone II flexor tendon repairs. The trial did not report on self‐rated function, on range of movement during three to six months or numbers of participants experiencing adverse events. The very low‐certainty evidence for poor (under one‐quarter that of normal) range of finger movement at one to three years follow‐up means we are uncertain of the finding of zero cases in the active group versus seven cases in the immobilisation regimen. The same uncertainty applies to the finding of little difference between the two groups in adverse events (5 tendon ruptures in the active group versus 10 probable scar adhesion in the immobilisation group) indicated for surgery. Place and hold exercise regimen performed within an orthosis versus a controlled passive regimen using rubber band traction was compared in three heterogeneous trials, which reported data for a maximum of 194 participants, with mainly zone II flexor tendon repairs. The trials did not report on range of movement during three to six months, or numbers of participants experiencing adverse events. There was very low‐certainty evidence of no difference in self‐rated function using the Disability of the Arm, Shoulder and Hand (DASH) functional assessment between the two groups at six months (one trial) or at 12 months (one trial). There is very low‐certainty evidence from one trial of greater active finger range of motion at 12 months after place and hold. Secondary surgery data were not available; however, all seven recorded tendon ruptures would have required surgery. All the evidence for the other five exercise comparisons as well as those of the other six comparisons made by the included studies was incomplete and, where available, of very low‐certainty. Authors' conclusions There is a lack of evidence from RCTs on most of the rehabilitation interventions used following surgery for flexor tendon injuries of the hand. The limited and very low‐certainty evidence for all 14 comparisons examined in the 17 included studies means that we have very little confidence in the estimates of effect for all outcomes for which data were available for these comparisons. The dearth of evidence identified in this review points to the urgent need for sufficiently powered RCTs that examine key questions relating to the rehabilitation of these injuries. A consensus approach identifying these and establishing minimum study conduct and reporting criteria will be valuable. Our suggestions for future research are detailed in the review. Plain language summary What are the best ways for recovering movement in the hand after surgery to repair flexor tendons (tendons in the hand that enable fingers to bend)? Why is this question important? Flexor tendons are strong smooth cords that connect the muscles in the forearm (between the hand and elbow) to the bones in the fingers. These tendons allow us to bend our fingers. (Other tendons, known as extensor tendons, allow us to straighten them.) If flexor tendons become damaged – for example, because of a deep cut from broken glass – surgery is usually needed. The aim of surgery is to repair the tendons so that movement can be restored in the affected fingers. After surgery, the tendons need a lengthy period of rehabilitation to recover from the injury, the surgery and to restore movement. This period typically lasts 12 weeks, though it can be longer for people with complex injuries or with complications such as joint deformities. Rehabilitation usually involves several different steps. After surgery, people often must wear a splint or other devise to stabilise or immobilise the hand and wrist. They also often must do hand exercises to stop the repaired tendons from sticking to surrounding tissue and limiting hand movement. There are many kinds of different rehabilitation programmes, but it is unclear whether some are better than others. We set out to review the evidence from research studies, to find out: ‐ which approaches are most effect ve in restoring finger motion and function; and ‐ which approaches minimise the risk of adverse (unwanted) events, such as tendon ruptures, scar tissue sticking to other tissues, and joint stiffness. How did we identify and evaluate the evidence? First, we searched for studies in the medical literature that compared any rehabilitation approach after flexor tendon surgery against: ‐ no treatment; ‐ a placebo (dummy) treatment (in which, for example, someone thinks they may be receiving laser therapy but the machine is switched off); or ‐ another rehabilitation approach. We then compared the results, and summarised the evidence from all the studies. Finally, we rated our confidence in the evidence, based on factors such as study methods and sizes, and the consistency of findings across studies that tested the same comparison. What did we find? We found 17 studies that involved a total of 1108 people who had received surgery to repair torn flexor tendons. The people were aged between 7 and 72 years, and three‐quarters of them were male. Ten studies evaluated one each of eight different hand exercise programmes. The other seven studies evaluated a variety of other rehabilitation approaches, such as: ‐ laser therapy, in which light is directed at the tendons to encourage healing; ‐ ultrasound, in which sound waves are directed at the tendons to encourage healing; and ‐ a wearable machine (exoskeleton), designed to assist people in their movements. We found very little evidence about the benefits and risks of different rehabilitation approaches. The evidence we did find was not robust. For example, for the three most relevant exercise comparisons we identified only: ‐ one study (84 people) that compared finger exercises against immobilisation; ‐ one study (53 people) that evaluated the effects of adding regular finger exercises (20 to 30 times every waking hour for four weeks from the first day after surgery) to ‘passive’ exercises (in which people regularly folded the fingers in the injured hand using the uninjured hand); and ‐ three studies (190 people) that evaluated the effects of adding ‘place and hold’ exercises (during which people use their uninjured hand to fold the fingers of the injured hand, and then have to hold the folded fingers in place for a few seconds without any support) to passive exercises. The studies were too small, or reported too little robust or usable information, for us to determine which approach is best. What does this mean? We do not know which method works best for people to recover movement in the hand after surgery to repair flexor tendons. This is because there is not enough robust evidence about the benefits and risks of different methods. Further research is needed to help inform clinicians’ and patients’ choice of rehabilitation after surgery for flexor tendon injuries. How up‐to‐date is this review? The evidence in this Cochrane Review is current to August 2020.</t>
  </si>
  <si>
    <t>J2854</t>
  </si>
  <si>
    <t>The Role of the Pharmacist in Inhaler Selection and Education in Chronic Obstructive Pulmonary Disease</t>
  </si>
  <si>
    <t>Objective: To review the role of pharmacists in educating and monitoring patients with chronic obstructive pulmonary disease (COPD) on inhalation technique. Data Sources: A PubMed search (January 2000 to May 2020) was performed using the following keywords and associated medical subject headings: adherence, chronic obstructive pulmonary disease/COPD, education, inhaler, pharmacist, and technique. Study Selection and Data Extraction: The search was conducted to identify English language articles highlighting the importance of correct inhaler technique in COPD management and benefits of pharmacist inhaler training such as improved adherence, quality of life (QoL), and disease control. Randomized controlled trials, retrospective studies, observational studies, systematic reviews, and meta-analysis reporting pharmacist training were included. Data Synthesis: This review summarizes that incorrect inhaler use negatively affects treatment outcomes, prognosis, and QoL. Pharmacists are in a unique position to educate and monitor patients with COPD on optimal inhaler technique and an individualized, multifactorial approach to COPD management involving pharmacists could provide cost-effective patient care and improve adherence and minimize inhaler misuse. Several strategies used by pharmacists can optimize patient inhaler use, such as face-to-face technique demonstrations, the teach-back" method, telemonitoring, instructional videos, or informational leaflets. An individualized action plan involving education and regular monitoring of inhaler use further enhances optimal adherence and disease management. Conclusion(s): As pharmacists are easily accessible to both patients and health care providers, they are ideally placed to play an important role in the enhancement of education on, and continuous assessment of, optimal inhaler technique, thereby improving adherence, disease control, and QoL. Copyright © The Author(s) 2020."</t>
  </si>
  <si>
    <t>Objective: Assess the potential of hospital-wide routine screening by determining the prevalence and incidence of carbapenemase-producing organisms (CPOs) isolated from rectal screens at Barnet and Chase Farm Hospitals. Method(s): 3,553 samples were collected between 01/12/2018 and 31/08/2019: from adult critical care wards (universal screening - admission, discharge and weekly), from medical wards with risk-factor based screening according to the prevailing Public Health England (PHE) carbapenemase-producing Enterobacteriaceae (CPE) screening guidelines, or on an ad hoc basis. Prevalence was defined as previously documented positive CPO colonisation, or new positive status, as a proportion of all eligible samples. Incidence was defined as all newly positive patients per 1,000 patient-days. Result(s): Overall CPO prevalence was 2.1% (95% CI: 1.61-2.58%). Inpatient prevalence was significantly higher at 2.6% vs outpatient at 0.5% (p &lt; 0.001). Incidence was 0.44 per 1,000 patient-days (95% CI: 0.33-0.57), with a rate ratio between Barnet and Chase Farm of 4.9 (p = 0.013). Incidence was highest where universal screening strategy was applied (3.9 per 1000 patient-days, 95% CI: 2.4-5.91). This was 2.5 times higher than risk-factor based screening (p = 0.005) and 23.5 times that of wards without routine surveillance implemented (p &lt; 0.001). Conclusion(s): Surveillance remains a cornerstone in controlling CPO transmission. Our local incidence, lacking hospital-wide screening, significantly exceeded the reported UK average. Universal screening could help to uncover the true prevalence and incidence of CPO, thereby providing the necessary information to properly control transmission, reducing nosocomial outbreaks and ultimately reducing the overall cost to healthcare. Copyright © 2021 The Authors</t>
  </si>
  <si>
    <t>Antiemetics for adults for prevention of nausea and vomiting caused by moderately or highly emetogenic chemotherapy: a network meta‐analysis</t>
  </si>
  <si>
    <t>- Background About 70% to 80% of adults with cancer experience chemotherapy‐induced nausea and vomiting (CINV). CINV remains one of the most distressing symptoms associated with cancer therapy and is associated with decreased adherence to chemotherapy. Combining 5‐hydroxytryptamine‐3 (5‐HT₃) receptor antagonists with corticosteroids or additionally with neurokinin‐1 (NK₁) receptor antagonists is effective in preventing CINV among adults receiving highly emetogenic chemotherapy (HEC) or moderately emetogenic chemotherapy (MEC). Various treatment options are available, but direct head‐to‐head comparisons do not allow comparison of all treatments versus another. Objectives • In adults with solid cancer or haematological malignancy receiving HEC ‐ To compare the effects of antiemetic treatment combinations including NK₁ receptor antagonists, 5‐HT₃ receptor antagonists, and corticosteroids on prevention of acute phase (Day 1), delayed phase (Days 2 to 5), and overall (Days 1 to 5) chemotherapy‐induced nausea and vomiting in network meta‐analysis (NMA) ‐ To generate a clinically meaningful treatment ranking according to treatment safety and efficacy • In adults with solid cancer or haematological malignancy receiving MEC ‐ To compare whether antiemetic treatment combinations including NK₁ receptor antagonists, 5‐HT₃ receptor antagonists, and corticosteroids are superior for prevention of acute phase (Day 1), delayed phase (Days 2 to 5), and overall (Days 1 to 5) chemotherapy‐induced nausea and vomiting to treatment combinations including 5‐HT₃ receptor antagonists and corticosteroids solely, in network meta‐analysis ‐ To generate a clinically meaningful treatment ranking according to treatment safety and efficacy Search methods We searched CENTRAL, MEDLINE, Embase, conference proceedings, and study registries from 1988 to February 2021 for randomised controlled trials (RCTs). Selection criteria We included RCTs including adults with any cancer receiving HEC or MEC (according to the latest definition) and comparing combination therapies of NK₁ and 5‐HT₃ inhibitors and corticosteroids for prevention of CINV. Data collection and analysis We used standard methodological procedures expected by Cochrane. We expressed treatment effects as risk ratios (RRs). Prioritised outcomes were complete control of vomiting during delayed and overall phases, complete control of nausea during the overall phase, quality of life, serious adverse events (SAEs), and on‐study mortality. We assessed GRADE and developed 12 'Summary of findings' tables. We report results of most crucial outcomes in the abstract, that is, complete control of vomiting during the overall phase and SAEs. For a comprehensive illustration of results, we randomly chose aprepitant plus granisetron as exemplary reference treatment for HEC, and granisetron as exemplary reference treatment for MEC. Main results Highly emetogenic chemotherapy ( HEC) We included 73 studies reporting on 25,275 participants and comparing 14 treatment combinations with NK₁ and 5‐HT₃ inhibitors. All treatment combinations included corticosteroids. Complete control of vomiting during the overall phase We estimated that 704 of 1000 participants achieve complete control of vomiting in the overall treatment phase (one to five days) when treated with aprepitant + granisetron. Evidence from NMA (39 RCTs, 21,642 participants; 12 treatment combinations with NK₁ and 5‐HT₃ inhibitors) suggests that the following drug combinations are more efficacious than aprepitant + granisetron for completely controlling vomiting during the overall treatment phase (one to five days): fosnetupitant + palonosetron (810 of 1000; RR 1.15, 95% confidence interval (CI) 0.97 to 1.37; moderate certainty), aprepitant + palonosetron (753 of 1000; RR 1.07, 95% CI 1.98 to 1.18; low‐certainty), aprepitant + ramosetron (753 of 1000; RR 1.07, 95% CI 0.95 to 1.21; low certainty), and fosaprepitant + palonosetron (746 of 1000; RR 1.06, 95% CI 0.96 to .19; low certainty). Netupitant + palonosetron (704 of 1000; RR 1.00, 95% CI 0.93 to 1.08; high‐certainty) and fosaprepitant + granisetron (697 of 1000; RR 0.99, 95% CI 0.93 to 1.06; high‐certainty) have little to no impact on complete control of vomiting during the overall treatment phase (one to five days) when compared to aprepitant + granisetron, respectively. Evidence further suggests that the following drug combinations are less efficacious than aprepitant + granisetron in completely controlling vomiting during the overall treatment phase (one to five days) (ordered by decreasing efficacy): aprepitant + ondansetron (676 of 1000; RR 0.96, 95% CI 0.88 to 1.05; low certainty), fosaprepitant + ondansetron (662 of 1000; RR 0.94, 95% CI 0.85 to 1.04; low certainty), casopitant + ondansetron (634 of 1000; RR 0.90, 95% CI 0.79 to 1.03; low certainty), rolapitant + granisetron (627 of 1000; RR 0.89, 95% CI 0.78 to 1.01; moderate certainty), and rolapitant + ondansetron (598 of 1000; RR 0.85, 95% CI 0.65 to 1.12; low certainty). We could not include two treatment combinations (ezlopitant + granisetron, aprepitant + tropisetron) in NMA for this outcome because of missing direct comparisons. Serious adverse events We estimated that 35 of 1000 participants experience any SAEs when treated with aprepitant + granisetron. Evidence from NMA (23 RCTs, 16,065 participants; 11 treatment combinations) suggests that fewer participants may experience SAEs when treated with the following drug combinations than with aprepitant + granisetron: fosaprepitant + ondansetron (8 of 1000; RR 0.23, 95% CI 0.05 to 1.07; low certainty), casopitant + ondansetron (8 of 1000; RR 0.24, 95% CI 0.04 to 1.39; low certainty), netupitant + palonosetron (9 of 1000; RR 0.27, 95% CI 0.05 to 1.58; low certainty), fosaprepitant + granisetron (13 of 1000; RR 0.37, 95% CI 0.09 to 1.50; low certainty), and rolapitant + granisetron (20 of 1000; RR 0.57, 95% CI 0.19 to 1.70; low certainty). Evidence is very uncertain about the effects of aprepitant + ondansetron (8 of 1000; RR 0.22, 95% CI 0.04 to 1.14; very low certainty), aprepitant + ramosetron (11 of 1000; RR 0.31, 95% CI 0.05 to 1.90; very low certainty), fosaprepitant + palonosetron (12 of 1000; RR 0.35, 95% CI 0.04 to 2.95; very low certainty), fosnetupitant + palonosetron (13 of 1000; RR 0.36, 95% CI 0.06 to 2.16; very low certainty), and aprepitant + palonosetron (17 of 1000; RR 0.48, 95% CI 0.05 to 4.78; very low certainty) on the risk of SAEs when compared to aprepitant + granisetron, respectively. We could not include three treatment combinations (ezlopitant + granisetron, aprepitant + tropisetron, rolapitant + ondansetron) in NMA for this outcome because of missing direct comparisons. Moderately emetogenic chemotherapy (MEC) We included 38 studies reporting on 12,038 participants and comparing 15 treatment combinations with NK₁ and 5‐HT₃ inhibitors, or 5‐HT₃ inhibitors solely. All treatment combinations included corticosteroids. Complete control of vomiting during the overall phase We estimated that 555 of 1000 participants achieve complete control of vomiting in the overall treatment phase (one to five days) when treated with granisetron. Evidence from NMA (22 RCTs, 7800 participants; 11 treatment combinations) suggests that the following drug combinations are more efficacious than granisetron in completely controlling vomiting during the overall treatment phase (one to five days): aprepitant + palonosetron (716 of 1000; RR 1.29, 95% CI 1.00 to 1.66; low certainty), netupitant + palonosetron (694 of 1000; RR 1.25, 95% CI 0.92 to 1.70; low certainty), and rolapitant + granisetron (660 of 1000; RR 1.19, 95% CI 1.06 to 1.33; high certainty). Palonosetron (588 of 1000; RR 1.06, 95% CI 0.85 to 1.32; low certainty) and aprepitant + granisetron (577 of 1000; RR 1.06, 95% CI 0.85 to 1.32; low certainty) may or may not increase complete response in the overall treatment phase (one to five days) when compared to granisetron, respectively. Azasetron (560 of 1000; RR 1.01, 95% CI 0.76 to 1.34; low certainty) may result in little to no difference in complete response in the overall treatment phase (one to five days) when compared to granisetron. Evidence further suggests that the following drug combinations are less efficacious than granisetron in completely controlling vomiting during the overall treatment phase (one to five days) (ordered by decreasing efficacy): fosaprepitant + ondansetron (500 of 1000; RR 0.90, 95% CI 0.66 to 1.22; low certainty), aprepitant + ondansetron (477 of 1000; RR 0.86, 95% CI 0.64 to 1.17; low certainty), casopitant + ondansetron (461 of 1000; RR 0.83, 95% CI 0.62 to 1.12; low certainty), and ondansetron (433 of 1000; RR 0.78, 95% CI 0.59 to 1.04; low certainty). We could not include five treatment combinations (fosaprepitant + granisetron, azasetron, dolasetron, ramosetron, tropisetron) in NMA for this outcome because of missing direct comparisons. Serious adverse events We estimated that 153 of 1000 participants experience any SAEs when treated with granisetron. Evidence from pair‐wise comparison (1 RCT, 1344 participants) suggests that more participants may experience SAEs when treated with rolapitant + granisetron (176 of 1000; RR 1.15, 95% CI 0.88 to 1.50; low certainty). NMA was not feasible for this outcome because of missing direct comparisons. Certainty of evidence Our main reason for downgrading was serious or very serious imprecision (e.g. due to wide 95% CIs crossing or including unity, few events leading to wide 95% CIs, or small information size). Additional reasons for downgrading some comparisons or whole networks were serious study limitations due to high risk of bias or moderate inconsistency within networks. Authors' conclusions This field of supportive cancer care is very well researched. However, new drugs or drug combinations are continuously emerging and need to be systematically researched and assessed. For people receiving HEC, synthesised evidence does not suggest one superior treatment for prevention and control of chemotherapy‐induced nausea and vomiting. For people receiving MEC, synthesised evidence does not suggest superiority for treatments including both NK₁ and 5‐HT₃ inhibitors when compared to treatments including 5‐HT₃ inhibitors only. Rather, the results of our NMA suggest that the choice of 5‐HT₃ inhibitor may have an impact on treatment efficacy in preventing CINV. When interpreting the results of this systematic review, it is important for the reader to understand that NMAs are no substitute for direct head‐to‐head comparisons, and that results of our NMA do not necessarily rule out differences that could be clinically relevant for some individuals. Plain language summary Which drug combinations are best for prevention of nausea and vomiting caused by chemotherapy in adults with cancer? The burden of nausea and vomiting caused by chemotherapy and what helps to prevent it? In about 70% to 80% of adults with cancer, chemotherapy induces nausea and vomiting (CINV). Depending on the type of chemotherapy, treatment can cause strong or moderate sickness (hereafter referred to as HEC (highly emetogenic chemotherapy) and MEC (moderately emetogenic chemotherapy)). Multiple drug combinations have showed high benefit for CINV among adults receiving HEC or MEC. What was the aim of our review? Using a network meta‐analysis, we aimed to compare the benefits and harms of different drug combinations for prevention of CINV among people receiving HEC or MEC, and to identify treatment ranking. A network meta‐analysis is a technique used to compare different treatments described in already published trials, even when the original individual trial does not describe such comparisons. What studies did we look at? We searched selected medical databases and trial registries until February 2021. We included studies comparing multiple drug combinations for prevention of CINV among adults with any type of cancer receiving HEC or MEC that is commonly used in clinical practice. In particular, we looked at drugs inhibiting two specific biochemical receptors (neurokinin receptor and serotonin receptor) that trigger nausea and vomiting after chemotherapy. We looked at the preventative effects of these treatments over five days. This is the period during which the maximum intensity of CINV and further peaks of intensity are expected, after the start of chemotherapy. Our key results... ...for people receiving HEC We found 73 studies that reported on the experience of 25,275 participants and compared 14 treatment combinations of our interest. Benefits. Over five days, investigated treatments helped to prevent any vomiting in 60% to 81% of people on average. Those individuals also had no need for rescue medicines, which are used in case nausea and vomiting occur even though prophylactic treatment has been given. The results of our analysis suggest some differences in effectiveness of different treatments, but overall we had little confidence that those differences would be reflected in real‐world observations. Harms. We estimated that 1% to 4% of people experience serious side effects. The differences between treatments were small. ...for people receiving MEC We found 38 studies that reported on the experience of 12,038 participants and compared 15 treatment combinations of our interest. Benefits. Over five days, investigated treatments helped prevent any vomiting in 43% to 72% of people on average. Those individuals also had no need for rescue medicines. The results of our analysis suggest some differences in the effectiveness of different treatments, but overall, we had little confidence that those differences would be reflected in real‐world observations. Harms. Few studies reported serious side effects. The ones that did suggest that on average 15% to 18% of people experience such events. Differences between treatments were small. However, we think that future research is needed to rule out potential differences between treatments. Our confidence in the findings We assessed how confident we were that there are differences between compared treatments. We had low or very low confidence that one treatment is better or worse than another in preventing CINV. Our confidence in differences between statistical results was mainly limited because measures of variation were wide apart and included both potential advantages and disadvantages, although measures of precision showed no or little effect. We also identified limitations in some of the included studies, which further limited our confidence in the effects. This was mainly the case when study personnel and participants knew which treatments were given and therefore may not adhere to the planned intervention, or may perceive or report effects differently. Our conclusions The results of our analysis suggest that there is no superior drug combination for prevention of CINV for people receiving HEC or MEC. However, results suggest that the choice of drugs targeting the serotonin receptor may impact effectiveness, irrespective of whether given with or without a drug targeting the neurokinin receptor. However, when interpreting these results, it is important for the reader to understand that these kinds of multiple‐comparison analyses are no substitute for head‐to‐head comparisons, and that the results do not necessarily rule out differences that could be clinically relevant for some individuals. How up‐to‐date is this evidence? Evidence is up‐to‐date to 2 February 2021.</t>
  </si>
  <si>
    <t>Secondary prevention of variceal bleeding in adults with previous oesophageal variceal bleeding due to decompensated liver cirrhosis: a network meta‐analysis</t>
  </si>
  <si>
    <t>- Background Approximately 40% to 95% of people with cirrhosis have oesophageal varices. About 15% to 20% of oesophageal varices bleed in about one to three years of diagnosis. Several different treatments are available, which include endoscopic sclerotherapy, variceal band ligation, beta‐blockers, transjugular intrahepatic portosystemic shunt (TIPS), and surgical portocaval shunts, among others. However, there is uncertainty surrounding their individual and relative benefits and harms. Objectives To compare the benefits and harms of different initial treatments for secondary prevention of variceal bleeding in adults with previous oesophageal variceal bleeding due to decompensated liver cirrhosis through a network meta‐analysis and to generate rankings of the different treatments for secondary prevention according to their safety and efficacy. Search methods We searched CENTRAL, MEDLINE, Embase, Science Citation Index Expanded, World Health Organization International Clinical Trials Registry Platform, and trials registers until December 2019 to identify randomised clinical trials in people with cirrhosis and a previous history of bleeding from oesophageal varices. Selection criteria We included only randomised clinical trials (irrespective of language, blinding, or status) in adults with cirrhosis and previous history of bleeding from oesophageal varices. We excluded randomised clinical trials in which participants had no previous history of bleeding from oesophageal varices, previous history of bleeding only from gastric varices, those who failed previous treatment (refractory bleeding), those who had acute bleeding at the time of treatment, and those who had previously undergone liver transplantation. Data collection and analysis We performed a network meta‐analysis with OpenBUGS using Bayesian methods and calculated the differences in treatments using hazard ratios (HR), odds ratios (OR) and rate ratios with 95% credible intervals (CrI) based on an available‐case analysis, according to National Institute of Health and Care Excellence Decision Support Unit guidance. Main results We included a total of 48 randomised clinical trials (3526 participants) in the review. Forty‐six trials (3442 participants) were included in one or more comparisons. The trials that provided the information included people with cirrhosis due to varied aetiologies. The follow‐up ranged from two months to 61 months. All the trials were at high risk of bias. A total of 12 interventions were compared in these trials (sclerotherapy, beta‐blockers, variceal band ligation, beta‐blockers plus sclerotherapy, no active intervention, TIPS (transjugular intrahepatic portosystemic shunt), beta‐blockers plus nitrates, portocaval shunt, sclerotherapy plus variceal band ligation, beta‐blockers plus nitrates plus variceal band ligation, beta‐blockers plus variceal band ligation, sclerotherapy plus nitrates). Overall, 22.5% of the trial participants who received the reference treatment (chosen because this was the commonest treatment compared in the trials) of sclerotherapy died during the follow‐up period ranging from two months to 61 months. There was considerable uncertainty in the effects of interventions on mortality. Accordingly, none of the interventions showed superiority over another. None of the trials reported health‐related quality of life. Based on low‐certainty evidence, variceal band ligation may result in fewer serious adverse events (number of people) than sclerotherapy (OR 0.19; 95% CrI 0.06 to 0.54; 1 trial; 100 participants). Based on low or very low‐certainty evidence, the adverse events (number of participants) and adverse events (number of events) may be different across many comparisons; however, these differences are due to very small trials at high risk of bias showing large differences in some comparisons leading to many differences despite absence of direct evidence. Based on low‐certainty evidence, TIPS may result in large decrease in symptomatic rebleed than variceal band ligation (HR 0.12; 95% CrI 0.03 to 0.41; 1 trial; 58 participants). Based on moderate‐certainty evidence, any variceal rebleed was probably lower in sclerotherapy than in no active intervention (HR 0.62; 95% CrI 0.35 to 0.99, direct comparison HR 0.66; 95% CrI 0.11 to 3.13; 3 trials; 296 participants), beta‐blockers plus sclerotherapy than sclerotherapy alone (HR 0.60; 95% CrI 0.37 to 0.95; direct comparison HR 0.50; 95% CrI 0.07 to 2.96; 4 trials; 231 participants); TIPS than sclerotherapy (HR 0.18; 95% CrI 0.08 to 0.38; direct comparison HR 0.22; 95% CrI 0.01 to 7.51; 2 trials; 109 participants), and in portocaval shunt than sclerotherapy (HR 0.21; 95% CrI 0.05 to 0.77; no direct comparison) groups. Based on low‐certainty evidence, beta‐blockers alone and TIPS might result in more, other compensation, events than sclerotherapy (rate ratio 2.37; 95% CrI 1.35 to 4.67; 1 trial; 65 participants and rate ratio 2.30; 95% CrI 1.20 to 4.65; 2 trials; 109 participants; low‐certainty evidence). The evidence indicates considerable uncertainty about the effect of the interventions including those related to beta‐blockers plus variceal band ligation in the remaining comparisons. Authors' conclusions The evidence indicates considerable uncertainty about the effect of the interventions on mortality. Variceal band ligation might result in fewer serious adverse events than sclerotherapy. TIPS might result in a large decrease in symptomatic rebleed than variceal band ligation. Sclerotherapy probably results in fewer 'any' variceal rebleeding than no active intervention. Beta‐blockers plus sclerotherapy and TIPS probably result in fewer 'any' variceal rebleeding than sclerotherapy. Beta‐blockers alone and TIPS might result in more other compensation events than sclerotherapy. The evidence indicates considerable uncertainty about the effect of the interventions in the remaining comparisons. Accordingly, high‐quality randomised comparative clinical trials are needed. Plain language summary Prevention of rebleeding from enlarged veins in the food pipe (oesophagus) resulting from advanced liver disease What is the aim of this Cochrane Review?  To find out the best available preventive treatment for repeated bleeding from oesophageal varices (enlarged veins in the food pipe) in people with advanced liver disease (liver cirrhosis, or late‐stage scarring of the liver with complications). People with cirrhosis who had previously bled from oesophageal varices are at significant risk of death from another episode of bleeding. Therefore, it is important to provide preventive treatment to prevent rebleeding in such people, but the benefits and harms of different treatments available are currently unclear. The authors of this review collected and analysed all relevant randomised clinical trials with the aim of finding out the best treatment. They found 48 randomised clinical trials (studies where participants are randomly assigned to one of two treatment groups). During analysis of data, authors used standard Cochrane methods, which allow comparison of only two treatments at a time. Authors also used advanced techniques that allow comparison of multiple treatments at the same time (usually referred as 'network (or indirect) meta‐analysis'). Date of literature search  December 2019 Key messages  None of the studies were conducted without flaws, and because of this, there is moderate to very high uncertainty in the findings of this review. Approximately one in five trial participants with cirrhosis who received preventive treatment after control of initial bleeding from oesophageal varices died within five years of treatment with sclerotherapy. What was studied in the review?  This review looked at adults of any sex, age, and ethnic origin, with advanced liver disease due to various causes and previous bleeding from oesophageal varices. Participants were given different treatments for preventing further bleeding oesophageal varices. The authors excluded studies in people who had bleeding from the stomach, who had no previous bleeding f om the oesophageal varices, those who failed to respond to another treatment before study entry, and those who had liver transplantation previously. The average age of participants, when reported, ranged from 40 to 63 years. The treatments used in the trials included endoscopic sclerotherapy (injecting into the enlarged veins by looking through a tube inserted through the mouth), variceal band ligation (inserting bands around the dilated veins by seeing through a tube inserted through the mouth), beta‐blockers (drugs that slow the heart and decrease the force of heart pumping resulting in decrease pressure in the blood vessels), and TIPS (transjugular intrahepatic portosystemic shunt; an artificial channel that connects the different blood vessels that carry oxygen‐depleted blood (venous system)) within the liver to reduce the pressure built‐up in the portal venous system, one of the two venous systems draining the liver), portocaval shunt (performing surgery to create the artificial channel described for TIPS) among others. The review authors wanted to gather and analyse data on death, quality of life, serious and non‐serious adverse events, recurrence of bleeding, and development of other complications of advanced liver disease.   What were the main results of the review?  The 48 studies included a small number of participants (3526 participants). Study data were sparse. Forty‐six studies with 3442 participants provided data for analyses. The follow‐up of the trial participants ranged from two months to five years. The funding source for the research was unclear in 36 studies; commercial organisations funded five studies. There were no concerns regarding the source of funding for the remaining nine studies. The review shows the following. ‐ The evidence indicates considerable uncertainty about the effect of the interventions on the risk of death ‐ Variceal band ligation might result in fewer serious adverse events than sclerotherapy ‐ The evidence indicates considerable uncertainty about the effect of the interventions on serious and non‐serious adverse events ‐ Sclerotherapy probably results in decrease in further bleeding than no treatment ‐ Beta‐blockers plus sclerotherapy and TIPS probably result in a decrease in further bleeding than sclerotherapy alone ‐ Portocaval shunt may result in a decrease in further bleeding than sclerotherapy ‐ The evidence indicates considerable uncertainty about the effect of the interventions in the remaining comparisons ‐ None of the trials reported health‐related quality of life ‐ Future well‐designed trials are needed to find out the best treatment for people with cirrhosis and previous bleeding from oesophageal varices.</t>
  </si>
  <si>
    <t>J2859</t>
  </si>
  <si>
    <t>Quantifying Missed Opportunities for Recruitment to Home Dialysis Therapies</t>
  </si>
  <si>
    <t>Background: Despite the recognized benefits of home therapies for patients and the health care system, most individuals with kidney failure in Canada continue to be initiated on in-center hemodialysis. To optimize recruitment to home therapies, there is a need for programs to better understand the extent to which potential candidates are not successfully initiated on these therapies. Objective(s): We aimed to quantify missed opportunities to recruit patients to home therapies and explore where in the modality selection process this occurs. Design(s): Retrospective observational study. Setting(s): British Columbia, Canada. Patient(s): All patients aged &gt;18 years who started chronic dialysis in British Columbia between January 01, 2015, and December 31, 2017. The sample was further restricted to include patients who received at least 3 months of predialysis care. All patients were followed for a minimum of 12 months from the start of dialysis to capture any transition to home therapies. Method(s): Cases were defined as a missed opportunity" if a patient had chosen a home therapy, or remained undecided about their preferred modality, and ultimately received in-center hemodialysis as their destination therapy. These cases were assessed for: (1) documentation of a contraindication to home therapies; and (2) the type of dialysis education received. Differences in characteristics among patients classified as an appropriate outcome or a missed opportunity were examined using Wilcoxon rank-sum test or chi&lt;sup&gt;2&lt;/sup&gt; test, as appropriate. Result(s): Of the 1845 patients who started chronic dialysis during the study period, 635 (34%) were initiated on a home therapy. A total of 320 (17.3%) missed opportunities were identified, with 165 (8.9%) having initially chosen a home therapy and 155 (8.4%) being undecided about their preferred modality. Compared with patients who chose and initiated or transitioned to a home therapy, those identified as a missed opportunity tended to be older with a higher prevalence of cardiovascular disease. A contraindication to both peritoneal dialysis and home hemodialysis was documented in 8 "missed opportunity" patients. General modality orientation was provided to most (71%) patients who had initially chosen a home therapy but who ultimately received in-center hemodialysis. These patients received less home therapy-specific education compared with patients who chose and subsequently started a home therapy (20% vs 35%, P &lt;.001). Limitation(s): Contraindications to home therapies were potentially under-ascertained, and the nature of contraindications was not systematically captured. Conclusion(s): Even within a mature home therapy program, we discovered a substantial number of missed opportunities to recruit patients to home therapies. Better characterization of modality contraindications and enhanced education that is specific to home therapies may be of benefit. Mapping the recruitment pathway in this way can define the magnitude of missed opportunities and identify areas that could be optimized. This is to be encouraged, as even small incremental improvements in the uptake of home therapies could lead to better patient outcomes and contribute to significant cost savings for the health care system. Trial Registration: Not applicable as this was a qualitative study. Copyright © The Author(s) 2021."</t>
  </si>
  <si>
    <t>J2860</t>
  </si>
  <si>
    <t>Perceptions of Multidisciplinary Renal Team Members toward Home Dialysis Therapies</t>
  </si>
  <si>
    <t>Background: Patients with ESKD are encouraged to pursue home dialysis therapy with the aims of improving quality of life, increasing patient autonomy, and reducing cost to health care systems. In a multidisciplinary team setting, patients interact with nephrologists, nurses, and allied health staff, all of whom may influence a patient's modality choice. Our objective was to evaluate the perceptions of all renal team members toward home dialysis therapies. Method(s): We performed a cross-sectional survey of multidisciplinary renal team members across five renal programs in British Columbia, Canada. The survey contained questions regarding primary work area, modality preference, patient and system factors that may influence modality candidacy, perceived knowledge of home therapies, and need for further education. Result(s): A total of 334 respondents (22 nephrologists, 172 hemodialysis nurses, 49 home nurses, 20 predialysis nurses, and 71 allied health staff) were included (48% response rate). All respondents felt that home dialysis was beneficial for patients who work or study, improved patients' quality of life, and provided cost savings to the system. Compared with in-center hemodialysis nurses, home therapies nurses were between five and nine times more likely to favor a home therapy for patients of older age, lower socioeconomic status, lower educational level, higher burden of comorbidities, and those lacking social supports. Nephrologists and patients were felt to have the most influence on modality choice, whereas dialysis nurses were seen as having the least effect on modality choice. Most respondents felt the need for further education in home therapies. Conclusion(s): The majority of multidisciplinary team members, including allied health staff, acknowledged the benefits of home therapies. There were significant discrepancies among team members regarding patient-/system-level factors that may affect the candidacy of home therapies. Structured, focused, and repeated education sessions for all renal team members may help to address misperceptions around factors that influence modality candidacy. Copyright © 2021 by the American Society of Nephrology.</t>
  </si>
  <si>
    <t>- Background People with chronic obstructive pulmonary disease (COPD) show considerable variation in symptoms, limitations, and well‐being; this often complicates medical care. A multi‐disciplinary and multi‐component programme that addresses different elements of care could improve quality of life (QoL) and exercise tolerance, while reducing the number of exacerbations. Objectives To compare the effectiveness of integrated disease management (IDM) programmes versus usual care for people with chronic obstructive pulmonary disease (COPD) in terms of health‐related quality of life (QoL), exercise tolerance, and exacerbation‐related outcomes. Search methods We searched the Cochrane Airways Group Register of Trials, CENTRAL, MEDLINE, Embase, and CINAHL for potentially eligible studies. Searches were current as of September 2020. Selection criteria Randomised controlled trials (RCTs) that compared IDM programmes for COPD versus usual care were included. Interventions consisted of multi‐disciplinary (two or more healthcare providers) and multi‐treatment (two or more components) IDM programmes of at least three months' duration. Data collection and analysis Two review authors independently assessed trial quality and extracted data. If required, we contacted study authors to request additional data. We performed meta‐analyses using random‐effects modelling. We carried out sensitivity analyses for the quality of included studies and performed subgroup analyses based on setting, study design, dominant intervention components, and region. Main results Along with 26 studies included in the 2013 Cochrane Review, we added 26 studies for this update, resulting in 52 studies involving 21,086 participants for inclusion in the meta‐analysis. Follow‐up periods ranged between 3 and 48 months and were classified as short‐term (up to 6 months), medium‐term (6 to 15 months), and long‐term (longer than 15 months) follow‐up. Studies were conducted in 19 different countries. The mean age of included participants was 67 years, and 66% were male. Participants were treated in all types of healthcare settings, including primary (n =15), secondary (n = 22), and tertiary care (n = 5), and combined primary and secondary care (n = 10). Overall, the level of certainty of evidence was moderate to high. We found that IDM probably improves health‐related QoL as measured by St. George's Respiratory Questionnaire (SGRQ) total score at medium‐term follow‐up (mean difference (MD) ‐3.89, 95% confidence interval (CI) ‐6.16 to ‐1.63; 18 RCTs, 4321 participants; moderate‐certainty evidence). A comparable effect was observed at short‐term follow‐up (MD ‐3.78, 95% CI ‐6.29 to ‐1.28; 16 RCTs, 1788 participants). However, the common effect did not exceed the minimum clinically important difference (MCID) of 4 points. There was no significant difference between IDM and control for long‐term follow‐up and for generic QoL. IDM probably also leads to a large improvement in maximum and functional exercise capacity, as measured by six‐minute walking distance (6MWD), at medium‐term follow‐up (MD 44.69, 95% CI 24.01 to 65.37; 13 studies, 2071 participants; moderate‐certainty evidence). The effect exceeded the MCID of 35 metres and was even greater at short‐term (MD 52.26, 95% CI 32.39 to 72.74; 17 RCTs, 1390 participants) and long‐term (MD 48.83, 95% CI 16.37 to 80.49; 6 RCTs, 7288 participants) follow‐up. The number of participants with respiratory‐related admissions was reduced from 324 per 1000 participants in the control group to 235 per 1000 participants in the IDM group (odds ratio (OR) 0.64, 95% CI 0.50 to 0.81; 15 RCTs, median follow‐up 12 months, 4207 participants; high‐certainty evidence). Likewise, IDM probably results in a reduction in emergency department (ED) visits (OR 0.69, 95%CI 0.50 to 0.93; 9 RCTs, median follow‐up 12 months, 8791 participants; moderate‐certainty evidence), a slight reduction in all‐cause hospital admissions (OR 0.75, 95%CI 0.57 to 0.98; 10 RCT , median follow‐up 12 months, 9030 participants; moderate‐certainty evidence), and fewer hospital days per person admitted (MD ‐2.27, 95% CI ‐3.98 to ‐0.56; 14 RCTs, median follow‐up 12 months, 3563 participants; moderate‐certainty evidence). Statistically significant improvement was noted on the Medical Research Council (MRC) Dyspnoea Scale at short‐ and medium‐term follow‐up but not at long‐term follow‐up. No differences between groups were reported for mortality, courses of antibiotics/prednisolone, dyspnoea, and depression and anxiety scores. Subgroup analysis of dominant intervention components and regions of study suggested context‐ and intervention‐specific effects. However, some subgroup analyses were marked by considerable heterogeneity or included few studies. These results should therefore be interpreted with caution. Authors' conclusions This review shows that IDM probably results in improvement in disease‐specific QoL, exercise capacity, hospital admissions, and hospital days per person. Future research should evaluate which combination of IDM components and which intervention duration are most effective for IDM programmes, and should consider contextual determinants of implementation and treatment effect, including process‐related outcomes, long‐term follow‐up, and cost‐effectiveness analyses. Plain language summary Integrated disease management for people with chronic obstructive pulmonary disease What are the effects of integrated disease management (IDM) programmes on quality of life, ability to exercise, and number of lung attacks compared to usual care in people with chronic obstructive pulmonary disease (COPD)? Background Chronic obstructive pulmonary disease (COPD) is a chronic lung disease and is a major cause of ill health worldwide. People with COPD feel the impact of the disease in their daily life through symptoms such as breathlessness and coughing and acute worsening of symptoms in lung attacks. Different healthcare providers, such as doctors, nurses, and physiotherapists, typically provide different types of care to people with COPD (e.g. prescribe medication, guide self‐management, provide education, present exercise training). Previously, people with COPD could visit one or more different healthcare providers, and these providers would work independently. The goal of an integrated disease management (IDM) programme is to include different components of care by which different healthcare providers are co‐operating and collaborating to provide more efficient care of better quality. Study characteristics We evaluated 52 studies involving 21,086 people with COPD. These studies were conducted in 19 countries spread all over the world. The average age of participants was 67 years, and 66% of participants were men. Some studies took place in general practices, some in hospitals, and some in both settings. Key results We found that people who participate in an IDM programme probably have better quality of life and their ability to exercise is probably improved compared to those receiving usual care. It is likely that people in an IDM programme have fewer hospital admissions for lung attacks and make fewer visits to an emergency department. When hospitalised, the total number of days people have to spend in hospital is reduced by two days. IDM programmes probably do not help to reduce the number of patients who die. The variety of available programmes makes it difficult to say if one IDM programme is the best. Future studies should look at the most important components and the ideal length of the programme. Certainty of the evidence Overall, the certainty of our evidence was moderate to high but sometimes with large differences between studies. This plain language summary is up‐to‐date as of February 2021.</t>
  </si>
  <si>
    <t>J2862</t>
  </si>
  <si>
    <t>Period of purple crying program for the prevention of abusive head trauma/shaken baby syndrome</t>
  </si>
  <si>
    <t>To review instances of abusive head trauma in Ireland and the United Kingdom To discuss the benefits of the Period of Purple Crying program To begin the pathways to implement the Period of Purple Crying program in Ireland. Research published since the beginning of the COVID-19 pandemic has shown a marked increase in the instances of abusive head trauma in the United Kingdom. While there are many contributing factors to abusive head trauma, in these cases one of the main precipitants was the enforced isolation during the pandemic. An educational program is needed now more than ever to highlight the drastic consequences of abusive head trauma in infants and educate parents on what level of crying is to be expected from infants. Areas that have implemented the Period of Purple Crying program have seen a reduction in the numbers of abusive head traumas. Other benefits of the program included an increased awareness among parents of what to do when a baby is crying. Cost-of-illness analysis also shows that the implementation of a program can have massive cost-saving benefits. Ireland does not currently have a preventative program for shaken baby syndrome. The National Healthy Childhood Programme includes child health screen and developmental surveillance and would be an ideal means by which to introduce the Period of Purple Crying program. This service provides for parent contact with healthcare professionals at least twenty-five times beginning in pregnancy and ending at the child's third birthday. More research is also needed regarding exact numbers of abusive head trauma in Ireland.</t>
  </si>
  <si>
    <t>J2864</t>
  </si>
  <si>
    <t>Home-based Extended Rehabilitation for Older people (HERO): study protocol for an individually randomised controlled multi-centre trial to determine the clinical and cost-effectiveness of a home-based exercise intervention for older people with frailty as extended rehabilitation following acute illness or injury, including embedded process evaluation</t>
  </si>
  <si>
    <t>Background: The majority of older people (&gt; 65 years) in hospital have frailty and are at increased risk of readmission or death following discharge home. In the UK, following acute hospitalisation, around one third of older people with frailty are referred on for rehabilitation, termed 'intermediate care' services. Although this rehabilitation can reduce early readmission to hospital (&lt; 30 days), recipients often do not feel ready to leave the service on discharge, suggesting possible incomplete recovery. Limited evidence suggests extended rehabilitation is of benefit in several conditions and there is preliminary evidence that progressive physical exercise can improve mobility and function for older people with frailty, and slow progression to disability. Our aim is to evaluate the effectiveness of the Home-based Older People's Exercise (HOPE) programme as extended rehabilitation for older people with frailty discharged home from hospital or intermediate care services after acute illness or injury. Method(s): A multi-centre individually randomised controlled trial, to evaluate the clinical and cost-effectiveness of the HOPE programme. This individualised, graded and progressive 24-week exercise programme is delivered by NHS physiotherapy teams to people aged 65 and older with frailty, identified using the Clinical Frailty Scale, following discharge from acute hospitalisation and linked intermediate care rehabilitation pathways. The primary outcome is physical health-related quality of life, measured using the physical component summary score of the modified Short Form 36- item health questionnaire (SF36) at 12 months. Secondary outcomes include self-reported physical and mental health, functional independence, death, hospitalisations, care home admissions. Plans include health economic analyses and an embedded process evaluation. Discussion(s): This trial seeks to determine if extended rehabilitation, via the HOPE programme, can improve physical health-related quality of life for older people with frailty following acute hospitalisation. Results will improve awareness of the rehabilitation needs of older people with frailty, and provide evidence on the clinical and cost-effectiveness of the targeted exercise intervention. There is potential for considerable benefit for health and social care services through widespread implementation of trial findings if clinical and cost-effectiveness is demonstrated. Trial registration: ISRCTN 13927531. Registered on April 19, 2017. Copyright © 2021, The Author(s).</t>
  </si>
  <si>
    <t>Intermittent catheter techniques, strategies and designs for managing long‐term bladder conditions</t>
  </si>
  <si>
    <t>- Background Intermittent catheterisation (IC) is a commonly recommended procedure for people with incomplete bladder emptying. Frequent complications are urinary tract infection (UTI), urethral trauma and discomfort during catheter use. Despite the many designs of intermittent catheter, including different lengths, materials and coatings, it is unclear which catheter techniques, strategies or designs affect the incidence of UTI and other complications, measures of satisfaction/quality of life and cost‐effectiveness. This is an update of a Cochrane Review first published in 2007. Objectives To assess the clinical and cost‐effectiveness of different catheterisation techniques, strategies and catheter designs, and their impact, on UTI and other complications, and measures of satisfaction/quality of life among adults and children whose long‐term bladder condition is managed by intermittent catheterisation. Search methods We searched the Cochrane Incontinence Specialised Register, which contains trials identified from the Cochrane Central Register of Controlled Trials (CENTRAL), MEDLINE, MEDLINE In‐Process, MEDLINE Epub Ahead of Print, CINAHL, ClinicalTrials.gov, WHO ICTRP and handsearching of journals and conference proceedings (searched 12 April 2021), the reference lists of relevant articles and conference proceedings, and we attempted to contact other investigators for unpublished data or for clarification. Selection criteria Randomised controlled trials (RCTs) or randomised cross‐over trials comparing at least two different catheterisation techniques, strategies or catheter designs. Data collection and analysis As per standard Cochrane methodological procedures, two review authors independently extracted data, assessed risk of bias and assessed the certainty of evidence using GRADE. Outcomes included the number of people with symptomatic urinary tract infections, complications such as urethral trauma/bleeding, comfort and ease of use of catheters, participant satisfaction and preference, quality of life measures and economic outcomes. Main results We included 23 trials (1339 randomised participants), including twelve RCTs and eleven cross‐over trials. Most were small (fewer than 60 participants completed), although three trials had more than 100 participants. Length of follow‐up ranged from one month to 12 months and there was considerable variation in definitions of UTI. Most of the data from cross‐over trials were not presented in a useable form for this review. Risk of bias was unclear in many domains due to insufficient information in the trial reports and several trials were judged to have a high risk of performance bias due to lack of blinding and a high risk of attrition bias. The certainty of evidence was downgraded for risk of bias, and imprecision due to low numbers of participants. Aseptic versus clean technique We are uncertain if there is any difference between aseptic and clean techniques in the risk of symptomatic UTI because the evidence is low‐certainty and the 95% confidence interval (CI) is consistent with possible benefit and possible harm (RR 1.20 95% CI 0.54 to 2.66; one study; 36 participants). We identified no data relating to the risk of adverse events comparing aseptic and clean techniques or participant satisfaction or preference. Single‐use (sterile) catheter versus multiple‐use (clean) We are uncertain if there is any difference between single‐use and multiple‐use catheters in terms of the risk of symptomatic UTI because the certainty of evidence is low and the 95% CI is consistent with possible benefit and possible harm (RR 0.98, 95% CI 0.55, 1.74; two studies; 97 participants). One study comparing single‐use catheters to multiple‐use catheters reported zero adverse events in either group; no other adverse event data were reported for this comparison. We identified no data for participant satisfaction or preference. Hydrophilic‐coated catheters versus uncoated catheters We are uncertain if there is any difference between hydrophilic and u coated catheters in terms of the number of people with symptomatic UTI because the certainty of evidence is low and the 95% CI is consistent with possible benefit and possible harm (RR 0.89, 95% CI 0.69 to 1.14; two studies; 98 participants). Uncoated catheters probably slightly reduce the risk of urethral trauma and bleeding compared to hydrophilic‐coated catheters (RR 1.37, 95% CI 1.01 to 1.87; moderate‐certainty evidence). The evidence is uncertain if hydrophilic‐coated catheters compared with uncoated catheters has any effect on participant satisfaction measured on a 0‐10 scale (MD 0.7 higher, 95% CI 0.19 to 1.21; very low‐certainty evidence; one study; 114 participants). Due to the paucity of data, we could not assess the certainty of evidence relating to participant preference (one cross‐over trial of 29 participants reported greater preference for a hydrophilic‐coated catheter (19/29) compared to an uncoated catheter (10/29)). Authors' conclusions Despite a total of 23 trials, the paucity of useable data and uncertainty of the evidence means that it remains unclear whether the incidence of UTI or other complications is affected by use of aseptic or clean technique, single (sterile) or multiple‐use (clean) catheters, coated or uncoated catheters or different catheter lengths. The current research evidence is uncertain and design and reporting issues are significant. More well‐designed trials are needed. Such trials should include analysis of cost‐effectiveness because there are likely to be substantial differences associated with the use of different catheterisation techniques and strategies, and catheter designs. Plain language summary Intermittent catheter techniques, strategies and catheter designs for managing long‐term bladder conditions Review question There are different catheterisation techniques, strategies and catheter designs which may affect symptomatic urinary tract infection (UTI; a bladder infection detected through urine testing where the person has symptoms of infection), other complications and user preference. In this review, we focussed on these outcomes in people who used aseptic or clean catheterisation techniques, single or multiple‐use catheters and different designs of catheter (e.g. coated or uncoated, standard or compact length) to determine if one approach or design is better than another. Background Intermittent catheterisation is a common strategy used by people who have bladder emptying problems. A hollow tube (catheter) is passed through the channel to the bladder (urethra) or through a surgically made channel to the skin surface. The catheter is emptied regularly, usually several times every day. Intermittent catheterisation can be done by a healthcare professional or by the person (or carer) themselves. There are various approaches to intermittent catheterisation which could impact on infection, other complications and user experience. There are four main types of intervention considered in this review which might make a difference to users or to costs. Techniques: Aseptic versus clean An ‘aseptic technique’ is used in healthcare settings, with specially packaged sterile equipment (gloves, lubricant and catheter) and a technique that avoids the catheter coming into contact with anything non‐sterile (including hands, equipment and surfaces) before it is inserted. People inserting their own catheters use a ‘clean’ technique, where the environment is kept as clean as possible and a sterile or clean (multiple‐use) catheter is used without the need for gloves. Strategies: Single‐use versus multiple‐use There are two types of catheter use: single‐use and multiple‐use. Re‐use of catheters means that the catheter is cleaned and re‐used a varying number of times (e.g. for up to 24 hours or for one week/month). Design: Uncoated versus hydrophilic‐coated Uncoated catheters are typically clear PVC and packed individually in sterile packaging. They may be supplied pre‐lubricated, or used with a separate lubricant or water to aid insertion Hydrophilic‐coated catheters have a slippery coating and either are supplied ready to use, or require the addition of water. Design: Shorter versus standard length Catheters come in varying sizes and lengths to suit men, women and children, and people's different needs. How up‐to‐date is this review? We searched for evidence that had been published up to 12 April 2021. Study characteristics We found 23 trials (involving a total of 1339 children and adults using intermittent catheterisation for bladder emptying) comparing different catheterisation techniques and catheter designs. Key results Aseptic versus clean techniques We are uncertain if there is any difference between aseptic and clean techniques in the risk of symptomatic UTI. We identified no data relating to the risk of adverse events. Single‐use (sterile) catheter versus multiple‐use (clean) We are uncertain if there is any difference between single‐use and multiple‐use catheters in the risk of symptomatic UTI because the certainty of evidence is low. One study comparing these interventions reported zero adverse events in either group and no other adverse event data were reported. Hydrophilic‐coated catheters versus uncoated catheters We are uncertain if there is any difference between hydrophilic and uncoated catheters in the number of people with symptomatic UTI. Uncoated catheters probably slightly reduce the risk of urethral trauma and bleeding compared to hydrophilic‐coated catheters. We are uncertain if there is any difference in patient satisfaction or preference. One catheter length versus another catheter length We are uncertain if there is any difference between one catheter length versus another catheter length for all included outcomes. We identified no useable evidence relating to cost‐effectiveness for any of the comparisons. Certainty of the evidence The current research evidence is uncertain and design and reporting issues are significant. There are many factors that could limit the generalisability of findings, for example, the study setting (e.g. hospital or home), sex of participants, variability in adherence to user instructions and whether catheterisation is undertaken by the user or another person. More well‐designed trials are needed. Such trials should include analysis of cost‐effectiveness because there are likely to be substantial differences associated with the use of different catheter designs, catheterisation techniques and strategies.</t>
  </si>
  <si>
    <t>J2866</t>
  </si>
  <si>
    <t>Use of capillary blood ketone meters to improve ambulance service care of hyperglycaemic patients: Protocol for a stepped-wedge, controlled feasibility study (KARMA2)</t>
  </si>
  <si>
    <t>Background Diabetic ketoacidosis (DKA) is a potentially lifethreatening condition associated with diabetes (Type 1 and Type 2), certain medications (i.e. SGLT2 inhibitors), and other health conditions. Hospital-based guidelines advocate immediate start of intravenous fluid therapy upon DKA diagnosis, which does not reliably happen in the pre-hospital setting. Ambulance clinicians do not routinely have access to ketone meters to determine presence of ketones; they rely on nonspecific clinical signs and symptoms for care strategies. The aims of this feasibility study are to determine whether ambulance clinicians can reliably and safely identify patients with DKA using capillary blood ketone meters, commence fluid therapy, and gather necessary study data. Methods During an 8-month period (4-month control: 4- month intervention), 120 ambulance clinicians from one UK ambulance service will receive training to determine presence of ketones using capillary blood testing from 800 consenting patients with hyperglycaemia and unwell patients with diabetes. Subsequent patient care will depend on the ketone value obtained: high-risk DKA patients will receive fluid therapy. Twenty ambulance and hospital clinicians will be invited to an interview to share their views of DKA care and the impact of capillary blood ketone meters. Results Information collated will include completion of study training, patient recruitment, intervention adherence, service call activity, and ambulance and hospital patient clinical data. Prevalence and severity of hyperglycaemia, incidence of DKA and ability of paramedics to commence fluid therapy for DKA will be explored. Quantitative findings will be analysed using descriptive statistics, whilst the qualitative study interviews will be thematically analysed. Conclusions Study findings will be used to inform the need and feasibility to proceed to a full stepped-wedge, controlled trial. If warranted, we will develop a research funding proposal evaluating the clinical and cost-effectiveness of ambulance ketone meters and further explore meter provision for improved ambulance patient care.</t>
  </si>
  <si>
    <t>J2867</t>
  </si>
  <si>
    <t>Environmental enrichment for stroke and other non‐progressive brain injury</t>
  </si>
  <si>
    <t>- Background Rehabilitation is effective for recovery after stroke and other non‐progressive brain injuries but it is unclear if the rehabilitation environment itself, outside of limited therapy hours, is maximally conducive to recovery. Environmental enrichment is a relatively new concept within rehabilitation for humans. In this review, this is defined as an intervention designed to facilitate physical (motor and sensory), cognitive and social activity by the provision of equipment and organisation of a structured, stimulating environment. The environment should be designed to encourage (but not force) activities without additional specialised rehabilitation input. Objectives To assess the effects of environmental enrichment on well‐being, functional recovery, activity levels and quality of life in people who have stroke or non‐progressive brain injury. Search methods We conducted the search on 26 October 2020. We searched the Cochrane Central Register of Controlled Trials (CENTRAL) in the Cochrane Library; MEDLINE (from 1950); Embase (from 1980); the Cumulative Index to Nursing and Allied Health Literature (CINAHL; from 1982); the Allied and Complementary Medicine Database (AMED; from 1985); PsycINFO (from 1806); the Physiotherapy Evidence Database (PEDro; from 1999); and 10 additional bibliographic databases and ongoing trial registers. Selection criteria We planned to include randomised controlled trials (RCTs) that compared environmental enrichment with standard services. Data collection and analysis Two review authors independently assessed eligible studies, extracted data, and assessed study quality. Any disagreements were resolved through discussion with a third review author. We determined the risk of bias for the included study and performed a 'best evidence' synthesis using the GRADE approach. Main results We identified one RCT, involving 53 participants with stroke, comparing environmental enrichment (which included physical, cognitive and social activities such as reading material, board and card games, gaming technology, music, artwork, and computer with Internet) with standard services in an inpatient rehabilitation setting. We excluded five studies, found two studies awaiting classification and one ongoing study which described environmental enrichment in their interventions. Of the excluded studies, three were non‐RCTs and two described co‐interventions with a significant component of rehabilitation. Based on the single small included RCT at high risk of bias, data are insufficient to provide any reliable indication of benefit or risk to guide clinical practice in terms of the provision of environmental enrichment. Authors' conclusions The gap in current research should not, however, be interpreted as proof that environmental enrichment is ineffective. Further research is needed with robust study designs, such as cluster RCTs, and consistent outcome measurement evaluating the effectiveness of environmental enrichment in different settings (inpatient versus outpatient), the relative effectiveness of various components of environmental enrichment, cost‐effectiveness, and safety of the intervention in people following stroke or other non‐progressive brain injuries. It should be noted, however, that it is challenging to randomise or double‐blind trials of environmental enrichment given the nature of the intervention. Plain language summary Treatment using environmental enrichment for supporting rehabilitation following stroke and other brain injuries which do not get worse over time (non‐progressive brain injury) Background Rehabilitation helps with recovery after stroke and other non‐progressive brain injuries through therapy. However, outside of therapy hours, people may have very little to keep them stimulated. Environmental enrichment is a relatively new concept in rehabilitation where the environment itself is designed to be engaging and to include physical, thinking, and social activities like exercises and games. For example, a nursery for babies may be interesting and stimulating but a hospital environment for adults is generally not. The design of the environment alone should encourage (but not force) activities without additional specialised rehabilitation. Review question  We wanted to find out whether treatment with environmental enrichment is better or worse than alternatives. Search date  The evidence is current to 26 October 2020. Study characteristics  Population: we planned to include studies in which participants were adults who had had a stroke or a non‐progressive brain injury (such as traumatic brain injury but not dementia, Alzheimer's diease, or multiple sclerosis). Intervention: environmental enrichment interventions will usually include multiple activities, such as computers plus gaming technology plus music and reading. Comparison: we planned to compare environmental interventions with usual care (regular physiotherapy, speech therapy, occupational therapy) or alternative treatment. Outcomes: we divided outcomes into primary and secondary outcomes. Primary outcomes focused on psychological well‐being (anxiety, depression, stress) and coping. Secondary outcomes focused on quality of life, physical function, communication and cognitive function, and activity levels. We also planned to report adverse events. Key results  We found one trial that compared environmental intervention alone with usual care or alternative treatment. The trial included 53 participants who had had a stroke and was based in a hospital rehabilitation ward. The trial compared environmental enrichment (which included physical, cognitive and social activities such as reading material, board and card games, gaming technology, music, artwork, and computer with Internet) with standard services. The main outcomes related to psychological well‐being and coping. We were uncertain of the results because the trial was very small and highly prone to bias. Conclusion  The gap in current research does not mean that environmental enrichment is ineffective. Further research is needed with strong study designs and consistent outcome measurement evaluating the effectiveness of environmental enrichment in different settings (in hospital versus out of hospital), which components of environmental enrichment are effective, whether environmental enrichment is cost‐effective, and if it is safe for people following stroke or other non‐progressive brain injuries.</t>
  </si>
  <si>
    <t>J2868</t>
  </si>
  <si>
    <t>Strategies for screening for familial hypercholesterolaemia in primary care and other community settings</t>
  </si>
  <si>
    <t>- Background Familial hypercholesterolaemia is a common inherited condition that is associated with premature cardiovascular disease. The increased cardiovascular morbidity and mortality, resulting from high levels of cholesterol since birth, can be prevented by starting lipid‐lowering therapy. However, the majority of patients in the UK and worldwide remain undiagnosed. Established diagnostic criteria in current clinical practice are the Simon‐Broome and Dutch Lipid Clinical network criteria and patients are classified as having probable, possible or definite familial hypercholesterolaemia. Objectives To assess the effectiveness of healthcare interventions strategies to systematically improve identification of familial hypercholesterolaemia in primary care and other community settings compared to usual care (incidental approaches to identify familial hypercholesterolaemia in primary care and other community settings). Search methods We searched the Cochrane Inborn Errors of Metabolism Trials Register. Date of last search: 13 September 2021. We also searched databases (Cochrane Central Register of Controlled Trials (CENTRAL), Ovid MEDLINE, PubMed, Embase, CINAHL, Web of Science, and SCOPUS) as well as handsearching relevant conference proceedings, reference lists of included articles, and the grey literature. Date of last searches: 05 March 2020. Selection criteria As per the Effective Practice and Organisation of Care (EPOC) Group guidelines, we planned to include randomised controlled trials (RCTs), cluster‐RCTs and non‐randomised studies of interventions (NRSI). Eligible NRSI were non‐randomised controlled trials, prospective cohort studies, controlled before‐and‐after studies, and interrupted‐time‐series studies. We planned to selected studies with healthcare interventions strategies that aimed to systematically identify people with possible or definite clinical familial hypercholesterolaemia, in primary care and other community settings. These strategies would be compared with usual care or no intervention. We considered participants of any age from the general population who access primary care and other community settings. Data collection and analysis Two authors planned to independently select studies according to the inclusion criteria, to extract data and assess for risk of bias and the certainty of the evidence (according to the GRADE criteria). We contacted corresponding study authors in order to obtain further information for all the studies considered in the review. Main results No eligible RCTs or NRSIs were identified for inclusion, however, we excluded 28 studies. Authors' conclusions Currently, there are no RCTs or controlled NRSI evidence to determine the most appropriate healthcare strategy to systematically identify possible or definite clinical familial hypercholesterolaemia in primary care or other community settings. Uncontrolled before‐and‐after studies were identified, but were not eligible for inclusion. Further studies assessing healthcare strategies of systematic identification of familial hypercholesterolaemia need to be conducted with diagnosis confirmed by genetic testing or validated through clinical phenotype (or both). Plain language summary Healthcare strategies for identifying possible or definite clinical familial hypercholesterolaemia in primary care and other community settings Background One of the most common inherited conditions is familial hypercholesterolaemia, people with this condition have raised cholesterol from birth. This condition can result in the arteries being narrowed by excess cholesterol sticking to their walls and can lead to heart disease at an early age. However, treatment with cholesterol‐lowering tablets markedly reduces this risk. As well as raised cholesterol in the blood, family history of heart disease and the presence of fatty lumps under the skin could indicate familial hypercholesterolaemia. It is important that community‐based health professionals, such as general practitioners and community pharmacists, can dentify those at risk of possible or probable familial hypercholesterolaemia and refer them to a specialist. Specialists can confirm a diagnosis of familial hypercholesterolaemia through examination and a genetic test. This review explores the impact of these healthcare strategies in primary care and other community settings to systematically identify people with possible and definite clinical familial hypercholesterolaemia. Search date 13 September 2021.   Study characteristics We did not find any studies that we could include in this review. Key results There were no studies eligible for inclusion in the review. Quality of evidence There were no studies included in the review. Conclusions Currently, there is a lack of evidence regarding the most appropriate healthcare strategy to identify possible or definite clinical familial hypercholesterolaemia in primary care and other community settings. Better‐designed studies, with diagnosis of definite familial hypercholesterolaemia confirmed by genetic tests, are needed to clearly answer this question.</t>
  </si>
  <si>
    <t>- Background In subfertile couples, couples who have tried to conceive for at least one year, intrauterine insemination (IUI) with ovarian hyperstimulation (OH) is one of the treatment modalities that can be offered. When IUI is performed a second IUI in the same cycle might add to the chances of conceiving. In a previous update of this review in 2010 it was shown that double IUI increases pregnancy rates when compared to single IUI. Since 2010, different clinical trials have been published with differing conclusions about whether double IUI increases pregnancy rates compared to single IUI. Objectives To determine the effectiveness and safety of double intrauterine insemination (IUI) compared to single IUI in stimulated cycles for subfertile couples. Search methods We searched the Cochrane Gynaecology and Fertility (CGF) Group trials register, CENTRAL, MEDLINE, Embase and CINAHL in July 2020 and LILACS, Google scholar and Epistemonikos in February 2021, together with reference checking and contact with study authors and experts in the field to identify additional studies. Selection criteria We included randomised controlled, parallel trials of double versus single IUIs in stimulated cycles in subfertile couples. Data collection and analysis Two authors independently assessed trial quality and extracted data. We contacted study authors for additional information. Main results We identified in nine studies involving subfertile women. The evidence was of low quality; the main limitations were unclear risk of bias, inconsistent results for some outcomes and imprecision, due to small trials with imprecise results. We are uncertain whether double IUI improves live birth rate compared to single IUI (odds ratio (OR) 1.15, 95% confidence interval (CI) 0.71 to 1.88; I 2 = 29%; studies = 3, participants = 468; low quality evidence). The evidence suggests that if the chance of live birth following single IUI is 16%, the chance of live birth following double IUI would be between 12% and 27%. Performing a sensitivity analysis restricted to only randomised controlled trials (RCTs) with low risk of selection bias showed similar results. We are uncertain whether double IUI reduces miscarriage rate compared to single IUI (OR 1.78, 95% CI 0.98 to 3.24; I 2 = 0%; studies = 6, participants = 2363; low quality evidence). The evidence suggests that chance of miscarriage following single IUI is 1.5% and the chance following double IUI would be between 1.5% and 5%. The reported clinical pregnancy rate per woman randomised may increase with double IUI group (OR 1.51, 95% CI 1.23 to 1.86; I 2 = 34%; studies = 9, participants = 2716; low quality evidence). This result should be interpreted with caution due to the low quality of the evidence and the moderate inconsistency. The evidence suggests that the chance of a pregnancy following single IUI is 14% and the chance following double IUI would be between 16% and 23%. We are uncertain whether double IUI affects multiple pregnancy rate compared to single IUI (OR 2.04, 95% CI 0.91 to 4.56; I 2 = 8%; studies = 5; participants = 2203; low quality evidence). The evidence suggests that chance of multiple pregnancy following single IUI is 0.7% and the chance following double IUI would be between 0.85% and 3.7%. We are uncertain whether double IUI has an effect on ectopic pregnancy rate compared to single IUI (OR 1.22, 95% CI 0.35 to 4.28; I 2 = 0%; studies = 4, participants = 1048; low quality evidence). The evidence suggests that the chance of an ectopic pregnancy following single IUI is 0.8% and the chance following double IUI would be between 0.3% and 3.2%. Authors' conclusions Our main analysis, of which the evidence is low quality, shows that we are uncertain if double IUI improves live birth and reduces miscarriage compared to single IUI. Our sensitivity analysis restricted to studies of low risk of selection bias for both outcomes is consistent with the main analysis. Clinical pregnancy rate may increase in the double IUI group, but this should be interpreted with caution due to he low quality evidence. We are uncertain whether double IUI has an effect on multiple pregnancy rate and ectopic pregnancy rate compared to single IUI. Plain language summary Double versus single intrauterine insemination for subfertile couples Review question : Cochrane authors reviewed the evidence about the effect of double intrauterine insemination (IUI) versus single IUI in subfertile couples (couples who have tried to conceive for at least one year). Background : for couples who have tried to conceive for at least one year a common way to induce pregnancy is placement of the sperm directly into the uterus and therefore close to any eggs. This is combined with fertility medicines to stimulate the release of eggs (IUI with ovarian stimulation). The insemination is less stressful, invasive and expensive compared to in vitro fertilisation (where an egg is combined with sperm outside the body) and similar procedures. It is often used when a male partner is subfertile, or when the reason for not becoming pregnant is unknown. Generally, IUI is carried out once in a menstrual cycle, but it is sometimes attempted twice (double IUI). Different clinical trials reached differing conclusions whether double IUI resulted in more pregnancies than single IUI. Study characteristics : we found nine randomised controlled trials (clinical studies where people are randomly put into one of two or more treatment groups) comparing double IUI with single IUI with 2751 woman. The evidence is current to July 2020. Key results : our main analysis, of which the evidence is rated as low quality, shows that we are uncertain if double IUI improves live birth and reduces miscarriage compared to single IUI. The evidence suggests that if the chance of live birth following single IUI is 16%, then the chance following double IUI would be between 12% and 27%. The evidence suggests that if chance of miscarriage following single IUI is 1.5%, the chance following double IUI would be between 1.5% and 5%. Performing analysis with the highest quality trials showed similar results for both outcomes. Pregnancy rate may increase with double IUI. This result should be interpreted with caution due to low quality of the evidence. The evidence suggests that chance of pregnancy following single IUI is 14% and the chance following double IUI would be between 16% and 23%. However, when we analysed only with the high quality studies, the positive effect of double IUI was lost and we no longer saw the improvement anymore. We are uncertain whether double IUI reduces multiple‐ (two or more fetuses) and ectopic pregnancy rate (where a fertilised egg implants itself outside of the womb, usually in one of the tubes connecting the ovary and womb) compared to single IUI. The evidence suggests that if the chance of multiple pregnancy following single IUI is 0.7%, then the chance following double IUI would be between 0.7% and 3.2%. The evidence suggests that if the chance of ectopic pregnancy following single IUI is 0.8% and the chance following double IUI would be between 0.3% and 3.2%. Quality of the evidence : the evidence was of low quality. The main limitations in the evidence were unclear risk of bias and small trials with imprecise results.</t>
  </si>
  <si>
    <t>J2872</t>
  </si>
  <si>
    <t>Randomised controlled trial to evaluate the effectiveness of using the RD-1-based C-Tb skin test as a replacement for blood-based interferon-gammarelease assay for detection of, and initiation of preventive treatment for, tuberculosis infection: RID-TB:Dx study protocol</t>
  </si>
  <si>
    <t>Introduction The predictive utility for incident tuberculosis (TB) of the purified protein derivative tuberculin skin test and region of difference 1 (RD1)-based interferon-gamma release assays (IGRA) is comparable; and either is recommended to test for latent TB infection (LTBI). Despite associated high costs of IGRA, sites participating in LTBI screening in many high-income settings pragmatically favour IGRA due to its higher specificity and simpler logistics. A new RD1-based skin test, C-Tb, could offer an acceptable and as accurate, cheaper alternative to IGRA. Evaluating the impact of C-Tb on process and patient-related outcomes would provide important information to help guide its use in LTBI testing strategies. Methods and analysis This is a pragmatic multicentre, open-label, non-inferiority, randomised controlled trial. The trial will assess the initiation of LTBI treatment following a positive result of the randomised test as the primary outcome. Participants will be randomised to receive the C-Tb test (intervention) or IGRA (usual care, control) for initiation of treatment. We will enrol 1530 participants in England aged&gt;=16 years who are eligible for LTBI testing and treatment according to UK guidance. In the C-Tb arm, skin induration will be assessed 2-3 days after intradermal injection and measured in millimetres of induration. Results of IGRA will be obtained in line with standard practice. Behavioural studies will explore people's experiences, perspectives and preferences of LTBI testing and treatment. Economic analysis will estimate cost-effectiveness of changes to the diagnostic algorithm for LTBI. The protocol was developed with Patient and Public Involvement (PPI), which will continue throughout the trial. Ethics and dissemination Ethics approval has been obtained from The NHS Health Research Authority (269485). We will share results of the trial in peer-reviewed journals and conferences. Trial registration number EudraCT 2019-002592-34; ISRCTN17936038. Copyright ©</t>
  </si>
  <si>
    <t>J2873</t>
  </si>
  <si>
    <t>An external pilot cluster randomised controlled trial of a theory-based intervention to improve appropriate polypharmacy in older people in primary care (PolyPrime): study protocol</t>
  </si>
  <si>
    <t>Background</t>
  </si>
  <si>
    <t>J2874</t>
  </si>
  <si>
    <t>Protocol for a process evaluation of an external pilot cluster randomised controlled trial of a theory-based intervention to improve appropriate polypharmacy in older people in primary care: the PolyPrime study</t>
  </si>
  <si>
    <t>Background: The PolyPrime intervention is a theory-based intervention aimed at improving appropriate polypharmacy in older people (aged &gt;=65 years) in primary care. The intervention consists of an online video which demonstrates how general practitioners (GPs) can prescribe appropriate polypharmacy during a consultation with an older patient and a patient recall process, whereby patients are invited to scheduled medication review consultations with GPs. The aim of the process evaluation is to further examine the implementation of the PolyPrime intervention in primary care. This will involve investigating whether the PolyPrime intervention can be delivered as intended across two healthcare systems, how acceptable the intervention is to GPs, practice staff and patients, and to identify the intervention's likely mechanisms of action. Method(s): The PolyPrime study is an external pilot cluster randomised controlled trial (cRCT) which aims to recruit 12 GP practices across Northern Ireland [NI] (n=6) and the six counties in the Republic of Ireland (ROI) that border NI (n=6). Practices have been randomised to intervention or usual care. An embedded process evaluation will assess intervention fidelity (i.e. was the intervention delivered as intended), acceptability of the intervention to GPs, practice staff and patients and potential mechanisms of action (i.e. what components of the intervention were perceived to be effective). Quantitative data will be collected from data collection forms completed by GPs and practice staff and a feedback questionnaire completed by patients from intervention arm practices, which will be analysed using descriptive statistics. Qualitative data will be collected through semi-structured interviews with GPs and practice staff and audio-recordings of medication review appointments from the intervention arm practices which will be transcribed and analysed using the framework method. Quantitative and qualitative data will be triangulated to provide an overall assessment of intervention fidelity, intervention acceptability, and mechanisms of action. Discussion(s): This process evaluation will add to feasibility data from the pilot cRCT by providing evidence on the fidelity of implementing the intervention package across two healthcare systems, the acceptability of the intervention and potential mechanisms of action. Trial registration: ClinicalTrials.govISRCTN41009897. Registered on 19 November 2019. ClinicalTrials.govNCT04181879. Registered 02 December 2019. Copyright © 2021, The Author(s).</t>
  </si>
  <si>
    <t>J2875</t>
  </si>
  <si>
    <t>Prophylactic antibiotics for preventing pneumococcal infection in children with sickle cell disease</t>
  </si>
  <si>
    <t>- Background Sickle cell disease (SCD) is a group of inherited disorders that result in haemoglobin abnormalities and other complications. Injury to the spleen, among other factors, contribute to persons with SCD being particularly susceptible to infection. Infants and very young children are especially vulnerable. The 'Co‐operative Study of Sickle Cell Disease' observed an incidence rate for pneumococcal septicaemia of 10 per 100 person‐years in children under the age of three years. Vaccines, including customary pneumococcal vaccines, may be of limited use in this age group. Therefore, prophylactic penicillin regimens may be advisable for this population. This is an update of a Cochrane Review which was first published in 2002, and previously updated, most recently in 2017. Objectives To compare the effects of antibiotic prophylaxis against pneumococcus in children with SCD receiving antibiotic prophylaxis compared to those without in relation to: 1. incidence of Streptococcus pneumoniae infection; 2. mortality (as reported in the included studies); 3. drug‐related adverse events (as reported in the included studies) to the individual and the community; 4. the impact of discontinuing at various ages on incidence of infection and mortality. Search methods We searched the Cochrane Cystic Fibrosis and Genetic Disorders Group Haemoglobinopathies Trials Register, which is comprised of references identified from comprehensive electronic database searches and also two clinical trials registries: ClinicalTrials.gov and the WHO International Registry Platform (not in 2020 given access issues relating to Covid‐19 pandemic). Additionally, we carried out hand searching of relevant journals and abstract books of conference proceedings. Date of the most recent search: 25 January 2021. Selection criteria All randomised or quasi‐randomised controlled trials comparing prophylactic antibiotics to prevent pneumococcal infection in children with SCD with placebo, no treatment or a comparator drug. Data collection and analysis The standard methodological procedures expected by Cochrane were used. Both authors independently extracted data and assessed trial quality. The authors used the GRADE criteria to assess the certainty of the evidence. Main results Six trials were identified by the searches, of which three trials were eligible for inclusion. A total of 880 children, who were between three months to five years of age at randomization were included. The included studies were conducted in centres in the USA and in Kingston, Jamaica. In trials that investigated initiation of penicillin on risk of pneumococcal infection, the odds ratio was 0.37 (95% confidence interval 0.16 to 0.86) (two trials, 457 children) (low‐certainty evidence), while for withdrawal the odds ratio was 0.49 (95% confidence interval 0.09 to 2.71) (one trial, 400 children) (low‐certainty evidence). Adverse drug effects were rare and minor. Rates of pneumococcal infection were found to be relatively low in children over the age of five years. Overall, the certainty of the evidence for all outcomes was judged to be low. The results from the risk of bias assessment undertaken identified two domains in which the risk of bias was considered to be high, these were incomplete outcome data (attrition bias) (two trials) and allocation concealment (selection bias) (one trial). Domains considered to have a low risk of bias for all three trials were selective reporting (reporting bias) and blinding (performance and detection bias). Authors' conclusions The evidence examined was determined to be of low certainty and suggests that prophylactic penicillin significantly reduces risk of pneumococcal infection in children with homozygous SCD, and is associated with minimal adverse reactions. Further research may help to determine the ideal age to safely withdraw penicillin. Plain language summary Regular antibiotics for preventing pneumococcal infection in young children with sickle cell disease Review question We reviewed the evidence about the effects o prophylactic antibiotic regimens for preventing pneumococcal infection in children with sickle cell disease (SCD). This is an updated version of a previously published Cochrane Review. Background People living with SCD are especially prone to respiratory and blood infections. These infections are often caused by a germ (bacteria) known as Streptococcus pneumoniae, otherwise known as pneumococcus, which can cause many types of serious illnesses. Individuals with SCD can acquire infections more easily than unaffected persons because their spleen (an organ in the body that filters blood and is vital for the proper functioning of the immune system) does not work correctly, and also because damaged tissue and bone resulting from SCD can harbour bacteria. Infection prevention is therefore one of the major ways to improve the health of persons living with SCD and reduce the risk of death. The highest risk of infection occurs in children under three years of age, but the special vaccines that help to prevent illnesses with S pneumoniae are of limited use in this young population. Therefore, regular antibiotics in addition to these special vaccines are needed to prevent infection. As risk of infection decreases with age, there might be a time when preventative antibiotic treatment can be discontinued. The aim of the review was to determine the effects of antibiotic prophylaxis against pneumococcus in children with SCD. Search date The evidence is current to 25 January 2021. Study characteristics We gathered evidence for this Cochrane Review by examining three clinical trials with over 800 children included. Key results and quality of the evidence All three clinical trials showed a reduced rate of pneumococcal infection in children with SCD receiving penicillin preventatively. Two of these trials looked at whether treatment was effective. The third trial followed on from one of the early trials and looked at when it was safe to stop treatment. Adverse drug effects were rare and minor. However, there were problems with children keeping to the treatment schedule and with the development of antibiotic resistance. The quality of the evidence for both primary and secondary outcomes (end result) was judged to be low. We conclude that penicillin given to preventatively reduces the rate of pneumococcal infections in children with SCD under five years of age. The risk of infection in older children is lower, and the follow‐on trial did not show a significant increase in risk when regular penicillin was halted at five years old. Further research is needed to look at how commonly bacteria develop that are resistant to treatment and how clinically important this is.</t>
  </si>
  <si>
    <t>Introduction: Anti-seizure medications (ASMs) are commonly used to prevent recurring epileptic seizures, but around a third of people with epilepsy fail to achieve an adequate response. Vagus nerve stimulation (VNS) is clinically recommended for people with drug-resistant epilepsy (DRE) who are not suitable for surgery, but the cost-effectiveness of the intervention has not recently been evaluated. The study objective is to estimate costs and quality-adjusted life-years (QALYs) associated with using VNS as an adjunct to ongoing ASM therapy, compared to the strategy of using only ASMs in the treatment of people with DRE, from an English National Health Service perspective. Method(s): A cohort state transition model was developed in Microsoft Excel to simulate costs and QALYs of the VNS + ASM and ASM only strategies. Patients could transition between five health states, using a 3-month cycle length. Health states were defined by an expected percentage reduction in seizure frequency, derived from randomized control trial data. Costs included the VNS device as well as its installation, setup, and removal; ASM therapy; adverse events associated with VNS (dyspnea, hoarseness, and cough); and health-state costs associated with epilepsy including hospitalizations, emergency department visits, neurologist visits, and primary care visits. A range of sensitivity analyses, including probabilistic sensitivity analysis, were run to assess the impact of parameter and structural uncertainty. Result(s): In the base case, VNS + ASM had an estimated incremental cost-effectiveness ratio (ICER) of 17,771 per QALY gained compared to ASMs alone. The cost-effective ICER was driven by relative reductions in expected seizure frequency and the differences in health care resource use associated therewith. Sensitivity analyses found that the amount of resource use per epilepsy-related health state was a key driver of the cost component. Conclusion(s): VNS is expected to be a cost-effective intervention in the treatment of DRE in the English National Health Service. Copyright © 2021 The Author(s). Published by Informa UK Limited, trading as Taylor &amp; Francis Group.</t>
  </si>
  <si>
    <t>J2877</t>
  </si>
  <si>
    <t>Exploring the role of dedicated services for barrett's oesophagus care in UK NHS hospitals</t>
  </si>
  <si>
    <t>Introduction Barrett’s oesophagus (BO) services in the UK are run with different models. Though it is not currently advised in guidelines, studies suggest a benefit from dedicated services showing better adherence to surveillance protocols and concomitant dysplasia detection [1,2]. As the extent of BO dedicated services in the UK has not been reported in the literature, we aimed to gain insight into the extent of this practice in NHS trusts.</t>
  </si>
  <si>
    <t>Chronic non‐invasive ventilation for chronic obstructive pulmonary disease</t>
  </si>
  <si>
    <t>- Background Chronic non‐invasive ventilation (NIV) is increasingly being used to treat people with COPD who have respiratory failure, but the evidence supporting this treatment has been conflicting. Objectives To assess the effects of chronic non‐invasive ventilation at home via a facial mask in people with COPD, using a pooled analysis of IPD and meta‐analysis. Search methods We searched the Cochrane Airways Register of Trials, MEDLINE, Embase, PsycINFO, CINAHL, AMED, proceedings of respiratory conferences, clinical trial registries and bibliographies of relevant studies. We conducted the latest search on 21 December 2020. Selection criteria We included randomised controlled trials (RCTs) comparing chronic NIV for at least five hours per night for three consecutive weeks or more (in addition to standard care) versus standard care alone, in people with COPD. Studies investigating people initiated on NIV in a stable phase and studies investigating NIV commenced after a severe COPD exacerbation were eligible, but we reported and analysed them separately. The primary outcomes were arterial blood gases, health‐related quality of life (HRQL), exercise capacity (stable COPD) and admission‐free survival (post‐exacerbation COPD). Secondary outcomes for both populations were: lung function, COPD exacerbations and admissions, and all‐cause mortality. For stable COPD, we also reported respiratory muscle strength, dyspnoea and sleep efficiency. Data collection and analysis We used standard methodological procedures expected by Cochrane. After inclusion of a study, we requested the IPD. We analysed continuous and time‐to‐event data using linear‐ and cox‐regression mixed‐effect models with a random effect on study level. We analysed dichotomous IPD using generalised estimating equations. We adjusted all models for age and sex. We assessed changes in outcomes after three and 12 months. We also conducted a meta‐analysis on aggregated trial data. Main results We included 14 new RCTs in this review update, in addition to the seven previously included. Seventeen studies investigated chronic NIV in stable COPD and four studies investigated chronic NIV commenced after a severe COPD exacerbation. Three studies compared NIV to sham continuous positive airway pressure (2 to 4 cmH 2 O). Seven studies used a nasal mask, one study used an oronasal mask and eight studies used both interfaces. Five studies did not report the interface. The majority of trials (20/21) were at high risk of performance bias due to an unblinded design. We considered 11 studies to have a low risk of selection bias and 13 to have a low risk of attrition bias. We collected and analysed the IPD from 13 stable COPD studies (n = 778, 68% of the participants included) and from three post‐exacerbation studies (n = 364, 96% of the participants included). In the stable COPD group, NIV probably results in a minor benefit on the arterial partial pressure of oxygen (PaO 2 ) after three months (adjusted mean difference (AMD) 0.27 kPa, 95% CI 0.04 to 0.49; 9 studies, 271 participants; moderate‐certainty evidence), but there was little to no benefit at 12 months (AMD 0.09 kPa, 95% CI ‐0.23 to 0.42; 3 studies, 171 participants; low‐certainty evidence). The arterial partial pressure of carbon dioxide (PaCO 2 ) was reduced in participants allocated to NIV after three months (AMD ‐0.61 kPa, 95% CI ‐0.77 to ‐0.45; 11 studies, 475 participants; high‐certainty evidence) and persisted up to 12 months (AMD ‐0.42 kPa, 95% CI ‐0.68 to ‐0.16; 4 studies, 232 participants; high‐certainty evidence). Exercise capacity was measured with the 6‐minute walking distance (minimal clinical important difference: 26 m). There was no clinically relevant effect of NIV on exercise capacity ( 3 months: AMD 15.5 m, 95% CI ‐0.8 to 31.7; 8 studies, 330 participants; low‐certainty evidence; 12 months: AMD 26.4 m, 95% CI ‐7.6 to 60.5; 3 studies, 134 participants; very low‐certainty evidence). HRQL was measured with the Severe Respiratory I sufficiency and the St. Georges's Respiratory Questionnaire and may be improved by NIV, but only after three months ( 3 months: standardised mean difference (SMD) 0.39, 95% CI 0.15 to 0.62; 5 studies, 259 participants; very low‐certainty evidence; 12 months: SMD 0.15, 95% CI ‐0.13 to 0.43; 4 studies, 200 participants; very low‐certainty evidence). Lastly, the risk for all‐cause mortality is likely reduced by NIV (adjusted hazard ratio (AHR) 0.75, 95% CI 0.58 to 0.97; 3 studies, 405 participants; moderate‐certainty evidence). In the post‐exacerbation COPD group, there was little to no benefit on the PaO 2 after three months, but there may be a slight decrease after 12 months ( 3 months: AMD ‐0.10 kPa, 95% CI ‐0.65 to 0.45; 3 studies, 234 participants; low‐certainty evidence; 12 months: ‐0.27 kPa, 95% CI ‐0.86 to 0.32, 3 studies; 170 participants; low‐certainty evidence). The PaCO 2 was reduced by NIV at both three months (AMD ‐0.40 kPa, 95% CI ‐0.70 to ‐0.09; 3 studies, 241 participants; moderate‐certainty evidence) and 12 months (AMD ‐0.52 kPa, 95% CI ‐0.87 to ‐0.18; 3 studies, 175 participants; high‐certainty evidence). NIV may have little to no benefit on HRQL ( 3 months: SMD 0.25, 95% CI ‐0.01 to 0.51; 2 studies, 219 participants; very low‐certainty evidence; 12 months: SMD 0.25, 95% ‐0.06 to 0.55; 2 studies, 164 participants; very low‐certainty evidence). Admission‐free survival seems improved with NIV (AHR 0.71, 95% CI 0.54 to 0.94; 2 studies, 317 participants; low‐certainty evidence), but the risk for all‐cause mortality does not seem to improve (AHR 0.97, 95% CI 0.74 to 1.28; 2 studies, 317 participants; low‐certainty evidence). Authors' conclusions Regardless of the timing of initiation, chronic NIV improves daytime hypercapnia. In addition, in stable COPD, survival seems to be improved and there might be a short term HRQL benefit. In people with persistent hypercapnia after a COPD exacerbation, chronic NIV might prolong admission‐free survival without a beneficial effect on HRQL. In stable COPD, future RCTs comparing NIV to a control group receiving standard care might no longer be warranted, but research should focus on identifying participant characteristics that would define treatment success. Furthermore, the optimal timing for initiation of NIV after a severe COPD exacerbation is still unknown. Plain language summary Non‐invasive ventilation (ventilators) used at night by people with chronic obstructive pulmonary disease (COPD) Background: Non‐invasive ventilation (NIV) is a method to assist or replace spontaneous breathing (or normal breathing) with the aid of a machine called a ventilator, using a mask fitted over the nose or both the nose and mouth. NIV can be used chronically (long‐term) at the person's home if they have levels of carbon dioxide in their blood that are persistently too high. We wanted to discover if using chronic NIV at home during the night alongside standard therapy was better or worse than standard therapy alone in people with chronic obstructive pulmonary disease (COPD) who have raised carbon dioxide levels. In 2002 and 2013, we published our original Cochrane Reviews investigating this. It is important to check if new studies have been done that could be added to the existing studies of the original review and would change the findings. What is individual participant data: In this review we used individual participant data (IPD). This means that we attempted to collect original research data for each person who had participated in the original studies by requesting these individuals' data from the researcher who performed the study. We used IPD as this offers a greater chance to detect changes between groups of participants and enable the investigation of additional hypotheses. We used the IPD to perform our calculations. Review question: What is the effect of chronic NIV in people with COPD on blood gases (oxygen and carbon dioxide), exercise capacity, quality of life, lung function, respiratory muscle f nction, COPD exacerbations and admissions, and survival? Study characteristics: The evidence is current to 21 December 2020. This review update identified 14 new studies in addition to those already in the review, so in total we included 21 studies. Ten of the studies looked at people in a stable phase (stable COPD) and four studies looked at people shortly after a COPD hospital admission (post‐exacerbation COPD). All studies included men and women. For our analyses, we used data from 778 people with stable COPD and 364 people with post‐exacerbation COPD. Results: In all people with COPD who had raised levels of carbon dioxide, chronic NIV for three and 12 months improved blood gases. In stable COPD, chronic NIV also might have improved quality of life, and survival seemed to be better compared to people who were treated with standard care only. There was no relevant benefit of NIV on exercise capacity. People using chronic NIV after a COPD admission experienced less benefit; carbon dioxide levels decreased, the time to the next hospital admission might have been longer when treated with NIV but quality of life and survival were not affected by chronic NIV. Certainty of the results: Our confidence in the certainty (according to GRADE criteria) is good when looking at the blood gases. For the other outcomes, the certainty of the evidence is moderate to very low because the participants and the researcher were aware of the treatment the people received, and due to a wide range in the observed effect. This means that further research might change the results.</t>
  </si>
  <si>
    <t>J2880</t>
  </si>
  <si>
    <t>Status of primary and secondary mental healthcare of people with severe mental illness: An epidemiological study from the UK PARTNERS2 programme</t>
  </si>
  <si>
    <t>Background: The use of electronic patient records for assessing outcomes in clinical trials is a methodological strategy intended to drive faster and more cost-efficient acquisition of results. The aim of this manuscript was to outline the data collection and management considerations of a maternity and perinatal clinical trial using data from electronic patient records, exemplifying the DESiGN Trial as a case study. Method(s): The DESiGN Trial is a cluster randomised control trial assessing the effect of a complex intervention versus standard care for identifying small for gestational age foetuses. Data on maternal/perinatal characteristics and outcomes including infants admitted to neonatal care, parameters from foetal ultrasound and details of hospital activity for health-economic evaluation were collected at two time points from four types of electronic patient records held in 22 different electronic record systems at the 13 research clusters. Data were pseudonymised on site using a bespoke Microsoft Excel macro and securely transferred to the central data store. Data quality checks were undertaken. Rules for data harmonisation of the raw data were developed and a data dictionary produced, along with rules and assumptions for data linkage of the datasets. The dictionary included descriptions of the rationale and assumptions for data harmonisation and quality checks. Result(s): Data were collected on 182,052 babies from 178,350 pregnancies in 165,397 unique women. Data availability and completeness varied across research sites; each of eight variables which were key to calculation of the primary outcome were completely missing in median 3 (range 1-4) clusters at the time of the first data download. This improved by the second data download following clarification of instructions to the research sites (each of the eight key variables were completely missing in median 1 (range 0-1) cluster at the second time point). Common data management challenges were harmonising a single variable from multiple sources and categorising free-text data, solutions were developed for this trial. Conclusion(s): Conduct of clinical trials which use electronic patient records for the assessment of outcomes can be time and cost-effective but still requires appropriate time and resources to maximise data quality. A difficulty for pregnancy and perinatal research in the UK is the wide variety of different systems used to collect patient data across maternity units. In this manuscript, we describe how we managed this and provide a detailed data dictionary covering the harmonisation of variable names and values that will be helpful for other researchers working with these data. Trial registration: Primary registry and trial identifying number: ISRCTN 67698474. Registered on 02/11/16. Copyright © 2021, The Author(s).</t>
  </si>
  <si>
    <t>J2882</t>
  </si>
  <si>
    <t>Rituximab for eradicating inhibitors in people with acquired haemophilia A</t>
  </si>
  <si>
    <t>- Background Acquired haemophilia A is a rare bleeding disorder caused by the development of specific autoantibodies against coagulation factor VIII. Standard treatment, usually steroids alone, or in combination with cyclophosphamide, aims to stop acute bleeds by using haemostatic agents to promote clotting. Rituximab may be an alternative approach to the treatment of acquired haemophilia by eradicating FVIII autoantibodies. This is an update of a previously published Cochrane Review. Objectives To assess the efficacy and adverse effects of rituximab for treating people with acquired haemophilia A. Search methods We searched the Cochrane Cystic Fibrosis and Genetic Disorders Group's trials registers, comprising references identified from comprehensive electronic database searches and handsearches of relevant journals and conference proceedings (January 2021). We also undertook searches of CENTRAL, MEDLINE and online trial registries (January 2021). Selection criteria Randomised and quasi‐randomised controlled trials of rituximab for people with acquired haemophilia A, with no restrictions on gender, age or ethnicity. Data collection and analysis No trials matching the selection criteria were eligible for inclusion. Main results No trials matching the selection criteria were eligible for inclusion. Authors' conclusions We found no randomised clinical trials of rituximab for acquired haemophilia A. Thus, we are not able to draw any conclusions or make any recommendations on rituximab for eradicating inhibitors in people with acquired haemophilia A based on the highest quality evidence. Given that undertaking randomised controlled trials in this field is a complex task, we suggest that, while planning such trials, clinicians treating the disease continue to base their choices on alternative, lower‐quality sources of evidence. In a future update of this review, we plan to appraise and incorporate eligible randomised controlled trials, as well as other high‐quality, non‐randomised studies. Plain language summary Rituximab for eradicating inhibitors in people with acquired haemophilia A Review question Is the medicine rituximab safe and effective for treating people with acquired haemophilia A? Background Acquired haemophilia A is a rare but severe bleeding disorder. It is caused by an autoantibody directed against factor VIII (FVIII, a blood clotting protein) in people with no previous history of a bleeding disorder. This bleeding disorder occurs more often in the elderly and may be associated with several other conditions (e.g. solid tumours and autoimmune diseases), or with medication. It sometimes happens in pregnancy. However, in about half of cases, the causes are unknown. Bleeding occurs in the skin, mucous membranes, and muscles. Bleeds into the joints are unusual. Doctors looking after people with acquired haemophilia A aim to stop acute bleeding episodes and to remove factor VIII autoantibodies. Most doctors regard medicines which suppress the body's immune system (in particular, the corticosteroid prednisone, sometimes in combination with another medicine, cyclophosphamide) as the most effective inital treatment option for acquired haemophilia A. However, up to one‐third of people do not respond to this treatment. Search date The evidence is current to 18 January 2021. Key results We did not find any randomised controlled trials to include in this review. We have not been able to draw a definitive conclusion on the best available treatment. Randomised controlled trials are needed to evaluate the exact role of rituximab in treating acquired haemophilia A, but the rarity of the condition is an obstacle to the planning and execution of such trials. While waiting for better evidence, people with haemophilia and doctors need to base treatment decisions on the larger and better‐conducted observational studies. This is an update of a previously published Cochrane Review.</t>
  </si>
  <si>
    <t>J2883</t>
  </si>
  <si>
    <t>Local versus general anaesthesia for carotid endarterectomy</t>
  </si>
  <si>
    <t>- Background Carotid endarterectomy may significantly reduce the risk of stroke in people with recently symptomatic, severe carotid artery stenosis. However, there are significant perioperative risks that may be minimised by performing the operation under local rather than general anaesthetics. This is an update of a Cochrane Review first published in 1996, and previously updated in 2004, 2008, and 2013. Objectives To determine whether carotid endarterectomy under local anaesthetic: 1) reduces the risk of perioperative stroke and death compared with general anaesthetic; 2) reduces the complication rate (other than stroke) following carotid endarterectomy; and 3) is acceptable to individuals and surgeons. Search methods We searched CENTRAL, MEDLINE, Embase, and two trials registers (to February 2021). We also reviewed reference lists of articles identified. Selection criteria Randomised controlled trials (RCTs) comparing the use of local anaesthetics to general anaesthetics for people having carotid endarterectomy were eligible. Data collection and analysis Three review authors independently extracted data, assessed risk of bias, and evaluated quality of evidence using the Grading of Recommendations, Assessment, Development, and Evaluations (GRADE) tool. We calculated a pooled Peto odds ratio (OR) and corresponding 95% confidence interval (CI) for the following outcomes that occurred within 30 days of surgery: stroke, death, ipsilateral stroke, stroke or death, myocardial infarction, local haemorrhage, and arteries shunted. Main results We included 16 RCTs involving 4839 participants, of which 3526 were obtained from the single largest trial (GALA). The main findings from our meta‐analysis showed that, within 30 days of operation, neither incidence of stroke nor death were significantly different between local and general anaesthesia. Of these, the incidence of stroke in the local and general anaesthesia groups was 3.2% and 3.5%, respectively (Peto odds ratio (OR) 0.91, 95% confidence interval (CI) 0.66 to 1.26; P = 0.58; 13 studies, 4663 participants; low‐quality evidence). The rate of ipsilateral stroke under both types of anaesthesia was 3.1% (Peto OR 1.03, 95% CI 0.71 to 1.48; P = 0.89; 2 studies, 3733 participants; low‐quality evidence). The incidence of stroke or death in the local anaesthesia group was 3.5%, while stroke or death incidence was 4.1% in the general anaesthesia group (Peto OR 0.85, 95% CI 0.62 to 1.16; P = 0.31; 11 studies, 4391 participants; low‐quality evidence). A lower rate of death was observed in the local anaesthetic group but evidence was of low quality (Peto OR 0.61, 95% CI 0.35 to 1.06; P = 0.08; 12 studies, 4421 participants). Authors' conclusions The incidence of stroke and death were not convincingly different between local and general anaesthesia for people undergoing carotid endarterectomy. The current evidence supports the choice of either approach. Further high‐quality studies are still needed as the evidence is of limited reliability. Plain language summary Is local or general anaesthesia better during surgery to widen the main blood vessel to the brain when it becomes narrowed (carotid endarterectomy)? Key messages ‐ Current evidence does not show any clear difference between local anaesthesia (where the patient remains awake) and general anaesthesia for the risk of stroke, death, or other unwanted effects for people having surgery to widen a narrowed carotid artery (carotid endarterectomy). ‐ Future studies should recruit more people, analyse and publish information from all of them, and make sure that the researchers assessing the outcomes do not know which type of anaesthetic people had. What is a carotid endarterectomy? A stroke happens when blood stops flowing to any part of your brain. The carotid artery is the main vessel supplying blood to the brain. This artery can become narrowed due to fatty deposits that build up over time. Around 1 in 5 strokes is caused by narrowing of the carotid artery. Blood clots can form at the point of narrowing. If blood clot breaks off into the bloodstream, it can be carried into the brain, where it blocks the blood supply and causes a stroke. A surgical operation – carotid endarterectomy – removes the inner lining, fatty deposits and any blood clots in the carotid artery and can lower the risk of stroke. However, even with very careful surgery, approximately 1 in 20 people will suffer a stroke caused by the operation itself. Anaesthetics are medicines that prevent people feeling pain. Surgeons can use either a local anaesthetic, where an area of the body is numbed, or general anaesthetic, where a person is put to sleep. The use of a local anaesthetic rather than a general anaesthetic might lower the risk of a stroke during or after carotid endarterectomy surgery. What did we want to find out? We wanted to find out if using local anaesthetic for carotid endarterectomy: ‐ lowers the risk of stroke and death around the time of the operation; ‐ lowers the rate of other unwanted effects; and ‐ is more acceptable to individuals and surgeons when compared to general anaesthetic. What did we do? We searched for studies that compared local and general anaesthetics in people who had a carotid endarterectomy. We compared and summarised their results, and rated our confidence in the evidence, based on factors such as study methods and sizes. What did we find? We found 16 studies involving 4839 people. The biggest study included 3526 people and the smallest study had 20 people. The studies were conducted around the world. More men than women were included in the studies, and their average age was 67 years. Main results Local anaesthetic makes little to no difference in risk of stroke within 30 days of surgery compared to general anaesthetic. Local anaesthetic may not reduce risk of death within 30 days of surgery compared to general anaesthetic. Since neither type of anaesthesia has clear benefits over the other, the choice of which to use can be made on the basis of the clinical situation, and the preferences of the surgeon and patient. Main limitations of the evidence We have either little, or moderate, confidence in these results. The quality of the evidence was reduced because, in most studies, it was possible that researchers collecting information about the outcomes of surgery knew which type of anaesthetic people had been given; this could have influenced their assessments. Also, information from some people who were meant to be included in the studies was left out, which also reduces the quality of the evidence. How up to date is this evidence? The evidence is current to February 2021.</t>
  </si>
  <si>
    <t>J2884</t>
  </si>
  <si>
    <t>Current perspectives on the attainment of lipid modification goals relating to the use of statins and ezetimibe for the prevention of cardiovascular disease in the united kingdom</t>
  </si>
  <si>
    <t>Despite widespread evidence of the effectiveness of lipid modification for the reduction of cardiovascular disease (CVD) risk, lipid modification goals are commonly underachieved in the United Kingdom (UK). In order to understand current UK lipid management guidance and the corresponding attainment of recommended lipid lowering goals relating to treatment with statins and ezetimibe, a literature review was conducted using PubMed focusing on publications between January 2017 and February 2020 in order to capture the most up-to-date literature. Identified publications were reviewed against key clinical guidelines for lipid management in relation to CVD risk from the National Institute for Health and Care Excellence (NICE, CG181), the Scottish Intercollegiate Guidelines Network (SIGN, 149) and European Society of Cardiology (ESC)/European Atherosclerosis Society (EAS). Cholesterol lowering goals are central to current lipid lowering therapy guidance, although specific goals vary depending on the guideline and patients' individual risk profile. Current guidance by NICE and SIGN specifies that treatment should achieve a greater than 40% reduction in non-high-density lipoprotein cholesterol (non-HDL-C) at 3 months of treatment, while the ESC/EAS place emphasis on the lowering of low-density lipoprotein (LDL-C) and total cholesterol. Yet, despite widespread availability of guidance and consistent messaging that lipid lowering goals should be ambitious, current evidence suggests a significant proportion of UK patients have sub-optimal reductions in cholesterol/non-HDL-C/LDL-C. The reasons for this are reported to be multifactorial, including a lack of compliance with guidelines, particularly regarding high-intensity statin prescribing, patient adherence, statin intolerance and statin reluctance as well as wider genetic factors. A number of possible strategies to improve current lipid management and attainment of lipid-lowering goals were identified, including improving the patient-healthcare professional partnership, conducting audits of local prescribing versus guidance, implement-ing plans for the refinement of current services and considering alternative options such as cost-effective single pill combinations for improving adherence. Copyright © 2021 Reynolds et al.</t>
  </si>
  <si>
    <t>J2885</t>
  </si>
  <si>
    <t>Fluid prescribing and administration: Arewe following NHS Fife IV fluid guidance?</t>
  </si>
  <si>
    <t>Background: A programme in NHS Fife, aiming toimprove intravenous (IV) fluid prescription and fluid balance charting, began in 2009 with audits examining fluidprescribing in the Queen Margaret Hospital, Dunfermline.It was led by a consultant anaesthetist, renal physician,ortho-geriatrician, general surgeon and pharmacist, whowere joined in 2014 by the first Fluid Management Nursein NHS Scotland. This is now a permanent post in Fife.The group developed the NHS Fife Guidance for IV Fluidand Electrolyte Prescription in Adults in 2012 and a newcombined fluid prescription and balance chart in 2014which incorporates the main points of the guidance atthe point of care. The guidance follows the NICEGuidelines for IV Fluid Therapy in Adults in Hospital(CG174). The guidance led to a significant reduction inthe use of 0.9% sodium chloride and associated acidosis,an overall reduction in fluid use, standardisation of fluidsstocked within ward areas and a significant cost saving.The focus has been on patient safety, avoiding harmfrom poor fluid prescribing, and a change in culturearound fluids with recognition of their importance inpatient care. NHS Fife's changes are now being spreadacross NHS Scotland in the National IV FluidImprovement Programme.Aims and objectives: These were to establish if theNHS Fife IV Fluid Guidance is being followed by all prescribers, to identify any areas where improvements maybe made and to provide evidence of progress to NHS Fifeand to the national fluid programme. Method(s): An audit tool was devised to capture detailedinformation on fluid prescribing: the reason for the prescription, prescribed rate in ml/hr or 'x hourly', fluid used,use of volumetric pumps, type of giving set used, use ofhourly infusion monitoring charts, recording of weight onthe prescription chart and whether giving sets wereflushed after drug administration.The data were collected over three separate days inAugust 2019 in the medical and surgical wards of theVictoria Hospital. Result(s): A total of 78 infusions were in progress in thewards; 40 were drug infusions and 38 IV fluid infusions.97% of prescriptions followed the guidelines for recommended fluid use and 92% had prescriptions in ml/h asrecommended (essential as both 500 ml and 1000 mlbags are now used).Other findings were that there are too many differentgiving sets in use and that a guide is needed to ensure thecorrect set is used and available, with potential cost savings. There were two outdated versions of the infusionmonitoring chart in use (since updated). Patient weightwas not universally recorded and some drug infusionswere not always adequately flushed through, resulting inunder-dosing of antibiotics in some cases, one byalmost half. Summary: Intravenous fluids were overwhelmingly prescribed according to the guidance, suggesting that it isfirmly embedded into practice in Fife. Continuing education aims to ensure that new prescribers are taught thisapproach and the national programme will gradually leadto a consistent approach to prescribing across Scotland,reducing variability and patient harm, caused by poor fluidmanagement. Any fluid improvement programme mustalso address nursing practice with regard to fluid balanceand administration, and look at practical issues aroundstock control and storage of IV fluids.</t>
  </si>
  <si>
    <t>J2886</t>
  </si>
  <si>
    <t>Run for Your Life: A Systematic Review of Exercise to Reduce Post Treatment Fatigue and Increase Quality of Life in Childhood Cancer Survivors</t>
  </si>
  <si>
    <t>Background and Aims: Fatigue and poor quality of life is increasingly recognised in survivors of childhood cancer. Exercise is encouraged to decrease symptoms and increase quality of life. However the literature regarding this approach is slim. We wanted to provide a robust, evidence based platform to guide health care professionals, childhood cancer survivors and their families, when trying to minimise distressing symptomatology and to generate suggestions for future studies Methods: A systematic review of MedLine, EMBASE, PubMed and SPORTdiscus identifying prospective studies, that employed validated tools, measuring the effect of exercise interventions on fatigue and Quality of Life in survivors of childhood cancer, aged under eighteen at diagnosis. Result(s): Five hundred and fifty five papers were identified, two hundred and fourteen of which were screened following duplicate removal. Forty nine full text articles generated twelve studies of sufficient quality. Five randomised controlled trails were identified, the remainder were prospective observational studies. The largest had two hundred and twenty two participants, the smallest sixty eight. There were a total of six hundred and sixteen subjects and two hundred and sixty eight controls. Age range for intervention: 5-24 years. Statistically significant outcomes for fatigue and/or QoL and an overall positive outcome was seen in five studies. Statistically significant results but overall equivocal outcomes were seen in six studies. A negative outcome was seen in one study. No studies reported a cost/benefit analysis. Conclusion(s): Poor study design, a lack of standardised interventions and poor measurement of outcomes hampers research and the ability to give clear messages to childhood cancer survivors. A mixed methodology approach, employing recognised biomarkers, would define what interventions work well for children at different stages of development. COVID 19 has spurred interest in scientific evaluation of exercise intervention (UK Recovery Trial) and expertise and infrastructure from similar interventions worldwide should be harnessed for childhood cancer survivors.</t>
  </si>
  <si>
    <t>Intravenous thrombolytic treatment and endovascular thrombectomy for ischaemic wake‐up stroke</t>
  </si>
  <si>
    <t>- Background About one in five strokes occur during sleep (wake‐up stroke). People with wake‐up strokes have previously been considered to be ineligible for thrombolytic treatment because the time of stroke onset is unknown. However, recent studies suggest benefit from recanalisation therapies in selected patients. Objectives To assess the effects of intravenous thrombolysis and endovascular thrombectomy versus control in people with acute ischaemic stroke presenting on awakening from sleep. Search methods We searched the Cochrane Stroke Group Trials Register (last search 24 of May 2021). In addition, we searched the following electronic databases in May 2021: Cochrane Central Register of Controlled Trials (CENTRAL; 2021, Issue 4 of 12, April 2021) in the Cochrane Library, MEDLINE, Embase, ClinicalTrials.gov, and the World Health Organization International Clinical Trials Registry Platform. We searched the Stroke Trials Registry (last search 7 December 2017, as the site is currently inactive). We also screened references lists of relevant trials, contacted trialists, and undertook forward tracking of relevant references. Selection criteria Randomised controlled trials (RCTs) of intravenous thrombolytic drugs or endovascular thrombectomy treatments in people with acute ischaemic stroke presenting upon awakening. Data collection and analysis Two review authors applied the inclusion criteria, extracted data, and assessed risk of bias and the certainty of the evidence using the GRADE approach. We obtained both published and unpublished data for participants with wake‐up strokes. We excluded participants with strokes of unknown onset if the symptoms did not begin upon awakening. Main results We included seven trials with a total of 980 participants, of which five trials with 775 participants investigated intravenous thrombolytic treatment and two trials with 205 participants investigated endovascular thrombectomy in large vessel occlusion in the anterior intracranial circulation. All trials used advanced imaging for selecting patients to treat. For intravenous thrombolytic treatment, good functional outcome (defined as modified Rankin Scale score 0 to 2) at 90 days follow‐up was observed in 66% of participants randomised to thrombolytic treatment and 58% of participants randomised to control (risk ratio (RR) 1.13, 95% confidence interval (CI) 1.01 to 1.26; P = 0.03; 763 participants, 5 RCTs; high‐certainty evidence). Seven per cent of participants randomised to intravenous thrombolytic treatment and 10% of participants randomised to control had died at 90 days follow‐up (RR 0.68, 95% CI 0.43 to 1.07; P = 0.09; 763 participants, 5 RCTs; high‐certainty evidence). Symptomatic intracranial haemorrhage occurred in 3% of participants randomised to intravenous thrombolytic treatment and 1% of participants randomised to control (RR 3.47, 95% CI 0.98 to 12.26; P = 0.05; 754 participants, 4 RCTs; high‐certainty evidence). For endovascular thrombectomy of large vessel occlusion, good functional outcome at 90 days follow‐up was observed in 46% of participants randomised to endovascular thrombectomy and 9% of participants randomised to control (RR 5.12, 95% CI 2.57 to 10.17; P &lt; 0.001; 205 participants, 2 RCTs; high‐certainty evidence). Twenty‐two per cent of participants randomised to endovascular thrombectomy and 33% of participants randomised to control had died at 90 days follow‐up (RR 0.68, 95% CI 0.43 to 1.07; P = 0.10; 205 participants, 2 RCTs; high‐certainty evidence). Authors' conclusions In selected patients with acute ischaemic wake‐up stroke, both intravenous thrombolytic treatment and endovascular thrombectomy of large vessel occlusion improved functional outcome without increasing the risk of death. However, a possible increased risk of symptomatic intracranial haemorrhage associated with thrombolytic treatment cannot be ruled out. The criteria used for selecting patients to treatment differed between the trials. All studies were relatively small, and six of the seven studies were erminated early. More studies are warranted in order to determine the optimal criteria for selecting patients for treatment. Plain language summary Recanalisation therapies for wake‐up stroke Review question Do people who wake up with new acute stroke symptoms benefit from treatments to reopen the blocked blood vessels (recanalisation therapies)? Background Most strokes are caused by a blockage of a blood vessel in the brain by a blood clot (ischaemic stroke). This is a leading cause of death and disability worldwide. Treatments to reopen blood vessels such as clot‐dissolving drugs (thrombolysis) or mechanical devices to remove blood clots (thrombectomy) may improve recovery after ischaemic stroke if blood flow is rapidly restored. About one in five strokes occur during sleep (wake‐up stroke). People with wake‐up stroke have traditionally been considered to be ineligible for recanalisation therapies because the time of stroke onset is unknown. However, recent studies of selected patients suggest benefit from recanalisation therapies. Search date We searched for randomised controlled trials (a type of study in which people are randomly allocated to one of two or more treatment groups) until 24 May 2021. Study characteristics We included seven trials with a total of 980 participants. Five trials with 775 wake‐up stroke participants were randomised to intravenous thrombolytic treatment or to control (either placebo (dummy treatment) or standard medical treatment alone). Two trials with 205 wake‐up stroke participants with a blood clot in a large brain artery were randomised to either endovascular mechanical thrombectomy plus standard medical treatment or standard medical treatment alone. Key results We found that recanalisation therapies can improve functional outcome and survival in selected patients with wake‐up stroke. However, we cannot rule out the possibility that treatment increases the risk of bleeding in the brain. The optimal selection criteria with regard to imaging criteria or time window, or both, for choosing patients to treat is still unclear; these criteria differed between the trials. More trials to investigate this further are therefore warranted. Quality of evidence We judged the included trials to be at low or unclear risk of bias, and the overall certainty of the evidence as high.</t>
  </si>
  <si>
    <t>Treatment for bleeding oesophageal varices in people with decompensated liver cirrhosis: a network meta‐analysis</t>
  </si>
  <si>
    <t>- Background Approximately 40% to 95% of people with liver cirrhosis have oesophageal varices. About 15% to 20% of oesophageal varices bleed within about one to three years after diagnosis. Several different treatments are available, including, among others, endoscopic sclerotherapy, variceal band ligation, somatostatin analogues, vasopressin analogues, and balloon tamponade. However, there is uncertainty surrounding the individual and relative benefits and harms of these treatments. Objectives To compare the benefits and harms of different initial treatments for variceal bleeding from oesophageal varices in adults with decompensated liver cirrhosis, through a network meta‐analysis; and to generate rankings of the different treatments for acute bleeding oesophageal varices, according to their benefits and harms. Search methods We searched CENTRAL, MEDLINE, Embase, Science Citation Index Expanded, World Health Organization International Clinical Trials Registry Platform, and trials registers until 17 December 2019, to identify randomised clinical trials (RCTs) in people with cirrhosis and acute bleeding from oesophageal varices. Selection criteria We included only RCTs (irrespective of language, blinding, or status) in adults with cirrhosis and acutely bleeding oesophageal varices. We excluded RCTs in which participants had bleeding only from gastric varices, those who failed previous treatment (refractory bleeding), those in whom initial haemostasis was achieved before inclusion into the trial, and those who had previously undergone liver transplantation. Data collection and analysis We performed a network meta‐analysis with OpenBUGS software, using Bayesian methods, and calculated the differences in treatments using odds ratios (OR) and rate ratios with 95% credible intervals (CrI) based on an available‐case analysis, according to National Institute of Health and Care Excellence Decision Support Unit guidance. We performed also the direct comparisons from RCTs using the same codes and the same technical details. Main results We included a total of 52 RCTs (4580 participants) in the review. Forty‐eight trials (4042 participants) were included in one or more comparisons in the review. The trials that provided the information included people with cirrhosis due to varied aetiologies and those with and without a previous history of bleeding. We included outcomes assessed up to six weeks. All trials were at high risk of bias. A total of 19 interventions were compared in the trials (sclerotherapy, somatostatin analogues, vasopressin analogues, sclerotherapy plus somatostatin analogues, variceal band ligation, balloon tamponade, somatostatin analogues plus variceal band ligation, nitrates plus vasopressin analogues, no active intervention, sclerotherapy plus variceal band ligation, balloon tamponade plus sclerotherapy, balloon tamponade plus somatostatin analogues, balloon tamponade plus vasopressin analogues, variceal band ligation plus vasopressin analogues, balloon tamponade plus nitrates plus vasopressin analogues, balloon tamponade plus variceal band ligation, portocaval shunt, sclerotherapy plus transjugular intrahepatic portosystemic shunt (TIPS), and sclerotherapy plus vasopressin analogues). We have reported the effect estimates for the primary and secondary outcomes when there was evidence of differences between the interventions against the reference treatment of sclerotherapy, but reported the other results of the primary and secondary outcomes versus the reference treatment of sclerotherapy without the effect estimates when there was no evidence of differences in order to provide a concise summary of the results. Overall, 15.8% of the trial participants who received the reference treatment of sclerotherapy (chosen because this was the commonest treatment compared in the trials) died during the follow‐up periods, which ranged from three days to six weeks. Based on moderate‐certainty evidence, somatostatin analogues alone had higher mortality than sclerotherapy (OR 1.57, 95% CrI 1.04 to 2. 1; network estimate; direct comparison: 4 trials; 353 participants) and vasopressin analogues alone had higher mortality than sclerotherapy (OR 1.70, 95% CrI 1.13 to 2.62; network estimate; direct comparison: 2 trials; 438 participants). None of the trials reported health‐related quality of life. Based on low‐certainty evidence, a higher proportion of people receiving balloon tamponade plus sclerotherapy had more serious adverse events than those receiving only sclerotherapy (OR 4.23, 95% CrI 1.22 to 17.80; direct estimate; 1 RCT; 60 participants). Based on moderate‐certainty evidence, people receiving vasopressin analogues alone and those receiving variceal band ligation had fewer adverse events than those receiving only sclerotherapy (rate ratio 0.59, 95% CrI 0.35 to 0.96; network estimate; direct comparison: 1 RCT; 219 participants; and rate ratio 0.40, 95% CrI 0.21 to 0.74; network estimate; direct comparison: 1 RCT; 77 participants; respectively). Based on low‐certainty evidence, the proportion of people who developed symptomatic rebleed was smaller in people who received sclerotherapy plus somatostatin analogues than those receiving only sclerotherapy (OR 0.21, 95% CrI 0.03 to 0.94; direct estimate; 1 RCT; 105 participants). The evidence suggests considerable uncertainty about the effect of the interventions in the remaining comparisons where sclerotherapy was the control intervention. Authors' conclusions Based on moderate‐certainty evidence, somatostatin analogues alone and vasopressin analogues alone (with supportive therapy) probably result in increased mortality, compared to endoscopic sclerotherapy. Based on moderate‐certainty evidence, vasopressin analogues alone and band ligation alone probably result in fewer adverse events compared to endoscopic sclerotherapy. Based on low‐certainty evidence, balloon tamponade plus sclerotherapy may result in large increases in serious adverse events compared to sclerotherapy. Based on low‐certainty evidence, sclerotherapy plus somatostatin analogues may result in large decreases in symptomatic rebleed compared to sclerotherapy. In the remaining comparisons, the evidence indicates considerable uncertainty about the effects of the interventions, compared to sclerotherapy. Plain language summary Treatment for bleeding from enlarged veins in the oesophagus (food pipe) in people with advanced scarring of the liver What is the aim of this Cochrane Review?  To find out the best available treatment for bleeding from oesophageal varices (enlarged veins in the oesophagus) in people with advanced scarring of the liver (liver cirrhosis, or late‐stage scarring of the liver with complications). Bleeding from oesophageal varices in people with cirrhosis is a life‐threatening event. Therefore, it is important to treat people when this happens, but the benefits and harms of different treatments available are currently unclear. The review authors collected and analysed all relevant randomised clinical trials (studies where participants are randomly assigned to one of two or more treatment groups) with the aim of finding out what the best treatment is. They found 52 randomised clinical trials. During analysis of data, the review authors used standard Cochrane methods, which allow the comparison of only two treatments at a time. The authors also used advanced techniques that allow comparison of multiple treatments at the same time (usually referred as 'network (or indirect) meta‐analysis'). Date of literature search  17 December 2019 What was studied in the review?  This review looked at adults of any sex, age, and ethnic origin, with advanced liver disease due to various causes and bleeding oesophageal varices. Participants were given different treatments for bleeding oesophageal varices. The authors excluded studies in people who had bleeding from the stomach, failed treatment by another method before study entry, those in whom bleeding was controlled by another method before taking part in the study, and those who previously had liver transplantation. The aver ge age of participants, when reported, ranged from 39 to 62 years. The treatments used in the trials included endoscopic sclerotherapy (injecting a scar‐forming liquid into the enlarged veins (the scarring blocks the veins thereby shrinking the veins) by looking through a tube inserted through the mouth), variceal band ligation (inserting bands around the dilated veins by seeing through a tube inserted through the mouth), somatostatin analogues (drugs that resemble gut hormones and narrow blood vessels), vasopressin analogues (drugs that resemble brain hormones and narrow blood vessels), and balloon tamponade (inserting a tube through the nose or mouth and inflating a balloon around the tube with the hope of pressing on the bleeding veins). The review authors wanted to gather and analyse data on death (percentage of participants who died within six weeks of receiving treatment), quality of life, serious adverse events and non‐serious adverse events (i.e. serious and non‐serious complications), recurrence of bleeding, and development of other complications of advanced liver disease. What were the main results of the review?  The 52 trials included a small number of participants (4580 participants). Forty‐eight trials with 4042 participants provided data for analyses. The follow‐up of the trial participants ranged from less than one week to six weeks. The funding source for the research was unclear in 31 studies; commercial organisations funded 11 studies. There were no concerns regarding the source of funding for the remaining 10 studies. The review shows the following. ��� None of the studies were conducted without flaws, and because of this, there is moderate to very high uncertainty in the findings. ‐ Approximately one in six people with cirrhosis and bleeding oesophageal varices who received the standard treatment of sclerotherapy died within six weeks. ‐ Somatostatin analogues alone and vasopressin analogues alone probably result in increased mortality, compared to sclerotherapy. ‐ Vasopressin analogues alone and band ligation alone probably result in fewer adverse events (complications), compared to sclerotherapy. ‐ Balloon tamponade plus sclerotherapy may result in large increase in serious adverse events compared to sclerotherapy. ‐ Sclerotherapy plus somatostatin analogues may result in large decrease in symptomatic rebleed compared to sclerotherapy. ‐ The evidence indicates considerable uncertainty about the effect of the interventions in the remaining comparisons. ‐ None of the trials reported health‐related quality of life. ‐ Future well‐designed randomised clinical trials are needed to find out the best treatment for people with cirrhosis and bleeding oesophageal varices.</t>
  </si>
  <si>
    <t>Background: Tranexamic acid safely reduces mortality in traumatic extracranial bleeding. Intracranial bleeding is common after traumatic brain injury and can cause brain herniation and death. We assessed the effects of tranexamic acid in traumatic brain injury patients. Objective(s): To assess the effects of tranexamic acid on death, disability and vascular occlusive events in traumatic brain injury patients. We also assessed cost-effectiveness. Design(s): Randomised trial and economic evaluation. Patients were assigned by selecting a numbered treatment pack from a box containing eight packs that were identical apart from the pack number. Patients, caregivers and those assessing outcomes were masked to allocation. All analyses were by intention to treat.We assessed the cost-effectiveness of tranexamic acid versus no treatment from a UK NHS perspective using the trial results and a Markov model. Setting(s): 175 hospitals in 29 countries. Participant(s): Adults with traumatic brain injury within 3 hours of injury with a Glasgow Coma Scale score of &lt;= 12 or any intracranial bleeding on computerised tomography scan, and no major extracranial bleeding, were eligible. Intervention(s): Tranexamic acid (loading dose 1 g over 10 minutes then infusion of 1 g over 8 hours) or matching placebo. Main Outcome Measure(s): Head injury death in hospital within 28 days of injury in patients treated within 3 hours of injury. Secondary outcomes were early head injury deaths, all-cause and cause-specific mortality, disability, vascular occlusive events, seizures, complications and adverse events. Result(s): Among patients treated within 3 hours of injury (n = 9127), the risk of head injury death was 18.5% in the tranexamic acid group versus 19.8% in the placebo group (855/4613 vs. 892/4514; risk ratio 0.94, 95% confidence interval 0.86 to 1.02). In a prespecified analysis excluding patients with a Glasgow Coma Scale score of 3 or bilateral unreactive pupils at baseline, the results were 12.5% in the tranexamic acid group versus 14.0% in the placebo group (485/3880 vs. 525/3757; risk ratio 0.89, 95% confidence interval 0.80 to 1.00). There was a reduction in the risk of head injury death with tranexamic acid in those with mild to moderate head injury (166/2846 vs. 207/2769; risk ratio 0.78, 95% confidence interval 0.64 to 0.95), but in those with severe head injury (689/1739 vs. 685/1710; risk ratio 0.99, 95% confidence interval 0.91 to 1.07) there was no apparent reduction (p-value for heterogeneity = 0.030). Early treatment was more effective in mild and moderate head injury (p = 0.005), but there was no obvious impact of time to treatment in cases of severe head injury (p = 0.73).The risk of disability, vascular occlusive events and seizures was similar in both groups.Tranexamic acid is highly cost-effective for mild and moderate traumatic brain injury (base case of 4288 per quality-adjusted life-year gained). Conclusion(s): Early tranexamic acid treatment reduces head injury deaths. Treatment is cost-effective for patients with mild or moderate traumatic brain injury, or those with both pupils reactive. Future work: Further trials should examine early tranexamic acid treatment in mild head injury. Research on alternative routes of administration is needed. Limitation(s): Time to treatment may have been underestimated. Trial registration: Current Controlled Trials ISRCTN15088122, ClinicalTrials.gov NCT01402882, EudraCT 2011-003669-14, Pan African Clinical Trial Registry PACTR20121000441277. Copyright © 2021 Roberts et al.</t>
  </si>
  <si>
    <t>J2891</t>
  </si>
  <si>
    <t>Best-BRA (Is subpectoral or prepectoral implant placement best in immediate breast reconstruction?): A protocol for a pilot randomised controlled trial of subpectoral versus prepectoral immediate implant-based breast reconstruction in women following mastectomy</t>
  </si>
  <si>
    <t>Background Implant-based breast reconstruction (IBBR) is the most commonly performed reconstructive procedure following mastectomy. IBBR techniques are evolving rapidly, with mesh-assisted subpectoral reconstruction becoming the standard of care and more recently, prepectoral techniques being introduced. These muscle-sparing techniques may reduce postoperative pain, avoid implant animation and improve cosmetic outcomes and have been widely adopted into practice. Although small observational studies have failed to demonstrate any differences in the clinical or patient-reported outcomes of prepectoral or subpectoral reconstruction, high-quality comparative evidence of clinical or cost-effectiveness is lacking. A well-designed, adequately powered randomised controlled trial (RCT) is needed to compare the techniques, but breast reconstruction RCTs are challenging. We, therefore, aim to undertake an external pilot RCT (Best-BRA) with an embedded QuinteT Recruitment Intervention (QRI) to determine the feasibility of undertaking a trial comparing prepectoral and subpectoral techniques. Methods and analysis Best-BRA is a pragmatic, two-arm, external pilot RCT with an embedded QRI and economic scoping for resource use. Women who require a mastectomy for either breast cancer or risk reduction, elect to have an IBBR and are considered suitable for both prepectoral and subpectoral reconstruction will be recruited and randomised 1:1 between the techniques. The QRI will be implemented in two phases: phase 1, in which sources of recruitment difficulties are rapidly investigated to inform the delivery in phase 2 of tailored interventions to optimise recruitment of patients. Primary outcomes will be (1) recruitment of patients, (2) adherence to trial allocation and (3) outcome completion rates. Outcomes will be reviewed at 12 months to determine the feasibility of a definitive trial. Ethics and dissemination The study has been approved by the National Health Service (NHS) Wales REC 6 (20/WA/0338). Findings will be presented at conferences and in peer-reviewed journals. Trial registration number ISRCTN10081873. Copyright © Author(s) (or their employer(s)) 2021. Re-use permitted under CC BY. Published by BMJ.</t>
  </si>
  <si>
    <t>- Background Commercial video games are a vastly popular form of recreational activity. Whilst concerns persist regarding possible negative effects of video games, they have been suggested to provide cognitive benefits to users. They are also frequently employed as control interventions in comparisons of more complex cognitive or psychological interventions. If independently effective, video games ‐ being both engaging and relatively inexpensive ‐ could provide a much more cost‐effective add‐on intervention to standard treatment when compared to costly, cognitive interventions. Objectives To review the effects of video games (alone or as an additional intervention) compared to standard care alone or other interventions including, but not limited to, cognitive remediation or cognitive behavioural therapy for people with schizophrenia or schizophrenia‐like illnesses. Search methods We searched the Cochrane Schizophrenia Group's Study‐Based Register of Trials (March 2017, August 2018, August 2019). Selection criteria Randomised controlled trials focusing on video games for people with schizophrenia or schizophrenia‐like illnesses. Data collection and analysis Review authors extracted data independently. For binary outcomes we calculated risk ratio (RR) with its 95% confidence interval (CI) on an intention‐to‐treat basis. For continuous data we calculated the mean difference (MD) between groups and its CI. We employed a fixed‐effect model for analyses. We assessed risk of bias for the included studies and created a 'Summary of findings' table using GRADE. Main results This review includes seven trials conducted between 2009 and 2018 (total = 468 participants, range 32 to 121). Study duration varied from six weeks to twelve weeks. All interventions in the included trials were given in addition to standard care, including prescribed medication. In trials video games tend to be the control for testing efficacy of complex, cognitive therapies; only two small trials evaluated commercial video games as the intervention. We categorised video game interventions into 'non‐exergame' (played statically) and 'exergame' (the players use bodily movements to control the game). Our main outcomes of interest were clinically important changes in: general functioning, cognitive functioning, social functioning, mental state, quality of life, and physical fitness as well as clinically important adverse effects.  We found no clear difference between non‐exergames and cognitive remediation in general functioning scores (Strauss Carpenter Outcome Scale) (MD 0.42, 95% CI −0.62 to 1.46; participants = 86; studies = 1, very low‐ quality evidence ) or social functioning scores (Specific Levels of Functioning Scale) (MD −3.13, 95% CI ‐40.17 to 33.91; participants = 53; studies = 1, very low‐ quality evidence ). There was a clear difference favouring cognitive remediation for cognitive functioning (improved on at least one domain of MATRICS Consensus Cognitive Battery Test) (RR 0.58, 95% CI 0.34 to 0.99; participants = 42; studies = 1, low‐ quality evidence ). For mental state, Positive and Negative Syndrome Scale (PANSS) overall scores showed no clear difference between treatment groups (MD 0.20, 95% CI −3.89 to 4.28; participants = 269; studies = 4, low‐ quality evidence ). Quality of life ratings (Quality of Life Scale) similarly showed no clear intergroup difference (MD 0.01, 95% CI −0.40 to 0.42; participants = 87; studies = 1, very low‐ quality evidence) . Adverse effects were not reported; we chose leaving the study early as a proxy measure. The attrition rate by end of treatment was similar between treatment groups (RR 0.96, 95% CI 0.87 to 1.06; participants = 395; studies = 5, low‐ quality evidence ).  One small trial compared exergames with standard care, but few outcomes were reported . No clear difference between interventions was seen for cognitive functioning (measured by MATRICS Consensus Cognitive Battery Test) (MD 2.90, 95% CI ‐1.27 to 7.07; participants = 33; studies = 1, low‐ quality evidence) , however a benefit in favour of exergames was found for average change in physical fitness (aerobic fitness) (MD 3.82, 95% CI 1.75 to 5.89; participants = 33; studies = 1, low‐ quality evidence) . Adverse effects were not reported; we chose leaving the study early as a proxy measure. The attrition rate by end of treatment was similar between treatment groups (RR 1.06, 95% CI 0.75 to 1.51; participants = 33; studies = 1). Another small trial compared exergames with non‐exergames. Only one of our main outcomes was reported ‐ physical fitness, which was measured by average time taken to walk 3 metres. No clear intergroup difference was identified at six‐week follow‐up (MD −0.50, 95% CI −1.17 to 0.17; participants = 28; studies = 1, very low‐ quality evidence) . No trials reported adverse effects. We chose leaving the study early as a proxy outcome. Authors' conclusions Our results suggest that non‐exergames may have a less beneficial effect on cognitive functioning than cognitive remediation, but have comparable effects for all other outcomes. These data are from a small number of trials, and the evidence is graded as of low or very low quality and is very likely to change with more data. It is difficult to currently establish if the more sophisticated cognitive approaches do any more good ‐ or harm ‐ than 'static' video games for people with schizophrenia. Where players use bodily movements to control the game (exergames), there is very limited evidence suggesting a possible benefit of exergames compared to standard care in terms of cognitive functioning and aerobic fitness. However, this finding must be replicated in trials with a larger sample size and that are conducted over a longer time frame. We cannot draw any firm conclusions regarding the effects of video games until more high‐quality evidence is available. There are ongoing studies that may provide helpful data in the near future. Plain language summary Video games for schizophrenia Review question Are video games an effective treatment (on their own or as an add‐on) for improving the well‐being and functioning of people with schizophrenia or schizoaffective disorder? Background Schizophrenia is a severe mental illness that affects people worldwide. People with schizophrenia often have a distorted view of reality ‐ perceiving things that are not present (hallucinations) and believing things that are not true (delusions). People with schizophrenia may struggle to motivate themselves, experience anxiety and depression, and encounter cognitive symptoms, often struggling to stay focused on day‐to‐day activities and becoming disorientated. Hallucinations and delusions are usually treated with antipsychotic medications, whereas other symptoms can be difficult to manage with medication alone. Psychological therapies are sometimes used alongside medication to help with some symptoms of schizophrenia, however these therapies can be complex and expensive. Video games are a relatively inexpensive, and, for many, engaging treatment. They have been suggested to help improve the cognitive impairments such as lack of focus or poor memory that people with schizophrenia often experience. If effective, video games could provide a simple and relatively low‐cost additional treatment for people with schizophrenia. Searching We searched for randomised controlled trials (a type of study in which participants are assigned to one of two or more treatment groups using a random method) involving people with schizophrenia receiving either a video game intervention or other type of treatment such as talking (cognitive) therapy or placebo (dummy treatment). We performed the searches in March 2017, August 2018, and August 2019. Results Seven trials met our inclusion criteria and provided useable data. Video game interventions were categorised into those that involved movements of the body ('exergames') and those that did not ('non‐exergames'). Non‐exergame trials compared the video game intervention to a form of brain‐training" therapy known as cognitive remediation. One trial compared exergames to standard care, and another compared non‐exergames with exergames. All interventions in the included trials were given in addition to standard care. The currently available evidence suggests that non‐exergames may not be as beneficial for cognitive functioning as cognitive remediation, but there were no other clear differences between non‐exergames and cognitive remediation for improving functioning in people with schizophrenia. The more exercise‐orientated video games may have some benefit compared to standard care for improving physical fitness. We cannot draw any firm conclusions regarding the effects of video games until higher‐quality evidence is available."</t>
  </si>
  <si>
    <t>J2894</t>
  </si>
  <si>
    <t>Effect of testing for cancer on cancer‐ or venous thromboembolism (VTE)‐related mortality and morbidity in people with unprovoked VTE</t>
  </si>
  <si>
    <t>- Background Venous thromboembolism (VTE) is a collective term for two conditions: deep vein thrombosis (DVT) and pulmonary embolism (PE). A proportion of people with VTE have no underlying or immediately predisposing risk factors and the VTE is referred to as unprovoked. Unprovoked VTE can often be the first clinical manifestation of an underlying malignancy. This has raised the question of whether people with an unprovoked VTE should be investigated for an underlying cancer. Treatment for VTE is different in cancer and non‐cancer patients and a correct diagnosis would ensure that people received the optimal treatment for VTE to prevent recurrence and further morbidity. Furthermore, an appropriate cancer diagnosis at an earlier stage could avoid the risk of cancer progression and lead to improvements in cancer‐related mortality and morbidity. This is the third update of the review first published in 2015. Objectives To determine whether testing for undiagnosed cancer in people with a first episode of unprovoked VTE (DVT of the lower limb or PE) is effective in reducing cancer‐ or VTE‐related mortality and morbidity and to determine which tests for cancer are best at identifying treatable cancers early. Search methods The Cochrane Vascular Information Specialist searched the Cochrane Vascular Specialised Register, CENTRAL, MEDLINE, Embase and CINAHL databases and World Health Organization International Clinical Trials Registry Platform and ClinicalTrials.gov trials registers to 5 May 2021. We also undertook reference checking to identify additional studies. Selection criteria Randomised and quasi‐randomised trials in which people with an unprovoked VTE were allocated to receive specific tests for identifying cancer or clinically indicated tests only were eligible for inclusion. Data collection and analysis Two review authors independently selected studies, assessed risk of bias and extracted data. We assessed the certainty of the evidence using GRADE criteria. We resolved any disagreements by discussion. The main outcomes of interest were all‐cause mortality, cancer‐related mortality and VTE‐related mortality. Main results No new studies were identified for this 2021 update. In total, four studies with 1644 participants are included. Two studies assessed the effect of extensive tests including computed tomography (CT) scanning versus tests at the physician's discretion, while the other two studies assessed the effect of standard testing plus positron emission tomography (PET)/CT scanning versus standard testing alone. For extensive tests including CT versus tests at the physician's discretion, the certainty of the evidence, as assessed according to GRADE, was low due to risk of bias (early termination of the studies). When comparing standard testing plus PET/CT scanning versus standard testing alone, the certainty of evidence was moderate due to a risk of detection bias. The certainty of the evidence was downgraded further as detection bias was present in one study with a low number of events. When comparing extensive tests including CT versus tests at the physician's discretion, pooled analysis on two studies showed that testing for cancer was consistent with either benefit or no benefit on cancer‐related mortality (odds ratio (OR) 0.49, 95% confidence interval (CI) 0.15 to 1.67; 396 participants; 2 studies; low‐certainty evidence). One study (201 participants) showed that, overall, malignancies were less advanced at diagnosis in extensively tested participants than in participants in the control group. In total, 9/13 participants diagnosed with cancer in the extensively tested group had a T1 or T2 stage malignancy compared to 2/10 participants diagnosed with cancer in the control group (OR 5.00, 95% CI 1.05 to 23.76; low‐certainty evidence). There was no clear difference in detection of advanced stages between extensive tests versus tests at the physician's discretion: one participant in the extensively tested group had stage T3 compared with four participants in the control group</t>
  </si>
  <si>
    <t>J2896</t>
  </si>
  <si>
    <t>Dietetics and community pharmacy working together; improving nutritional care for patients prescribed oral nutritional supplements (ONS)</t>
  </si>
  <si>
    <t>A pilot to support ‘New Ways of Working’ for</t>
  </si>
  <si>
    <t>J2897</t>
  </si>
  <si>
    <t>Determinants of Human Papillomavirus Vaccine Uptake by Adult Women Attending Cervical Cancer Screening in 9 European Countries</t>
  </si>
  <si>
    <t>Introduction: Human papillomavirus-vaccinated cohorts, irrespective of age, will likely reduce their subsequent screening requirements, thus opening opportunities for global cost reduction and program sustainability. The determinants of uptake and completion of a 3-dose human papillomavirus vaccination program by adult women in a European context were estimated. Study design: This was an intervention study. Setting/participants: Study participants were women aged 25-45 years, attending opportunistic or population-based cervical cancer screening in Belgium, Denmark, Finland, France, Germany, Slovenia, Spain, Sweden, and the United Kingdom between April 2016 and May 2018. Intervention(s): Study participants completed a questionnaire on awareness and attitudes on adult female human papillomavirus vaccination and were invited to receive free human papillomavirus vaccination. Main Outcome Measure(s): Main outcome measures were acceptance, uptake, and completion of vaccination schedule. Determinants of vaccine uptake were explored using multilevel logistic models in 2019. Result(s): Among 3,646 participants, 2,748 (range by country=50%-96%) accepted vaccination, and 2,151 (range=30%-93%) received the full vaccination course. The factors associated with higher vaccine acceptance were previous awareness of adult female (OR=1.22, 95% CI=1.00, 1.48) and male (OR=1.59, 95% CI=1.28, 1.97) vaccination. Women in stable relationships (OR=0.56, 95% CI=0.45, 0.69) or with higher educational level (OR=0.76, 95% CI=0.63, 0.93) were more likely to refuse vaccination. Recruitment by postal invitation versus personal invitation from a healthcare professional resulted in lower vaccine acceptance (OR=0.13, 95% CI=0.02, 0.76). Vaccination coverage of &gt;70% of adolescent girls in national public programs was of borderline significance in predicting human papillomavirus vaccine uptake (OR=3.23, 95% CI=0.95, 10.97). The main reasons for vaccine refusal were vaccine safety concerns (range=30%-59%) and the need for more information on human papillomavirus vaccines (range=1%-72%). No safety issues were experienced by vaccinated women. Conclusion(s): Acceptance and schedule completion were largely dependent on recruitment method, achieved coverage of national vaccination programs, and personal relationship status. Knowledge of benefits and safety reassurance may be critical to expanding vaccination target ages. Study results suggest that there are no major opinion barriers in adult women to human papillomavirus vaccination, especially when vaccination is offered face to face in healthcare settings. Trial Registration: EudraCT Number 2014-003177-42. Copyright © 2020 American Journal of Preventive Medicine</t>
  </si>
  <si>
    <t>Primary prevention of variceal bleeding in people with oesophageal varices due to liver cirrhosis: a network meta‐analysis</t>
  </si>
  <si>
    <t>- Background Approximately 40% to 95% of people with cirrhosis have oesophageal varices. About 15% to 20% of oesophageal varices bleed in about one to three years. There are several different treatments to prevent bleeding, including: beta‐blockers, endoscopic sclerotherapy, and variceal band ligation. However, there is uncertainty surrounding their individual and relative benefits and harms. Objectives To compare the benefits and harms of different treatments for prevention of first variceal bleeding from oesophageal varices in adults with liver cirrhosis through a network meta‐analysis and to generate rankings of the different treatments for prevention of first variceal bleeding from oesophageal varices according to their safety and efficacy. Search methods We searched CENTRAL, MEDLINE, Embase, Science Citation Index Expanded, World Health Organization International Clinical Trials Registry Platform, and trials registers to December 2019 to identify randomised clinical trials in people with cirrhosis and oesophageal varices with no history of bleeding. Selection criteria We included only randomised clinical trials (irrespective of language, blinding, or status) in adults with cirrhosis and oesophageal varices with no history of bleeding. We excluded randomised clinical trials in which participants had previous bleeding from oesophageal varices and those who had previously undergone liver transplantation or previously received prophylactic treatment for oesophageal varices. Data collection and analysis We performed a network meta‐analysis with OpenBUGS using Bayesian methods and calculated the differences in treatments using hazard ratios (HR), odds ratios (OR), and rate ratios with 95% credible intervals (CrI) based on an available‐case analysis, according to National Institute for Health and Care Excellence Decision Support Unit guidance. We performed the direct comparisons from randomised clinical trials using the same codes and the same technical details. Main results We included 66 randomised clinical trials (6653 participants) in the review. Sixty trials (6212 participants) provided data for one or more comparisons in the review. The trials that provided the information included people with cirrhosis due to varied aetiologies and those at high risk of bleeding from oesophageal varices. The follow‐up in the trials that reported outcomes ranged from 6 months to 60 months. All but one of the trials were at high risk of bias. The interventions compared included beta‐blockers, no active intervention, variceal band ligation, sclerotherapy, beta‐blockers plus variceal band ligation, beta‐blockers plus nitrates, nitrates, beta‐blockers plus sclerotherapy, and portocaval shunt. Overall, 21.2% of participants who received non‐selective beta‐blockers ('beta‐blockers') − the reference treatment (chosen because this was the most common treatment compared in the trials) − died during 8‐month to 60‐month follow‐up. Based on low‐certainty evidence, beta‐blockers, variceal band ligation, sclerotherapy, and beta‐blockers plus nitrates all had lower mortality versus no active intervention (beta‐blockers: HR 0.49, 95% CrI 0.36 to 0.67; direct comparison HR: 0.59, 95% CrI 0.42 to 0.83; 10 trials, 1200 participants; variceal band ligation: HR 0.51, 95% CrI 0.35 to 0.74; direct comparison HR 0.49, 95% CrI 0.12 to 2.14; 3 trials, 355 participants; sclerotherapy: HR 0.66, 95% CrI 0.51 to 0.85; direct comparison HR 0.61, 95% CrI 0.41 to 0.90; 18 trials, 1666 participants; beta‐blockers plus nitrates: HR 0.41, 95% CrI 0.20 to 0.85; no direct comparison). No trials reported health‐related quality of life. Based on low‐certainty evidence, variceal band ligation had a higher number of serious adverse events (number of events) than beta‐blockers (rate ratio 10.49, 95% CrI 2.83 to 60.64; 1 trial, 168 participants). Based on low‐certainty evidence, beta‐blockers plus nitrates had a higher number of 'any adverse events (number of participants)' than beta‐blockers alone (OR 3.4 , 95% CrI 1.11 to 11.28; 1 trial, 57 participants). Based on low‐certainty evidence, adverse events (number of events) were higher in sclerotherapy than in beta‐blockers (rate ratio 2.49, 95% CrI 1.53 to 4.22; direct comparison rate ratio 2.47, 95% CrI 1.27 to 5.06; 2 trials, 90 participants), and in beta‐blockers plus variceal band ligation than in beta‐blockers (direct comparison rate ratio 1.72, 95% CrI 1.08 to 2.76; 1 trial, 140 participants). Based on low‐certainty evidence, any variceal bleed was lower in beta‐blockers plus variceal band ligation than in beta‐blockers (direct comparison HR 0.21, 95% CrI 0.04 to 0.71; 1 trial, 173 participants). Based on low‐certainty evidence, any variceal bleed was higher in nitrates than beta‐blockers (direct comparison HR 6.40, 95% CrI 1.58 to 47.42; 1 trial, 52 participants). The evidence indicates considerable uncertainty about the effect of the interventions in the remaining comparisons. Authors' conclusions Based on low‐certainty evidence, beta‐blockers, variceal band ligation, sclerotherapy, and beta‐blockers plus nitrates may decrease mortality compared to no intervention in people with high‐risk oesophageal varices in people with cirrhosis and no previous history of bleeding. Based on low‐certainty evidence, variceal band ligation may result in a higher number of serious adverse events than beta‐blockers. The evidence indicates considerable uncertainty about the effect of beta‐blockers versus variceal band ligation on variceal bleeding. The evidence also indicates considerable uncertainty about the effect of the interventions in most of the remaining comparisons. Plain language summary Treatment to prevent first bleeding from dilated veins in the oesophagus resulting from advanced scarring of the liver What was the aim of this Cochrane Review? We aimed to find the best available treatment for prevention of first bleeding from oesophageal varices (enlarged veins in the food pipe (oesophagus)) in people with advanced liver scarring (liver cirrhosis, or late stage scarring of the liver with complications). People with cirrhosis and oesophageal varices are at significant risk of bleeding and death. Therefore, treatment is important, but the benefits and harms of different treatments available are currently unclear. The review authors collected and analysed 66 randomised clinical trials (clinical studies where people are randomly put into one of two or more treatment groups) with the aim of finding what the best treatment is. During analysis of data, we used standard Cochrane methods, which allow the comparison of only two treatments at a time. We also used advanced techniques that allow comparison of multiple treatments at the same time (referred to as 'network (or indirect) meta‐analysis'). Date of literature search December 2019 Key messages We found that only one of the trials was conducted without flaws, and because of this, there is high to very high uncertainty in the findings. Approximately one in five trial participants with cirrhosis and oesophageal varices who never had bleeding previously and received the standard treatment of beta‐blockers died within five years of treatment. The funding source for the research was unclear in 50 trials; commercial organisations funded five trials. There were no concerns regarding the source of funding for the remaining 11 trials. What was studied in the review? This review looked at adults of any sex, age, and ethnic origin with advanced liver disease due to various causes and oesophageal varices, but never had bleeding from the oesophageal varices. Participants were given different treatments for prevention of first bleeding from oesophageal varices. The authors excluded studies in people who had previous bleeding from the oesophageal varices and those who had had a liver transplant or already received treatment for oesophageal varices previously. The average age of participants, when reported, ranged from 40 years to 63 years. The treatments included 'non‐selective beta‐blockers' or simply 'beta‐blockers' (drugs that slow the heart and decrease the force of heart pumping resulting in decrease pressure in the blood vessels; they also increase the pressure in the gut blood vessels decreasing the amount of blood reaching the oesophageal veins), endoscopic sclerotherapy (injecting clotting agents into the enlarged veins by looking through a tube inserted through the mouth), variceal band ligation (inserting elastic bands around the widened veins by using a tube inserted through the mouth), and nitrates (medicines that decrease the pressure in the gut blood vessels by widening them). The review authors wanted to gather and analyse data on death (percentage dead at maximal follow‐up), quality of life, serious and non‐serious side effects, percentage of people who developed bleeding, and development of other complications of advanced liver disease.   What were the main results of the review? The 66 studies included a relatively small number of participants (6653 people). Sixty studies with 6212 participants provided data for analyses. The follow‐up of the trial ranged from six months to five years in studies that reported the outcomes that we were interested in. The review found the following: – Approximately one in five people with cirrhosis and oesophageal varices (without previous bleeding) who receive the beta‐blockers died within five years. – Beta‐blockers, variceal band ligation, sclerotherapy, and beta‐blockers plus nitrates all may result in fewer deaths than no treatment. – Variceal band ligation may result in a higher number of serious side effects than beta‐blockers. – Sclerotherapy, beta‐blockers plus nitrates, and beta‐blockers plus variceal band ligation may result in more side effects (when serious and non‐serious adverse events were put together) than beta‐blockers. – Beta‐blockers plus variceal band ligation may result in fewer people who develop bleeding than beta‐blockers alone based on a single small trial. – Nitrates alone may result in more people who develop bleeding than beta‐blockers alone. – The evidence indicates considerable uncertainty about the effect of the interventions in the remaining comparisons. – None of the trials reported health‐related quality of life. What are our conclusions? Beta‐blockers, variceal band ligation, sclerotherapy, and beta‐blockers plus nitrates may decrease the death rate compared to no treatment in people with high‐risk oesophageal varices in people with cirrhosis and no history of bleeding. Variceal band ligation may result in a higher number of serious side effects than beta‐blockers. The evidence indicates considerable uncertainty about the effect of beta‐blockers versus variceal band ligation on variceal bleeding. The evidence also indicates considerable uncertainty about the effect of the interventions in most of the remaining comparisons. Future well designed trials are needed to find out the best treatment to prevent first bleeding from people with cirrhosis and oesophageal varices.</t>
  </si>
  <si>
    <t>J2900</t>
  </si>
  <si>
    <t>Medical abortion offered in pharmacy versus clinic‐based settings</t>
  </si>
  <si>
    <t>- Background Medical abortion is usually offered in a clinic or hospital, but could potentially be offered in other settings such as pharmacies. In many countries, pharmacies are a common first point of access for women seeking reproductive health information and services. Offering medical abortion through pharmacies is a potential strategy to improve access to abortion. Objectives To compare the effectiveness and safety of medical abortion offered in pharmacy settings with clinic‐based medical abortion. Search methods We searched CENTRAL, MEDLINE, Embase, four other databases, two trials registries and grey literature websites in November 2020. We also handsearched key references and contacted authors to locate unpublished studies or studies not identified in the database searches. Selection criteria We identified studies that compared women receiving the same regimen of medical abortion or post‐abortion care in either a clinic or pharmacy setting. Studies published in any language employing the following designs were included: randomized trials and non‐randomized studies including a comparative group. Data collection and analysis Two review authors independently reviewed both retrieved abstracts and full‐text publications. A third author was consulted in case of disagreement. We intended to use the Cochrane risk of bias tool, RoB 2, for randomized studies and used the ROBINS‐I tool (Risk Of Bias In Non‐randomized Studies of Interventions) to assess risk of bias in non‐randomized studies. GRADE methodology was used to assess the certainty of the evidence. The primary outcomes were completion of abortion without additional intervention, need for blood transfusion, and presence of uterine or systemic infection within 30 days of medical abortion. Main results Our search yielded 2030 records. We assessed a total of 89 full‐text articles for eligibility. One prospective cohort study met our inclusion criteria. The included study collected data on outcomes from 605 women who obtained a medical abortion in Nepal from either a clinic or pharmacy setting. Both sites of care were staffed by the same auxiliary nurse midwives. Over all domains, the risk of bias was judged to be low for our primary outcome. During the pre‐intervention period, the study’s investigators identified a priori appropriate confounders, which were clearly measured and adjusted for in the final analysis. For women who received medical abortion in a pharmacy setting, compared to a clinic setting, there may be little or no difference in complete abortion rates (adjusted risk difference (RD)) 1.5, 95% confidence interval (CI) ‐0.8 to 3.8; 1 study, 600 participants; low certainty evidence). The study reported no cases of blood transfusion, and a composite outcome, comprised mainly of infection complications, showed there may be little or no difference between settings (adjusted RD 0.8, 95% CI ‐1.0 to 2.8; 1 study, 600 participants; very low certainty evidence). The study reported no events for hospital admission for an abortion‐related event or need for surgical intervention, and there may be no difference in women reporting being highly satisfied with the facility where they were seen (38% pharmacy versus 34% clinic, P = 0.87; 1 study, 600 participants; low certainty evidence). Authors' conclusions Conclusions about the effectiveness and safety of pharmacy provision of medical abortion are limited by the lack of comparative studies. One study, judged to provide low certainty evidence, suggests that the effectiveness of medical abortion may not be different between the pharmacy and clinic settings. However, evidence for safety is insufficient to draw any conclusions, and more research on factors contributing to potential differences in quality of care is needed. It is important to note that this study included a care model where a clinician provided services in a pharmacy, not direct provision of care by pharmacists or pharmacy staff. Three ongoing studies are potentially eligible for inclusion in review updates. More re earch is needed because pharmacy provision could expand timely access to medical abortion, especially in settings where clinic services may be more difficult to obtain. Evidence is particularly limited on the patient experience and how the care process and quality of services may differ across different types of settings. Plain language summary Medical abortion offered in pharmacy versus clinic‐based settings Why this review is important Medical abortion is offered routinely in clinics and hospitals, but could be offered in other settings such as pharmacies. In many countries, pharmacies are a first and common point of access for women seeking reproductive health information and services, including abortion. Expanding access to medical abortion through pharmacies is a potential strategy to promote safe abortion care. How did we identify and evaluate the evidence? We searched seven medical research databases for randomized controlled trials, and websites for grey literature (i.e. research produced by organizations outside of the traditional commercial and academic publishing and distribution channels). In addition, we handsearched key references and contacted authors to locate unpublished studies or studies not identified in the database searches. We identified studies that compared women receiving the same medication and dosage for medical abortion or post‐abortion care in either a clinic or pharmacy setting. We included studies published in any language, including the following designs: randomized trials and non‐randomized studies that included a comparison group. We read and evaluated all abstracts and full‐text articles, and rated our confidence in the evidence, based on factors such as study methods and sizes. What did we find? We found 2030 records. We screened the retrieved abstracts, and applied exclusion criteria. We assessed a total of 89 full‐text articles for eligibility. One prospective cohort study met our inclusion criteria. In this study, 605 women in Nepal received medical abortions from the same health care providers (auxiliary nurse midwives) in either a clinic or pharmacy‐based setting. There was no difference in complete abortion rates between the two different abortion settings. We also examined rates of blood transfusion and infection within 30 days of medical abortion. These outcomes were rare and the evidence was limited for drawing conclusions about differences by site. Additional secondary outcomes included hospital admission for an abortion‐related event, additional surgical interventions needed (besides uterine aspiration), and measures of quality of care. No hospital admissions or additional surgical procedures occurred within either group, and information about quality of care was limited. What does this mean? A single non‐randomized study provides us with low certainty that the effectiveness of medical abortion probably does not differ between the pharmacy or clinic setting when the care is provided by the same clinicians. Three ongoing studies are potentially eligible for inclusion in an update of this review. Conclusions about the effectiveness, safety and quality of care of pharmacist provision of medical abortion are limited by the lack of comparative studies. More research is needed because pharmacy provision could expand timely access to medical abortion, especially in settings where clinic services may be more difficult to obtain. How up‐to‐date is this review? The evidence in this Cochrane Review is current to November 2020.</t>
  </si>
  <si>
    <t>J2901</t>
  </si>
  <si>
    <t>Assessing the effect of including social costs in economic evaluations of diabetes-related interventions: A systematic review</t>
  </si>
  <si>
    <t>Background: The economic burden of diabetes from a societal perspective is well docu-mented in the cost-of-illness literature. However, the effect of considering social costs in the results and conclusions of economic evaluations of diabetes-related interventions remains unknown. Objective(s): To investigate whether the inclusion of social costs (productivity losses and/or informal care) might change the results and conclusions of economic evaluations of diabetes-related interventions. Method(s): A systematic review was designed and launched on Medline and the Cost-Effectiveness Analysis Registry from the University of Tufts, from the year 2000 until 2018. Included studies had to fulfil the following criteria: i) being an original study published in a scientific journal, ii) being an economic evaluation of an intervention on diabetes, iii) including social costs, iv) being written in English, v) using quality-adjusted life years as outcome, and vi) separating the results according to the perspective applied. Result(s): From the 691 records identified, 47 studies (6.8%) were selected. Productivity losses were included in 45 of the selected articles (73% used the human capital approach) whereas informal care costs in only 13 (when stated, the opportunity cost method was used in seven studies and the replacement cost in one). The 47 studies resulted in 110 economic evaluation estimations. The inclusion of social costs changed the conclusions in 8 estimations (17%), 6 of them switching from not cost-effective from the healthcare perspective to cost-effective or dominant from the societal per-spective. Considering social costs altered the results from cost-effective to dominant in 9 estimations (19%). Conclusion(s): When social costs are considered, the results and conclusions of economic evaluations performed in diabetes-related interventions can alter. Wide methodological variations have been observed, which limit the comparability of studies and advocate for the inclusion of a wider perspective via the consideration of social costs in economic evaluations and methodological guidelines relating to their estimation and valuation. Copyright © 2021 Rodriguez-Sanchez et al.</t>
  </si>
  <si>
    <t>J2902</t>
  </si>
  <si>
    <t>How the United Kingdom Controls Pharmaceutical Prices and Spending: Learning From Its Experience</t>
  </si>
  <si>
    <t>To control costs and improve access, nations can adopt strategies employed in the United Kingdom to control pharmaceutical prices and spending. Current policy evolved from a system created in 1957 that allowed manufacturers to set launch prices, capped manufacturers' rates of return, and later cut list prices. These policies did not effectively control spending and had limited effects on purchase prices. The United Kingdom currently controls pharmaceutical spending in 4 ways. (a) Since 1999, it has typically paid no more than is cost-effective. (b) Since 2017, for medicines that will have a significant budget impact, National Health Service England seeks discounts from cost-effective prices or seeks to limit access for 2 years to patients with the greatest need. (c) Since 2014, statutes and a voluntary scheme have required branded manufacturers to pay the government rebates to recoup the difference between the global pharmaceutical budget and actual spending. (d) For hospitals, generics and some patented drugs are procured through competitive bidding; community pharmacies are reimbursed through a system that provides an incentive to beat average generic market prices. These policies controlled the growth of spending, with the largest effects following budget controls in 2014. Changes since 2008 have reduced savings, first by paying more than is cost-effective for cancer drugs and then by applying higher cost-effectiveness thresholds for some drugs used to treat cancer and certain other drugs.</t>
  </si>
  <si>
    <t>J2903</t>
  </si>
  <si>
    <t>Is it worth it? Cost-effectiveness analysis of a commercial physical activity app</t>
  </si>
  <si>
    <t>- Background Inability to communicate in a manner that can be understood causes extreme distress for people requiring an artificial airway and has implications for care quality and patient safety. Options for aided communication include non‐vocal, speech‐generating, and voice‐enabling aids. Objectives To assess effectiveness of communication aids for people requiring an artificial airway (endotracheal or tracheostomy tube), defined as the proportion of people able to: use a non‐vocal communication aid to communicate at least one symptom, need, or preference; or use a voice‐enabling communication aid to phonate to produce at least one intelligible word. To assess time to communication/phonation; perceptions of communication; communication quality/success; quality of life; psychological distress; length of stay and costs; and adverse events. Search methods We searched the Cochrane Library (Wiley version), MEDLINE (OvidSP), Embase (OvidSP), three other databases, and grey literature from inception to 30 July 2020. Selection criteria We included randomised controlled trials (RCTs), quasi‐RCTs, cluster‐RCTs, controlled non‐randomised parallel group, and before‐after studies evaluating communication aids used in adults with an artificial airway. Data collection and analysis We used standard methodological procedures recommended by Cochrane. Two review authors independently performed data extraction and assessment of risk of bias. Main results We included 11 studies (1931 participants) conducted in intensive care units (ICUs). Eight evaluated non‐vocal communication aids and three voice‐enabling aids. Usual care was the comparator for all. For six studies, this comprised no aid; usual care in the remaining five studies comprised use of various communication aids. Overall, our confidence in results regarding effectiveness of communication interventions was very low due to imprecision, measurement heterogeneity, inconsistency in results, and most studies at high or unclear risk of bias across multiple domains. No non‐vocal aid studies reported our primary outcome. We are uncertain of the effects of early use of a voice‐enabling aid compared to routine use on ability to phonate at least one intelligible word (risk ratio (RR) 3.03, 95% confidence interval (CI) 0.18 to 50.08; 2 studies; very low‐certainty evidence). Compared to usual care without aids, we are uncertain about effects of a non‐vocal aid (communication board) on patient satisfaction (standardised mean difference (SMD) 2.92, 95% CI 1.52 to 4.33; 4 studies; very low‐certainty evidence). No studies of non‐vocal aids reported quality of life. Low‐certainty evidence from two studies suggests early use of a voice‐enabling aid may have no effect on quality of life (MD 2.27, 95% CI –7.21 to 11.75). Conceptual differences in measures of psychological distress precluded data pooling; however, intervention arm participants reported less distress suggesting there might be benefit, but our certainty in the evidence is very low. Low‐certainty evidence suggest voice‐enabling aids have little or no effect on ICU length of stay; we were unable to determine effects of non‐vocal aids. Three studies reported different adverse events (physical restraint use, bleeding following tracheostomy, and respiratory parameters indicating respiratory decompensation). Adverse event rates were similar between arms in all three studies. However, uncertainty remains as to any harm associated with communication aids. Authors' conclusions Due to a lack of high‐quality studies, imprecision, inconsistency of results, and measurement heterogeneity, the evidence provides insufficient information to guide practice as to which communication aid is more appropriate and when to use them. Understanding effectiveness of communication aids would benefit from development of a core outcome measurement set. Plain language summary Strategies to help adults with a breathing tube to communicate What is the issue? Patients needing a machine to support breathin cannot speak due to a tube delivering gas to the lungs bypassing their voice box. Patients mouth words, gesture, and use facial expressions. However, these are very difficult to understand. Weakened muscles and difficulty concentrating, which are common in critical illness, makes using aids such as writing equipment or communication boards difficult. Consistent evidence on which communication aids are effective is lacking. Why is this important? Difficulty communicating places people at increased risk of harm, causes distress to patients and family, and causes stress for healthcare staff. What evidence did we find? We searched for studies (to 30 July 2020) exploring aids used to help people with a breathing tube to communicate. We found 11 studies involving 1931 participants admitted to intensive care units. We also looked for studies involving people needing a breathing tube and living at home or in long‐term care, but found none. Eight studies used communication boards or apps. Three studies used aids that help a patient to speak with the breathing tube in place. All studies compared the communication aid to routine communication practices. For six studies, routine practice did not include use of any type of communication aid. For the remaining five studies, usual care comprised a range of communication aids routinely used in the participating intensive care units including a communication board, paper notepad, and routine timing of the use of speech aids. We are unsure about whether the early use of aids to help with speaking may increase the number of people who can say words that can be understood or shorten the time to be able to speak. The evidence was of very low quality. Similarly, compared to routine care in which an aid is not used, we are uncertain about the effects of communication boards on patient satisfaction. We are not sure about the effect on psychological distress and quality of life due to uncertainty in the evidence. Communication aids that help people to speak may have little or no effect on intensive care unit length of stay (low‐quality evidence). We are uncertain of possible harms with use of communication aids as only three studies reported this, and all measured different adverse events, and two were very small studies. What does this mean? We are unsure whether using speaking aids in intensive care might increase the number of people who can say words that can be understood. Use of communication boards may increase patient satisfaction, but we are not sure of these findings because of very low‐quality evidence. This means further studies are likely to change our understanding of the effects of communication aids. More studies are needed to understand the effects of communication aids, particularly effects on psychological well‐being and people's ability to communicate.</t>
  </si>
  <si>
    <t>Posterior musculofascial reconstruction in robotic‐assisted laparoscopic prostatectomy for the treatment of clinically localized prostate cancer</t>
  </si>
  <si>
    <t>- Background Delayed recovery of urinary continence is a major adverse effect of robotic‐assisted laparoscopic prostatectomy (RALP) in men undergoing prostate cancer treatment. To address this issue, a number of surgical techniques have been designed to reconstruct the posterior aspect of the rhabdosphincter, which is responsible for urinary continence after removal of the prostate; however, it is unclear how well they work. Objectives To assess the effects of posterior musculofascial reconstruction RALP compared to no posterior reconstruction during RALP for the treatment of clinically localized prostate cancer. Search methods We performed a comprehensive search of the Cochrane Library, MEDLINE, Embase, three other databases, trials registries, other sources of the grey literature, and conference proceedings, up to 12 March 2021. We applied no restrictions on publication language or status. Selection criteria We included randomized controlled trials (RCTs) in which participants were randomized to undergo variations of posterior musculofascial reconstruction RALP versus no posterior reconstruction during RALP for clinically localized prostate cancer. Data collection and analysis Two review authors independently classified studies and abstracted data from the included studies. Primary outcomes were: urinary continence recovery within one week after catheter removal, at three months after surgery, and serious adverse events. Secondary outcomes were: urinary continence recovery at six and twelve months after surgery, potency recovery twelve months after surgery, positive surgical margins (PSM), and biochemical recurrence‐free survival (BCRFS). We performed statistical analyses using a random‐effects model. We rated the certainty of evidence (CoE) according to the GRADE approach. Main results Our search identified 13 records of eight unique RCTs, of which six were published studies and two were abstract proceedings. We included 1085 randomized participants, of whom 963 completed the trials (88.8%). All participants had either cT1c or cT2 or cT3a disease, with a mean prostate‐specific antigen level of 8.15 ng/mL. Primary outcomes Posterior reconstruction RALP (PR‐RALP) may improve urinary continence one week after catheter removal compared to no posterior reconstruction during RALP (risk ratio (RR) 1.25, 95% confidence interval (CI) 0.90 to 1.73; I 2 = 42%; studies = 5, participants = 498; low CoE) although the CI also includes the possibility of no effect. Assuming 335 per 1000 men undergoing standard RALP are continent at this time point, this corresponds to 84 more men per 1000 (33 fewer to 244 more) reporting urinary continence recovery. Posterior reconstruction may have little to no effect on urinary continence three months after surgery compared to no posterior reconstruction during RALP (RR 0.98, 95% CI 0.84 to 1.14; I 2 = 67%; studies = 6, participants = 842; low CoE). Assuming 701 per 1000 men undergoing standard RALP are continent at this time point, this corresponds to 14 fewer men per 1000 (112 fewer to 98 more) reporting urinary continence after three months. PR‐RALP probably results in little to no difference in serious adverse events compared to no posterior reconstruction during RALP (RR 0.75, 95% CI 0.29 to 1.92; I 2 = 0%; studies = 6, participants = 835; moderate CoE). Assuming 25 per 1000 men undergoing standard RALP experience a serious adverse event at this time point, this corresponds to six fewer men per 1000 (17 fewer to 23 more) reporting serious adverse events. Secondary outcomes PR‐RALP may result in little to no difference in recovery of continence 12 months after surgery compared to no posterior reconstruction during RALP (RR 1.02, 95% CI 0.98 to 1.07; I 2 = 25%; studies = 3, participants = 602; low CoE). Assuming 918 per 1000 men undergoing standard RALP are continent at this time point, this corresponds to 18 more men per 1000 (18 fewer to 64 more) reporting urinary continence recovery. We are very uncertain about the effects of PR‐RALP on recovery of pote cy 12 months after surgery compared to no posterior reconstruction during RALP (RR 1.02, 95% CI 0.82 to 1.26; I 2 = 3%; studies = 2, participants = 308; very low CoE). Assuming 433 per 1000 men undergoing standard RALP are potent at this time point, this corresponds to nine more men per 1000 (78 fewer to 113 more) reporting potency recovery. PR‐RALP may result in little to no difference in positive surgical margins compared to no posterior reconstruction during RALP (RR 1.24, 95% CI 0.65 to 2.33; I 2 = 50%; studies = 3, participants = 517; low CoE). Assuming 130 per 1000 men undergoing standard RALP have a positive surgical margin, this corresponds to 31 more men per 1000 (46 fewer to 173 more) reporting positive surgical margins. PR‐RALP may result in little to no difference in biochemical recurrence compared to no posterior reconstruction during RALP (RR 1.36, 95% CI 0.74 to 2.52; I 2 = 0%; studies = 2, participants = 468; low CoE). Assuming 70 per 1000 men undergoing standard RALP have experienced biochemical recurrence at this time point, this corresponds to 25 more men per 1000 (18 fewer to 107 more) reporting biochemical recurrence. Authors' conclusions This review found evidence that PR‐RALP may improve early continence one week after catheter removal but not thereafter. Meanwhile, adverse event rates are probably not impacted and surgical margins rates are likely similar. This review was unable to determine if or how these findings may be impacted by the person's age, nerve‐sparing status, or clinical stage. Study limitations, imprecision, and inconsistency lowered the certainty of evidence for the outcomes assessed. Plain language summary Should we perform posterior reconstruction RALP or standard RALP for clinically localized prostate cancer? Review question In men with prostate cancer who are having their prostate removed using surgery assisted by a robotic device (called robotic‐assisted laparoscopic prostatectomy, or RALP), how does connecting the tissue behind the urethra (so‐called posterior reconstruction) compare to surgery where these connections are not made (standard RALP)? Background Urologists often use a robot to remove the prostate in men with prostate cancer. After surgery, most men leak urine for some time. This problem is called incontinence and usually improves six to 12 months after surgery in most men. However, it can be very bothersome during this time. Study characteristics We included eight studies in which chance determined whether men had posterior reconstruction RALP or standard RALP. These studies included 1085 men with an average age ranging from 60 to 67 years. The average prostate‐specific antigen (PSA) level in the men was 8.15 ng/mL. Higher levels of PSA may indicate worse prostate cancer. Key results We found that posterior reconstruction RALP may result in better continence one week after the catheter comes out compared to standard RALP (although it is also possible that it is no better), but it may make little to no difference at either three or 12 months after surgery. Posterior reconstruction RALP probably results in little to no difference in serious unwanted effects compared with the standard way of doing the surgery. There may also be little to no difference in positive surgical margins, meaning the risk of there being cancer cells right at the cut edge of the prostate when viewed under the microscope. There may also be no difference between the two techniques in terms of the risk of a PSA level that goes up within 12 months of surgery, which often signals that there is cancer left behind. We are very uncertain how posterior reconstruction RALP effects the ability to achieve an erection, compared to standard RALP. Certainty of the evidence The certainty of the evidence ranged from moderate to very low depending on the outcome, meaning that we have moderate to very little confidence in the results.</t>
  </si>
  <si>
    <t>Background: Screening for renal cell carcinoma (RCC) has been identified as a key research priority; however, no randomised control trials have been performed. Value of information analysis can determine whether further research on this topic is of value. Objective(s): To determine (1) whether current evidence suggests that screening is potentially cost-effective and, if so, (2) in which age/sex groups, (3) identify evidence gaps, and (4) estimate the value of further research to close those gaps. Design, setting, and participants: A decision model was developed evaluating screening in asymptomatic individuals in the UK. A National Health Service perspective was adopted. Intervention(s): A single focused renal ultrasound scan compared with standard of care (no screening). Outcome measurements and statistical analysis: Expected lifetime costs, quality-adjusted life years (QALYs), and incremental cost-effectiveness ratio (ICER), discounted at 3.5% per annum. Results and limitations: Given a prevalence of RCC of 0.34% (0.18-0.54%), screening 60-yr-old men resulted in an ICER of 18 092/QALY (22 843/QALY). Given a prevalence of RCC of 0.16% (0.08-0.25%), screening 60-yr-old women resulted in an ICER of 37 327/QALY (47 129/QALY). In the one-way sensitivity analysis, the ICER was &lt;30 000/QALY as long as the prevalence of RCC was &gt;=0.25% for men and &gt;=0.2% for women at age 60 yr. Given the willingness to pay a threshold of 30 000/QALY (37 878/QALY), the population-expected values of perfect information were 194 million (244 million) and 97 million (123 million) for 60-yr-old men and women, respectively. The expected value of perfect parameter information suggests that the prevalence of RCC and stage shift associated with screening are key research priorities. Conclusion(s): Current evidence suggests that one-off screening of 60-yr-old men is potentially cost-effective and that further research into this topic would be of value to society. Patient Summary: Economic modelling suggests that screening 60-yr-old men for kidney cancer using ultrasound may be a good use of resources and that further research on this topic should be performed. Copyright © 2019 European Association of Urology</t>
  </si>
  <si>
    <t>J2908</t>
  </si>
  <si>
    <t>An algorithm for differentiating food antigen-related gastrointestinal symptoms</t>
  </si>
  <si>
    <t>Aim: The aim of this clinical audit was to assess patient-reported outcomes on the effect of dietary intervention, to enhance our understanding of possible treatment options in irritable bowel syndrome (IBS). Background(s): A large number of food-related gastro-intestinal disorders have been attributed to IBS for decades. Method(s): Patient-reported outcomes from the records of 149 IBS patients treated at secondary and tertiary Gastroenterology outpatients in two UK hospitals between January 2014 and July 2016 were audited. Patients all presented with symptoms fulfilling Rome III-IV criteria for IBS had negative coeliac serology and did not have other gastrointestinal (GI) conditions. A modified version of a low FODMAP diet had been recommended (gluten and lactose free diet (G/LFD)) and was implemented for 6 weeks. Outcomes and dietary adherence were recorded during outpatient's consultations. Result(s): A total of 134 patients complied with the diet optimally. The majority had an improvement rate &gt;70% and continued with the diet. Fifty-three percent became completely or almost asymptomatic, while 27.6% had a poor response to the diet (scoring &lt; 30%) to G/LFD. The improvement was excellent in patients with normal BMI and good in overweight and obese and where BMI &lt;18. Over 50% did not require any follow-up within 12 months. Conclusion(s): Although it is unclear whether symptoms are triggered by gluten, fructans or lactose, elimination of gluten and lactose proved to be an effective treatment in patients with IBS. Multidisciplinary team management and implementation of detailed nutrition therapy using the audit algorithm might prove to be both cost effective and efficacious a treatment option in IBS. Copyright © 2021 Research Institute for Gastroenterology and Liver Diseases. All rights reserved.</t>
  </si>
  <si>
    <t>J2909</t>
  </si>
  <si>
    <t>&lt;b&gt;AIM&lt;/b&gt;: The aim of this clinical audit was to assess patient-reported outcomes on the effect of dietary intervention, to enhance our understanding of possible treatment options in irritable bowel syndrome (IBS)._x000D_
&lt;b&gt;BACKGROUND&lt;/b&gt;: A large number of food-related gastro-intestinal disorders have been attributed to IBS for decades._x000D_
&lt;b&gt;METHODS&lt;/b&gt;: Patient-reported outcomes from the records of 149 IBS patients treated at secondary and tertiary Gastroenterology outpatients in two UK hospitals between January 2014 and July 2016 were audited. Patients all presented with symptoms fulfilling Rome III-IV criteria for IBS had negative coeliac serology and did not have other gastrointestinal (GI) conditions. A modified version of a low FODMAP diet had been recommended (gluten and lactose free diet (G/LFD)) and was implemented for 6 weeks. Outcomes and dietary adherence were recorded during outpatient's consultations._x000D_
&lt;b&gt;RESULTS&lt;/b&gt;: A total of 134 patients complied with the diet optimally. The majority had an improvement rate &gt;70% and continued with the diet. Fifty-three percent became completely or almost asymptomatic, while 27.6% had a poor response to the diet (scoring &lt; 30%) to G/LFD. The improvement was excellent in patients with normal BMI and good in overweight and obese and where BMI &lt;18. Over 50% did not require any follow-up within 12 months._x000D_
&lt;b&gt;CONCLUSION&lt;/b&gt;: Although it is unclear whether symptoms are triggered by gluten, fructans or lactose, elimination of gluten and lactose proved to be an effective treatment in patients with IBS. Multidisciplinary team management and implementation of detailed nutrition therapy using the audit algorithm might prove to be both cost effective and efficacious a treatment option in IBS.</t>
  </si>
  <si>
    <t>J2910</t>
  </si>
  <si>
    <t>Expanding the provision of Intensive Outpatient Programmes ADD TO PS 5</t>
  </si>
  <si>
    <t>Intensive day-and home-based treatments are designed to support people diagnosed with severe eating disorders, and those for whom traditional outpatient treatment is not appropriate. They provide increased support compared to traditional outpatient treatment. Unlike inpatient treatment, there is no overnight stay and the patient typically returns home for evenings and weekends. The most common form of intensive outpatient treatment are day treatment programmes (DTPs); these also have the largest evidence-base. However, other models, for example home-based treatments also exist. Day-and home-based treatment programmes typically have the same therapeutic goals and components as inpatient treatment. Treatment goals for both inpatient and intensive day-and home-based treatment programmes tend to include medical stabilisation; weight restoration if needed; the cessation of symptoms such as binge eating and vomiting; the normalisation of eating; therapeutic exploration of underlying factors and the development of coping skills; and the initiation of social and vocational rehabilitation. Intensive outpatient treatment programmes are becoming more common in the treatment of eating disorders. However, a Freedom of Information request in April 2019 found that just a third of UK eating disorder services provide an intensive day-or home-based treatment option which offers the levels of intensity indicated by the evidence as necessary to provide optimum outcomes. Whilst inpatient treatment will always be necessary for the most severe and urgent of cases, it appears that it is being used for a large number of patients who could be treated in the community if appropriate options existed. This is despite intensive day-and home-based treatments having benefits over inpatient treatment. Beat's Recommendations: 1. All NHS commissioners should ensure that evidencebased intensive day-and home-based treatment options are available to meet the needs of all patients with an eating disorder. 2. Eating disorder services should be incentivised to develop and test different models of intensive day-and home-based treatment alongside research to evaluate these, so that the models that deliver the best results can be identified and promoted for adoption nationwide. 3. Investment in new intensive day-and home-based treatment services should be resourced prospectively in recognition of the cost savings which will be achieved from the resulting reduction in inpatient care. 4. Financial savings beyond the costs of setting up and running new intensive services should be re-invested in encouraging and enabling people to seek and start eating disorder treatment at the earliest possible stage in their illness. Why should intensive day- or home-based treatments be considered? Equivalent treatment outcomes Intensive day-and home-based treatments have been found to be effective in the treatment of eating disorders, for both adolescents and adults, with research suggesting that DTPs are at least as effective as inpatient treatment. Hay et al. concluded that there was insufficient evidence for any treatment setting to be viewed as superior in the treatment of eating disorders. Greater treatment acceptability Qualitative accounts of intensive outpatient programmes tend to be positive and highlight that although the treatment is challenging, these models of treatment are helpful and acceptable to patients. When compared to inpatient treatment, experiences tend to refer to the benefits of remaining in the community rather than being on an inpatient unit, for example, being a bit more normal, as well as the increased sustainability around this due to being able to apply the skills they learn to their everyday environment immediately. For example, one patient stated: I much preferred it to being in hospital. It helped me more than being in hospital ever did because as soon as s soon as I came out of hospital I just lost all the weight again. Reduced hospital admissions and/ or length of stay In circumstances where inpatient treatment is needed, intensive day-and ome-based programmes can be utilised to provide a step-down from hospitalisation, thus reducing the length of admission period. In England, inpatient providers with step-down services have been found to have a significantly lower average length of stay. Similarly, intensive day-and home-based treatment can also be used as a step-up from standard outpatient treatment and can avoid the need for an inpatient admission. For example, Serrano et al. found that the year following the introduction of a Spanish DTP for adolescents with eating disorders, the average length of stay for those in inpatient treatment was reduced from 30 days to 21 days, and 70% of patients who participated in the DTP avoided an inpatient admission completely. Lower cost In addition to allowing patients to stay at home or return to their home environment quicker, avoiding or reducing inpatient admission time also has the benefit of reducing the overall cost of treatment. South London and Maudsley NHS Trust report that 87,000 can be saved per young person, for admission to an intensive treatment programme rather than an inpatient unit. These savings are due to a difference in average treatment duration, with fewer days in treatment necessary when the young person attends the intensive treatment programme (38 days compared to 196 days in an inpatient unit). Similarly, Munro and colleagues and demonstrated the potential cost-savings of providing an intensive outpatient treatment programme. Following the expansion of their ANITT service in 2011, the total annual cost of caring for patients with severe anorexia nervosa had fallen from 2008 (prior to service expansion) by 391,656. This was attributed to a reduction in the number and duration of admissions. Increased family empowerment Families commonly feel disempowered when the sufferer is admitted to an inpatient unit, often reporting that they should have been able to prevent it. They also report feelings of anxiety about how they will manage once the sufferer returns home. Traditionally parents may be invited to review meetings or to a weekly family therapy session, however the inpatient unit staff will be the decision makers. Therefore, when the sufferer returns home, carers are ill-equipped to offer the best support. Although inpatient units are shifting towards adopting a more familybased approach, supporting the family to help the sufferer in the community is likely to remain more empowering.</t>
  </si>
  <si>
    <t>Background: Despite the increasing use of non-invasive respiratory support in paediatric intensive care units, there are no large randomised controlled trials comparing two commonly used non-invasive respiratory support modes, continuous positive airway pressure and high-flow nasal cannula therapy. Objective(s): To evaluate the non-inferiority of high-flow nasal cannula, compared with continuous positive airway pressure, when used as the first-line mode of non-invasive respiratory support in acutely ill children and following extubation, on time to liberation from respiratory support, defined as the start of a 48-hour period during which the child was free of respiratory support (non-invasive and invasive). Design(s): A master protocol comprising two pragmatic, multicentre, parallel-group, non-inferiority randomised controlled trials (step-up and step-down) with shared infrastructure, including internal pilot and integrated health economic evaluation. Setting(s): Twenty-five National Health Service paediatric critical care units (paediatric intensive care units and/or high-dependency units) across England, Wales and Scotland. Participant(s): Critically ill children assessed by the treating clinician to require non-invasive respiratory support for (1) acute illness (step-up randomised controlled trial) or (2) within 72 hours of extubation (step-down randomised controlled trial). Intervention(s): High-flow nasal cannula delivered at a flow rate based on patient weight (Intervention) compared to continuous positive airway pressure of 7-8 cm H&lt;inf&gt;2&lt;/inf&gt; O pressure (Control). Main Outcome Measure(s): The primary clinical outcome was time to liberation from respiratory support. The primary cost-effectiveness outcome was 180-day incremental net monetary benefit. Secondary outcomes included mortality at paediatric intensive care unit/high-dependency unit discharge, day 60 and day 180; (re)intubation rate at 48 hours; duration of paediatric intensive care unit/high-dependency unit and hospital stay; patient comfort; sedation use; parental stress; and health-related quality of life at 180 days. Result(s): In the step-up randomised controlled trial, out of 600 children randomised, 573 were included in the primary analysis (median age 9 months). Median time to liberation was 52.9 hours for high-flow nasal cannula (95% confidence interval 46.0 to 60.9 hours) and 47.9 hours (95% confidence interval 40.5 to 55.7 hours) for continuous positive airway pressure (adjusted hazard ratio 1.03, one-sided 97.5% confidence interval 0.86 to ). The high-flow nasal cannula group had lower use of sedation (27.7% vs. 37%) and mean duration of acute hospital stay (13.8 days vs. 19.5 days). In the step-down randomised controlled trial, of the 600 children randomised, 553 were included in the primary analysis (median age 3 months). Median time to liberation for high-flow nasal cannula was 50.5 hours (95% confidence interval, 43.0 to 67.9) versus 42.9 hours (95% confidence interval 30.5 to 48.2) for continuous positive airway pressure (adjusted hazard ratio 0.83, one-sided 97.5% confidence interval 0.70 to ). Mortality at day 180 was significantly higher for high-flow nasal cannula [5.6% vs. 2.4% for continuous positive airway pressure, adjusted odds ratio, 3.07 (95% confidence interval, 1.1 to 8.8)]. Limitation(s): The interventions were unblinded. A heterogeneous cohort of children with a range of diagnoses and severity of illness were included. Conclusion(s): Among acutely ill children requiring non-invasive respiratory support, high-flow nasal cannula met the criterion for non-inferiority compared with continuous positive airway pressure for time to liberation from respiratory support whereas in critically ill children requiring non-invasive respiratory support following extubation, the non-inferiority of high-flow nasal cannula could not be demonstrated. Future work: (1) Identify risk factors for treatment failure. (2) Compare protocolised approaches to post-extubation non-invasive respiratory support, with standard care. (3) Explore alternative approaches for evaluating heterogeneity of treatment effect. (4) Explore reasons for increased mortality in high-flow nasal cannula group within step-down randomised controlled trial. Study registration: Current Controlled Trials ISRCTN60048867. Funding(s): This award was funded by the National Institute for Health and Care Research (NIHR) Health Technology Assessment programme (NIHR award ref: 17/94/28) and is published in full in Health Technology Assessment; Vol. 29, No. 9. See the NIHR Funding and Awards website for further award information. Copyright t © 2025 Ramnarayan et al.</t>
  </si>
  <si>
    <t>J6202</t>
  </si>
  <si>
    <t>Data Analytics for Informed Healthcare Leadership Decision Making: A Scoping Review</t>
  </si>
  <si>
    <t>Background: In recent decades, data analytics has emerged as a transformative force in healthcare, leveraging advanced technologies to analyze vast and complex datasets. This evolution has revolutionized how healthcare organizations operate, from enhancing clinical decision making to optimizing resource allocation and improving patient outcomes. Key applications include medical image analysis, disease surveillance, outbreak prediction, and personalized treatment strategies. The integration of big data analytics, machine learning, and artificial intelligence has enabled healthcare providers to extract valuable insights from both structured and unstructured data sources, stored in electronic health record systems and other repositories. These insights not only inform strategic decisions but also support evidence-based practices and operational efficiencies across various healthcare settings. Despite its promise, challenges such as data quality assurance, security concerns, and the need for robust analytical methodologies remain critical for the widespread adoption and effective implementation of data analytics in healthcare. Methodology: This scoping review follows the Preferred Reporting Items for Systematic Reviews and Meta-Analyses Extension for Scoping Reviews checklist to explore the impact of data analytics on healthcare system performance. A systematic search was conducted on PubMed for English-language articles published in 2023 using key terms data analytics," "leadership," "decision making," and "hospital." Initially identifying 20 relevant articles, screening of titles and abstracts led to the selection of 5 articles for full-text review. Three articles met the inclusion criteria and were synthesized to examine trends, challenges, and outcomes related to the utilization of data analytics in healthcare leadership. The review centers around the population, intervention, comparison, and outcome (PICO) question "Among hospital leadership, does the utilization of data analytics for decision making compared to traditional methods improve healthcare system performance?" Conclusion(s): The findings reveal the transformative potential of data analytics in healthcare leadership, revealing significant insights into clinical practices, patient management, and system-wide efficiencies. The review identifies a need for continued integration of qualitative and quantitative analytics methodologies to address complex healthcare challenges effectively. Future research should prioritize refining data collection processes, enhancing interdisciplinary collaboration, and investing in advanced analytics capabilities to support evidence-based decision making and improve healthcare outcomes globally. Copyright © 2025, Galore Knowledge Publication Pvt. Ltd.. All rights reserved."</t>
  </si>
  <si>
    <t>J6203</t>
  </si>
  <si>
    <t>Multimodal interventions for cachexia management</t>
  </si>
  <si>
    <t>- Background Cachexia (disease‐related wasting) is a complex metabolic syndrome which occurs in people with chronic illnesses, including cancer, HIV/AIDS, kidney disease, heart disease, and chronic obstructive pulmonary disease (COPD). People with cachexia experience unintentional weight loss, muscle loss, fatigue, loss of appetite, and reduced quality of life. Multimodal interventions which work synergistically to treat the syndrome could lead to benefits. Objectives To assess the benefits and harms of multimodal interventions aimed at alleviating or stabilising cachexia in people with a chronic illness. Search methods We searched CENTRAL, MEDLINE, Embase, PsycINFO, and two trials registers in July 2024, together with reference checking, citation searching, and contact with study authors to identify studies. Selection criteria We included randomised controlled trials (RCTs) in adults with or at risk of cachexia, comparing multimodal interventions combining two or more modalities (of pharmacology, nutrition, exercise) to treatment as usual, variation of the intervention, or unimodal intervention. Data collection and analysis Two review authors independently screened potentially eligible studies, extracted data, and assessed risk of bias (RoB 1). Primary outcomes were physical function, strength, and adverse events. Secondary outcomes were body composition and weight, quality of life (QoL), appetite, fatigue, and biochemical markers. We assessed the certainty of evidence with GRADE. Main results We included nine studies with 926 adults (mean age: 63 years). Study sample sizes ranged from 20 to 332 participants. Six studies were conducted in Europe, and one each in Turkey, New Zealand, and the USA. There were six studies in people with cancer, and one each in people with COPD, chronic kidney disease, and HIV/AIDS. We judged four studies to be at an overall high risk of bias, and five at an overall unclear risk. All outcomes in all comparisons had very low‐certainty evidence, downgraded once for risk of bias and/or indirectness and twice for imprecision. Multimodal intervention (pharmacological, nutritional, and/or exercise) compared to treatment as usual One cancer study randomised 46 participants, with 41 included in all analyses except adverse events. The study assessed outcomes immediately after treatment, lasting six weeks. Compared to treatment as usual, there is no clear evidence for an effect of a multimodal intervention on: physical function (mean difference (MD) −16.10 m, 95% confidence interval (CI) −79.06 to 46.86; 41 participants); strength (MD 3.80 kg, 95% CI −3.21 to 10.81; 41 participants); adverse events (risk ratio (RR) 1.36, 95% CI 0.70 to 2.65; 46 participants); body composition (MD 7.89 cm 2 , 95% CI −10.43 to 26.21; 41 participants); weight (MD 5.89 kg, 95% CI −1.45 to 13.23; 41 participants); appetite (MD 0.68 points, 95% CI −0.60 to 1.96; 41 participants); fatigue (MD 0.12, 95% CI −1.05 to 1.29; 41 participants); and biochemical markers (MD 2%, 95% CI 0.99 to 3.01; 41 participants), but the evidence was very uncertain; QoL was not reported. Multimodal intervention compared to variation of the intervention Three cancer studies and one HIV/AIDS study randomised 192 participants. We could not use the available data, nor obtain additional data, from two studies (one in cancer, one in HIV/AIDS). The studies assessed outcomes immediately after treatment, ranging from three to seven months. Compared to a variation of the intervention, there is no clear evidence for an effect of a multimodal intervention on: physical function (MD 10.0 m, 95% CI −36.27 to 56.27; 1 study, 56 participants); strength (MD 0.7 kg, 95% CI −3.75 to 5.15; 1 study, 56 participants); adverse events (RR 0.87, 95% CI 0.38 to 2.02; P = 0.75, I 2 = 0%; 2 studies, 95 participants); body composition (MD −2.67 kg, 95% CI −5.89 to 0.54; P = 0.10, I 2 = 0%; 2 studies, 95 participants); weight (MD −2.47 kg, 95% CI −7.11 to 2.16; P = 0.30, I 2 = 0%; 2 studies, 95 participants); QoL (standardised me n difference (SMD) −0.15, 95% CI −0.55 to 0.26; P = 0.47, I 2 = 0%; 2 studies, 95 participants); appetite (SMD −0.34, 95% CI −1.27 to 0.59; P = 0.48, I 2 = 79%; 2 studies, 95 participants); fatigue (MD 6.40 points, 95% CI −1.10 to 13.90; 1 study, 56 participants); or biochemical markers (MD 9.80 pg/mL, 95% CI −6.25 to 25.85; P = 0.23, I 2 = 73%; 2 studies, 95 participants), but the evidence is very uncertain. Multimodal intervention compared to unimodal intervention We included six studies (802 participants) in this comparison: three cancer studies, and one each in people with COPD, chronic kidney disease, and HIV/AIDS. The studies assessed outcomes immediately after treatment, ranging from three to seven months. We could not use the available data, nor obtain additional data, from the HIV/AIDS study. Compared to a unimodal intervention, there is no clear evidence for an effect of a multimodal intervention on: physical function (SMD 0.02, 95% CI −0.22 to 0.26; P = 0.86, I 2 = 0%; 2 studies, 348 participants); strength (SMD 0.23, 95% CI −0.81 to 1.27; P = 0.66, I 2 = 0%; 2 studies, 348 participants); adverse events (RR 0.87, 95% CI −0.43 to 1.73; P = 0.68, I 2 = 45%; 2 studies, 395 participants); body composition (SMD 0.11, 95% CI −0.28 to 0.50; P = 0.58, I 2 = 74%; 5 studies, 742 participants); body weight (SMD −0.02, 95% CI −0.38 to 0.33; P = 0.90, I 2 = 49%; 4 studies, 431 participants); QoL (SMD 0.22, 95% CI −0.29 to 0.73; P = 0.39, I 2 = 61%; 3 studies, 411 participants); appetite (SMD −0.09, 95% CI −0.58 to 0.40; P = 0.72, I 2 = 58%; 2 studies, 395 participants); fatigue (MD −6.80 points, 95% CI −12.44 to −1.17; 1 study, 244 participants); and biochemical markers (SMD 0.11, 95% CI −0.59 to 0.80; P = 0.76, I 2 = 79%; 3 studies, 411 participants), but the evidence is very uncertain. Authors' conclusions The review found insufficient evidence to support or refute the use of multimodal interventions in managing cachexia. The certainty of the evidence was very low. Methodologically rigorous, well‐powered RCTs with adequate interaction times are needed to assess the effectiveness of multimodal interventions in managing cachexia across chronic illnesses. Plain language summary What are the benefits and risks of using a combination of treatments to manage cachexia (disease‐related wasting)? Key messages: • We do not know if combinations of two or more treatments (of medication, diet, and exercise) benefit people who have or are at risk of developing cachexia (disease‐related wasting). This is because there are currently not enough robust studies in this area. • We need future research to increase our confidence in the evidence by conducting better designed and larger studies. What is cachexia? Cachexia is a complex metabolic syndrome that occurs in people with long‐term illnesses (known as chronic illnesses), such as cancer, HIV/AIDS, chronic kidney disease, heart disease, and chronic obstructive pulmonary disease (COPD). People who have cachexia may: • lose weight unintentionally; • lose muscle; • feel tired, weak, or both;  • lose their appetite. Cachexia affects well‐being and can be life‐threatening. How is cachexia treated? Studies are investigating how to best manage cachexia with different treatments. These treatments can include medications, diet, and exercise, provided in a single (unimodal) or combined (multimodal) treatment. It is thought that due to the complex biology of cachexia, a combination of treatments may work in a complementary way (synergistically) to help improve the symptoms associated with cachexia and people's well‐being, extend life, or both. What did we want to find out? We wanted to find out if combining at least two treatments (out of diet, exercise, and medication) helped to improve: physical function and strength; muscle loss; weight; well‐being; appetite; fatigue; and biological indicators within the blood (biochemical markers). We also wanted to find out if these interventions were associated with any unwante or harmful (adverse) effects. What did we do? We searched for studies that compared treatment combinations of diet, exercise and/or medication (where at least two treatments were used together) to: different combinations of treatments; a single treatment; or treatment as usual (standard care) in adults with cachexia or at risk of developing cachexia. We compared and summarised the results of the included studies. We rated our confidence in the evidence based on factors such as study methods and the number of people included. What did we find? We found nine studies that included a total of 926 adults, with an average age of 63 years. Just over half of participants (57%) were men. Studies took place around the world, including Europe (six studies), Turkey (one study), New Zealand (one study), and the USA (one study). One study included people with HIV/AIDS (average age 43 years; 35 of 50 people in the study were men); one study included people with COPD (average age 72 years; 20 of 28 people in the study were men); and one study included people with chronic kidney disease (average age 70 years; 11 of 21 in the study were men). Six studies included people with cancer (average age 64 years; 461 of 893 people in the studies were men). The studies lasted six weeks to two years. The studies used combinations of treatments which could have included diet, exercise, and/or medication, where at least two treatments were used together, and compared these to: • treatment as usual (1 study, 46 people); • different combinations of treatments (4 studies, 192 people); • a single treatment (6 studies, 802 people). The studies did not provide enough robust evidence to determine if multimodal interventions are associated with benefits or harms in people with or at risk of cachexia. What are the limitations of the evidence? We are not confident in the evidence because not all the studies provided information about everything that we were interested in. Additionally, the studies used different ways of measuring results, and most of the studies included only small numbers of people. Importantly, future studies may change the conclusions of this review. How current is this review? The evidence is current to June 2024.</t>
  </si>
  <si>
    <t>J6204</t>
  </si>
  <si>
    <t>Application of the Analytical Hierarchy Process in the management of private ambulance care systems in three selected European countries: a strategic decision-making framework</t>
  </si>
  <si>
    <t>Private ambulance services play a vital role in healthcare systems across Europe, supplementing public emergency services and providing essential medical transportation. However, managing these services presents significant challenges, including resource allocation, regulatory compliance, service quality, technological integration, workforce management, and financial sustainability. This study employs the Analytical Hierarchy Process (AHP) as a strategic decision-making tool to optimize the management of private ambulance services in Germany, Spain, and the United Kingdom. To achieve this, data were collected from 20 participants across the three countries (Germany: 7, Spain: 6, United Kingdom: 7), comprising ambulance service administrators, emergency medical personnel, and regulatory experts. A purposive sampling method was used to ensure the inclusion of key stakeholders with direct experience in the sector. Participants completed structured questionnaires involving pairwise comparisons of key decision criteria. Results reveal that Regulatory Compliance is the highest priority across all countries (Germany: 0.25, Spain: 0.22, UK: 0.20), followed by Service Quality, which is particularly emphasized in the UK (0.22) and Germany (0.20). Technological Integration is important in Spain (0.20), reflecting the need for advancements in underserved areas. While Workforce Management and Financial Sustainability rank slightly lower, they remain critical for operational efficiency. The study highlights country-specific challenges and regulatory differences and provides actionable recommendations for optimizing resource allocation, improving service quality, and ensuring compliance. Despite limitations such as potential biases and a narrow geographic focus, the findings offer valuable insights for refining management practices and enhancing the sustainability of private ambulance services across Europe.</t>
  </si>
  <si>
    <t>J6205</t>
  </si>
  <si>
    <t>A Systematic Literature Review of Randomized Trials Comparing In-Person and Digital Interventions for Type 2 Diabetes Prevention</t>
  </si>
  <si>
    <t>Background: Digital and in-person lifestyle interventions to prevent type 2 diabetes (T2DM) are being increasingly implemented in some countries, particularly in the United States. However, their comparative effectiveness remains unclear, partly due to variability in intervention designs and limited robust evidence from randomized controlled trials (RCTs). Understanding their relative impacts is critical for informing evidence-based implementation in diverse healthcare settings. Aim(s): To compare the effectiveness of digital versus in-person interventions for preventing T2DM. Method(s): We conducted a systematic literature review, following Cochrane methodology to identify and synthesize evidence from RCTs. Searches were conducted in EMBASE, MEDLINE, and Cochrane CENTRAL from inception to December 2024, including completed and ongoing trials published in English or Spanish. Studies comparing purely digital and in-person interventions were eligible. Meta-analyses were performed where appropriate, and narrative syntheses were provided for remaining outcomes. The GRADE approach was used to assess the certainty of evidence. Result(s): Eight RCTs met the inclusion criteria, including six completed trials with published results and two ongoing trials. The completed trials encompassed a total of 2,450 participants across various healthcare settings. At 12 months, digital interventions were associated with significantly greater weight loss than in-person interventions (mean difference: -1.38 kg [95% CI: -2.34 to -0.43]), with moderate certainty of evidence. At shorter (3 and 6 months) and longer (&gt;12 months) time points, no relevant differences were observed for weight, body mass index, or glycosylated haemoglobin levels between the modalities, with the certainty of evidence rated as low to very low. Evidence about cost-effectiveness was scarce. No trials evaluated key outcomes such as incidence of T2DM or health-related quality. For adverse events, no significant differences were found between modalities (RR: 1.06 [95% CI: 0.45 to 2.50]). Conclusion(s): This systematic review highlights that while digital and in-person interventions can both be effective for T2DM prevention, their relative benefits depend on follow-up duration and contextual factors. The limited certainty of evidence and the absence of trials addressing critical outcomes, such as T2DM incidence, underscore the need for further well-designed RCTs. Future research should prioritize equivalence in intervention intensity, longer follow-up durations, and standardized reporting of outcomes to better inform public health decision-making. Copyright The copyright holder has placed this preprint in the Public Domain. It is no longer restricted by copyright. Anyone can legally share, reuse, remix, or adapt this material for any purpose without crediting the original authors.</t>
  </si>
  <si>
    <t>Non‐pharmacological and non‐surgical treatments for low back pain in adults: an overview of Cochrane reviews</t>
  </si>
  <si>
    <t>- Background Low back pain (LBP) is a significant public health issue due to its high prevalence and associated disability burden. Clinical practice guidelines recommend non‐pharmacological/non‐surgical interventions for managing pain and function in people with LBP. Objectives To provide accessible, high‐quality evidence on the effects of non‐pharmacological and non‐surgical interventions for people with LBP and to highlight areas of remaining uncertainty and gaps in the evidence regarding the effects of these interventions for people with LBP. Methods We searched the Cochrane Database of Systematic Reviews from inception to 15 April 2023, to identify Cochrane reviews of randomised controlled trials testing the effect of non‐pharmacological/non‐surgical interventions, unrestricted by language. Major outcomes were pain intensity, function and safety. Two authors independently assessed eligibility, extracted data and assessed the quality of the reviews using AMSTAR 2 (A MeaSurement Tool to Assess Systematic Reviews) and the certainty of the evidence using GRADE. The primary comparison was placebo/sham. Main results We included 31 Cochrane reviews of 644 trials that randomised 97,183 adults with LBP. We have high confidence in the findings of 19 reviews, moderate confidence in the findings of two reviews, and low confidence in the findings of 10 reviews. We present results for non‐pharmacological/non‐surgical interventions compared to placebo/sham or no treatment/usual care at short‐term (≤ three months) follow‐up. Placebo/sham comparisons Acute/subacute LBP Compared to placebo, there is probably no difference in function (at one‐week follow‐up) for spinal manipulation (standardised mean difference (SMD) ‐0.08, 95% confidence interval (CI) ‐0.37 to 0.21; 2 trials, 205 participants; moderate‐certainty evidence). Data for safety were reported only for heated back wrap. Compared to placebo, heated back wrap may result in skin pinkness (6/128 participants versus 1/130; 2 trials; low‐certainty evidence). Chronic LBP Compared to sham acupuncture, acupuncture probably provides a small improvement in function (SMD ‐0.38, 95% CI ‐0.69 to ‐0.07; 3 trials, 957 participants; moderate‐certainty evidence). Compared to sham traction, there is probably no difference in pain intensity for traction (0 to 100 scale, mean difference (MD) ‐4, 95% CI ‐17.7 to 9.7; 1 trial, 60 participants; moderate‐certainty evidence). Data for safety were reported only for acupuncture. There may be no difference between acupuncture and sham acupuncture for safety outcomes (risk ratio (RR) 0.68, 95% CI 0.42 to 1.10; I 2 = 0%; 4 trials, 465 participants; low‐certainty evidence). No treatment/usual care comparisons Acute/subacute LBP Compared to advice to rest, advice to stay active probably provides a small reduction in pain intensity (SMD ‐0.22, 95% CI ‐0.02 to ‐0.41; 2 trials, 401 participants; moderate‐certainty evidence). Compared to advice to rest, advice to stay active probably provides a small improvement in function (SMD ‐0.29, 95% CI ‐0.09 to ‐0.49; 2 trials, 400 participants; moderate‐certainty evidence). Data for safety were reported only for massage. There may be no difference between massage and usual care for safety (risk difference 0, 95% CI ‐0.07 to 0.07; 1 trial, 51 participants; low‐certainty evidence). Chronic LBP Compared to no treatment, acupuncture probably provides a medium reduction in pain intensity (0 to 100 scale, mean difference (MD) ‐10.1, 95% CI ‐16.8 to ‐3.4; 3 trials, 144 participants; moderate‐certainty evidence), and a small improvement in function (SMD ‐0.39, 95% CI ‐0.72 to ‐0.06; 3 trials, 144 participants; moderate‐certainty evidence). Compared to usual care, acupuncture probably provides a small improvement in function (MD 9.4, 95% CI 6.15 to 12.65; 1 trial, 734 participants; moderate‐certainty evidence). Compared to no treatment/usual care, exercise therapies probably provide a small to medium reduction in pain intens ty (0 to 100 scale, MD ‐15.2, 95% CI ‐18.3 to ‐12.2; 35 trials, 2746 participants; moderate‐certainty evidence), and probably provide a small improvement in function (0 to 100 scale, MD ‐6.8, 95% CI ‐8.3 to ‐5.3; 38 trials, 2942 participants; moderate‐certainty evidence). Compared to usual care, multidisciplinary therapies probably provide a medium reduction in pain intensity (SMD ‐0.55, 95% CI ‐0.83 to ‐0.28; 9 trials, 879 participants; moderate‐certainty evidence), and probably provide a small improvement in function (SMD ‐0.41, 95% CI ‐0.62 to ‐0.19; 9 trials, 939 participants; moderate‐certainty evidence). Compared to no treatment, psychological therapies using operant approaches probably provide a small reduction in pain intensity (SMD ‐0.43, 95% CI ‐0.75 to ‐0.11; 3 trials, 153 participants; moderate‐certainty evidence). Compared to usual care, psychological therapies (including progressive muscle relaxation and behavioural approaches) probably provide a small reduction in pain intensity (0 to 100 scale, MD ‐5.18, 95% CI ‐9.79 to ‐0.57; 2 trials, 330 participants; moderate‐certainty evidence), but there is probably no difference in function (SMD ‐0.2, 95% CI ‐0.41 to 0.02; 2 trials, 330 participants; moderate‐certainty evidence). It is uncertain whether there is a difference between non‐pharmacological/non‐surgical interventions and no treatment/usual care for safety (very low‐certainty evidence). Authors' conclusions Spinal manipulation probably makes no difference to function compared to placebo for people with acute/subacute LBP. Acupuncture probably improves function slightly for people with chronic LBP, compared to sham acupuncture. There is probably no difference between traction and sham traction for pain intensity in people with chronic LBP. Compared to advice to rest, advice to stay active probably reduces pain intensity slightly and improves function slightly for people with acute LBP. Acupuncture probably reduces pain intensity, and improves function slightly for people with chronic LBP, compared to no treatment. Acupuncture probably improves function slightly for people with chronic LBP, compared to usual care. Exercise therapies probably reduce pain intensity, and improve function slightly for people with chronic LBP, compared to no treatment/usual care. Multidisciplinary therapies probably reduce pain intensity, and improve function slightly for people with chronic LBP, compared to usual care. Compared to usual care, psychological therapies probably reduce pain intensity slightly, but probably make no difference to function for people with chronic LBP. Plain language summary What are the likely benefits and harms of non‐medicine and non‐surgical treatments for non‐specific low back pain? Key messages For acute low back pain (pain lasting less than 6 weeks) • Advice to stay active probably reduces pain and improves function compared to advice to rest in bed. For subacute low back pain (pain lasting from 6 to 12 weeks) • Multidisciplinary therapies probably reduce pain compared to usual care. • Spinal manipulation probably does not improve function compared to placebo (a 'sham' or 'dummy' treatment designed to resemble the actual treatment but lacking active ingredients or the intended therapeutic effect). For chronic low back pain (pain lasting longer than 12 weeks) • Acupuncture probably reduces pain and improves function compared to placebo and no treatment/usual care. • Exercise therapies probably reduce pain and improve function compared to placebo and no treatment/usual care. • Traction probably does not reduce pain compared to sham traction. • Multidisciplinary therapy probably reduces pain and improves function compared to usual care. • Psychological therapies probably reduce pain but make no difference to function compared to usual care. What is low back pain, and how is it treated? Low back pain is a common health condition that can be associated with disability and poor quality of life. For most cases f low back pain, the cause of pain is unknown and is described as ‘non‐specific’ low back pain. Many types of non‐medicine and non‐surgical treatments are available for people with low back pain of different durations: acute (pain lasting less than 6 weeks), subacute (pain lasting from 6 to 12 weeks) and chronic (pain lasting longer than 12 weeks). There is a need to provide accessible, high‐quality information on the benefits and safety of non‐drug and non‐surgical treatments for healthcare professionals and patients to better manage low back pain. What did we want to find out? We wanted to summarise the evidence from Cochrane reviews on the effectiveness and safety of non‐medicine and non‐surgical treatments for adults with non‐specific low back pain. What did we do?  We found 31 reviews that included 644 studies with 97,183 participants. The studies investigated the effects of 27 different types of treatment for low back pain. What did we find? For people with acute/subacute low back pain, we found that advice to stay active probably reduces pain in the short term (i.e. up to 3 months) compared to advice to rest in bed. We found that multidisciplinary therapies probably reduce pain in the long term (i.e. at 12 months or longer). Spinal manipulation probably does not improve function in the short term. For people with chronic low back pain, we found that acupuncture, exercise, and psychological therapies probably reduce pain in the short and medium term (i.e. from 3 to 12 months). Acupuncture and exercise probably also improve function in the short and medium term. Multidisciplinary therapies probably reduce pain and improve function in the short and medium term. Traction probably does not reduce pain in the short term. We have less confidence in the effects of other non‐medicine and non‐surgical interventions for low back pain. Non‐medicine and non‐surgical interventions may not be associated with serious adverse (i.e. unwanted, harmful) events. What are the limitations of the evidence? We have reduced confidence in the evidence because we judged that 38% of the reviews did not employ the most rigorous methods available. Almost three‐quarters of the reviews were published before 2020, meaning that the evidence they contain may be relatively dated. There is a need to update some Cochrane reviews following recommended guidance. Because of the quality of the evidence, we are still uncertain about the benefits or risks of many non‐medicine and non‐surgical treatments commonly used in clinical practice for low back pain. We encourage healthcare professionals, patients, and organisations that fund research on low back pain to use this overview to make informed decisions for low back pain treatment. How current is this evidence? This overview is current to April 2023. However, one‐third (10 of 31) of the reviews are more than 15 years old, meaning the evidence they contain is even more dated.</t>
  </si>
  <si>
    <t>J6207</t>
  </si>
  <si>
    <t>Economic evaluation of a hospital-initiated tobacco dependence treatment service</t>
  </si>
  <si>
    <t>The treatment of tobacco dependence in patients admitted to hospital is a priority for the National Health Service in England. We conducted an economic analysis of a pilot intervention adapted from the Ottawa Model of Smoking Cessation, implemented in a major teaching hospital in London, England. The cost-per-patient, cost-per-quit and Incremental Cost Effectiveness Ratio were estimated for 673 patients who smoked and who received the intervention after being admitted to one of 11 acute wards between July 2020 and June 2021. Patient-level readmission costs and bed-days from six months after discharge were compared between the intervention group and a group of benchmark patients who smoked and who did not receive the intervention. The total cost of the intervention was 178,105. On the basis of 104 patients who reported not smoking at six months, the cost-per-quit was 1712.55. Among 611 patients who were successfully matched to a benchmark cohort, re-admissions for patients in the intervention group cost 492k less than their benchmark equivalents over 21 months from January 2021 to September 2022 (266k vs 758k), incurred 414 fewer bed days (303 vs 717), and re-admitted at a lower rate (5% vs 11%). Lower readmission rates and costs were associated with the intervention regardless of patient smoking status at six months, except among those who had opted out. A pilot tobacco dependence treatment intervention implemented in an acute hospital setting in London demonstrated value for money through reduced readmission rates and costs among all patients who received it. Copyright The copyright holder for this preprint is the author/funder, who has granted medRxiv a license to display the preprint in perpetuity. It is made available under a CC-BY 4.0 International license.</t>
  </si>
  <si>
    <t>J6208</t>
  </si>
  <si>
    <t>The effect of displaying laboratory test prices on physicians' ordering behaviour: a systematic review of European studies</t>
  </si>
  <si>
    <t>Objective: As European healthcare systems struggle with increasing workload and sustainability issues, it is estimated that 20% of their production is ineffective. One potential strategy to reduce this excess is by minimizing the use of unnecessary laboratory tests. The aim of this review was to investigate the effect of presenting physicians in Europe with the cost of laboratory tests at the time of ordering on the quantities and expense of laboratory tests as well as to identify knowledge gaps on this matter. Method(s): Following PRISMA guidelines, a systematic search in PubMed and EMBASE was conducted in February 2025. Studies were included if written in English and conducted in Europe. There were no restrictions on year of publication. Study quality was evaluated using a modified Downs and Black checklist. Result(s): Of the 2185 publications identified, five met the inclusion criteria. All included studies were published 2002-2021 and found a reduction in order cost and/or volume of laboratory test, following price display (four with statistically significant results). The reduction in order costs were greater than the reduction in order volume. Additionally, the impact of price display diminished over time as the intervention period continued. None of the studies included patient safety measures. Conclusion(s): Price display is a simple yet potentially impactful intervention as it is likely to reduce both the cost and volume of tests, thereby decreasing the workload and enhancing the sustainability of the healthcare systems. Further high-quality studies are needed to determine if price display is a patient-safe intervention. Copyright © The Author(s) 2025.</t>
  </si>
  <si>
    <t>- Rationale Postpartum haemorrhage (PPH) is common and potentially life‐threatening. The antifibrinolytic drug tranexamic acid (TXA) is thought to be effective for treating PPH. There is growing interest in whether TXA is effective for preventing PPH after vaginal birth. In randomised controlled trials (RCTs), TXA has been associated with increased risk of seizures and unexplained increased mortality when given more than three hours after traumatic bleeding. Reliable evidence on the effects, cost‐effectiveness and safety of prophylactic TXA is required before considering widespread use. This review updates one published in 2015. Objectives To assess the effects of TXA for preventing PPH compared to placebo or no treatment (with or without uterotonic co‐treatment) in women following vaginal birth. Search methods We searched MEDLINE, Embase, CENTRAL, and WHO ICTRP (to 6 September 2024). We also searched reference lists of retrieved studies. Eligibility criteria We included RCTs evaluating TXA alone or in addition to standard care (uterotonics) for preventing PPH following vaginal birth. For this update, we required trials to be prospectively registered (before participant recruitment), and we applied a trustworthiness checklist. Outcomes Critical outcomes were blood loss ≥ 500 mL and blood loss ≥ 1000 mL. Important outcomes included maternal death, severe morbidity, blood transfusion, receipt of additional surgical interventions to control PPH, thromboembolic events, receipt of additional uterotonics, hysterectomy, and maternal satisfaction. Risk of bias We used the Cochrane risk of bias tool (RoB 1) to assess the risk of bias in the studies. Synthesis methods Two review authors independently selected trials, extracted data, assessed risk of bias, and assessed trial trustworthiness. We used random‐effects meta‐analysis to combine data. We assessed the certainty of the evidence using GRADE. Included studies We included three RCTs with 18,974 participants in total. The trials were conducted in both high‐ and low‐resource settings and involved participants at both low and high risk of PPH. The trials compared intravenous TXA (1 g) and standard care versus placebo (saline) and standard care. After applying our trustworthiness checklist, we did not include any of the 12 trials in the previous version of this review. Synthesis of results Prophylactic tranexamic acid in addition to standard care compared to placebo in addition to standard care TXA results in little to no difference in blood loss ≥ 500 mL (risk ratio (RR) 0.93, 95% confidence interval (CI) 0.81 to 1.06; 2 studies, 18,897 participants; 5 fewer per 1000, 95% CI 15 fewer to 5 more; high‐certainty evidence). TXA likely results in little to no difference in blood loss ≥ 1000 mL (RR 0.86, 95% CI 0.69 to 1.07; 2 studies, 18,897 participants; 3 fewer per 1000, 95% CI 6 fewer to 1 more; moderate‐certainty evidence). TXA likely results in little to no difference in severe morbidity (RR 0.88, 95% CI 0.69 to 1.12; 1 study, 15,066 participants; 2 fewer per 1000, 95% CI 6 fewer to 2 more; moderate‐certainty evidence). TXA results in little to no difference in receipt of blood transfusion (RR 1.00, 95% CI 0.95 to 1.06; 3 studies, 18,972 participants; 0 fewer per 1000, 95% CI 10 fewer to 12 more; high‐certainty evidence). TXA may result in little to no difference in receipt of additional surgical interventions to control PPH (RR 0.63, 95% CI 0.32 to 1.23; 2 studies, 18,972 participants; 1 fewer per 1000, 95% CI 2 fewer to 1 more; low‐certainty evidence). In women with anaemia, TXA results in little to no difference in receipt of additional uterotonics (RR 1.02, 95% CI 0.94 to 1.10; 1 study, 15,066 participants; 3 more women per 1000, 95% CI 8 fewer to 24 more; high‐certainty evidence). In women with no anaemia, TXA results in a slight reduction in receipt of additional uterotonics (RR 0.75, 95% CI 0.61 to 0.92; 1 study, 3891 participants; 24 fewer women per 1000, 95% CI 38 fewer to 8 fewer; high‐certainty evidence). TXA likely r sults in little to no difference in maternal satisfaction. The evidence is very uncertain about the effect of TXA on maternal death, thromboembolic events, and hysterectomy (very low‐certainty evidence): maternal death (RR 0.99, 95% CI 0.39 to 2.49; 2 studies, 15,081 participants; 0 fewer per 1000, 95% CI 1 fewer to 2 more); thromboembolic events (RR 0.25, 95% CI 0.03 to 2.24; 3 studies, 18,774 participants; 3 fewer women per 10,000, 95% CI 4 fewer to 5 more); hysterectomy (RR 0.89, 95% CI 0.36 to 2.19; 1 study, 15,066 participants; 1 fewer women per 10,000, 95% CI 9 fewer to 16 more). Authors' conclusions Adding prophylactic TXA to standard care of women during vaginal birth makes little to no difference to blood loss ≥ 500 mL and likely makes little to no difference to blood loss ≥ 1000 mL or the risk of severe morbidity, compared to placebo and standard care. TXA may result in little to no difference in additional surgical interventions to control PPH and results in little to no difference in blood transfusions. One trial found that TXA reduced the use of additional uterotonics in women without anaemia, whereas the largest trial found little to no difference in the use of additional uterotonics in women with anaemia. Although there were very few serious adverse events reported, the evidence is insufficient to draw conclusions about the effect of TXA on maternal death, thromboembolic events, hysterectomy, or seizures. TXA likely results in little to no difference in maternal satisfaction. These findings are based mainly on two large trials. In the smaller of these, less than 30% of study participants were at high risk of PPH. In the largest trial, all participants had moderate to severe anaemia. Those making decisions about routine administration of prophylactic TXA for all women having vaginal births should consider that current evidence does not show a benefit of TXA for blood loss outcomes and related morbidity, and the evidence is very uncertain about serious adverse events. Funding This review was partially funded by the World Health Organization (WHO). Registration Protocol (2009) DOI: 10.1002/14651858.CD007872 Original review (2010) DOI: 10.1002/14651858.CD007872.pub2 Review update (2015) DOI: 10.1002/14651858.CD007872.pub3 Plain language summary What are the benefits and risks of tranexamic acid for preventing heavy bleeding after vaginal birth? Key messages Tranexamic acid given as a preventive treatment makes little to no difference to heavy bleeding after vaginal birth. We are uncertain about whether there are any harmful effects from tranexamic acid. What is the issue? Postpartum haemorrhage, which is heavy bleeding after giving birth, is a common and potentially life‐threatening complication of birthing a child. Most women receive drugs (called uterotonics) that stimulate the womb to contract after a normal (vaginal) delivery to prevent postpartum haemorrhage. Tranexamic acid (TXA) is a medication that is used to decrease blood loss in surgery and health conditions associated with increased bleeding. It works by helping to prevent the breakdown of blood clots. If a woman is bleeding heavily after birth, it decreases blood loss. We do not know if TXA can help prevent heavy bleeding after vaginal birth. What did we want to find out? We wanted to know whether fewer women have heavy bleeding after a vaginal birth if they receive TXA, with or without additional uterotonics, during vaginal birth. We also wanted to find out if taking TXA during vaginal birth was associated with any harmful effects. What did we do? We searched for and selected all the studies that addressed our question. We used a checklist to make sure we only included studies with information we could verify. We made judgements about the quality of the studies before comparing and summarising the results of the studies. Lastly, we rated our confidence in the findings. Why is this important? It is important to determine whether TXA is effective in preventing heavy bleeding after birth when given to women during vaginal birth. If there is a benefit, it could help women around the world and even play a role in reducing the number of women who die after giving birth. How up to date is this evidence? We searched for all available evidence up to 6 September 2024. What evidence did we find? We identified three studies that investigated the effects of preventive TXA. The three studies involved a total of 18,974 participants at low or high risk of heavy bleeding. Participants were given either intravenous (into a vein) TXA plus standard care or placebo (saline) injection plus standard care. We found that preventive TXA results in little to no difference in heavy bleeding after birth. We are very uncertain about the effect of TXA on maternal death. TXA likely makes no difference to the risk of women developing serious illness. We found that TXA has no effect on the likelihood of receiving a blood transfusion. TXA may result in no difference in the need for further surgical intervention after giving birth. We are very uncertain about the effect of TXA on blood clots. In women with anaemia, TXA makes no difference to the need for additional drugs to help the womb contract, but in women with no anaemia, there was a slight reduction in this outcome. We are very uncertain about the effect of TXA on hysterectomy (an operation to remove the womb). There does not seem to be a difference in maternal satisfaction. What are the limitations of the evidence? The studies included women in both high‐ and low‐resource settings. Few women experienced harmful effects. However, we cannot be certain that this is indeed the case in the real world. What does this mean? We found no difference in the number of women experiencing heavy bleeding after birth after they were given TXA preventatively during vaginal birth, and we are very uncertain about the effect of TXA on blood clots and other serious side effects. As these are harmful effects, clinicians should take into account the lack of benefit and the potential harms when considering giving routine TXA to women during vaginal birth. Further research should focus on other interventions that may help to prevent heavy bleeding after vaginal birth.</t>
  </si>
  <si>
    <t>J6210</t>
  </si>
  <si>
    <t>Understanding the impact of vitamin D supplement formulation, quality and provision to older adults in UK residential care homes</t>
  </si>
  <si>
    <t>Supplying vitamin D supplements to all older adults is beneficial and cost-effective. However, operationalising this supply to residents in long-term care is problematic. This study aimed to understand the challenges of vitamin D supplement provision by auditing the extent of supplementation, measuring the quality of the supplements and investigating the attitudes towards supplement provision in UK care homes. This case study investigated the supply of vitamin D supplement formulations in four UK care homes and analysed the vitamin D content of nine formulation types. It employed semi-structured interviews with care home stakeholders to understand attitudes toward vitamin D supply. Across the nine analysed products, there was &gt;50% variability in their quality (75-137% of the label), but 44% of supplements were of medicinal grade. One tablet from a food-grade product contained 167% vitamin D, and one medicinal-grade tablet only contained 70% vitamin D. Interviews with care home staff highlighted four challenges to providing supplements: the perceived responsibility of healthcare professionals to supplement, difficulties obtaining prescription medications, the absence of national/local strategies, and the financial burden. This study demonstrated sub-optimal vitamin D supplement supply to care home residents, with staff unclear about who was responsible for choosing the correct type of vitamin D supplement, who paid for it, and who was to supply it. This study suggests a new approach to delivering vitamin D supplements to older adults is needed.</t>
  </si>
  <si>
    <t>- Background Clinical pathways (CPWs) are structured multidisciplinary care plans. They aim to translate evidence into practice and optimize clinical outcomes. This is the first update of the previous systematic review ( Rotter 2010 ). Objectives To investigate the effect of CPWs on patient outcomes, length of stay, costs and charges, adherence to recommended practice, and to measure the impact of different approaches to implementation of CPWs. Search methods For this update, CENTRAL, MEDLINE, and Embase were searched on 25 July 2024. Two trial registries were searched on 26 July 2024, along with reference checking, citation searching and contacting authors to identify additional studies. Selection criteria We considered two groups of participants: health professionals involved in CPW utilization, including (but not limited to) physicians, nurses, physiotherapists, pharmacists, occupational therapists and social workers; and patients managed using a CPW. We included randomized trials, non‐randomized trials, controlled before‐after (CBA) studies, and interrupted time‐series (ITS) studies comparing (1) stand‐alone clinical pathways with usual care, and (2) clinical pathways as part of a multifaceted intervention with usual care. Data collection and analysis Two authors independently screened all titles, abstracts and full‐text manuscripts to assess eligibility and the methodological quality of included studies using the Cochrane Effective Practice and Organization of Care 'Risk of Bias' tool. Certainty of evidence was assessed by two authors independently. Interventions were scored as 'high', 'moderate' or 'low' for the evidence‐based implementation process. Main results The update provided 31 additional studies for a total of 58 included studies (24,841 patients and 2027 healthcare professionals). Forty‐one (71%) were randomized trials, four (7%) non‐randomized trials, four (7%) CBA studies and nine (16%) ITS studies. Forty‐nine studies compared stand‐alone CPWs to usual care and nine compared multifaceted interventions including a CPW to usual care. Collectively, the risk of bias was high due to potential contamination by healthcare professionals, lack of blinding of patients and personnel, lack of allocation concealment and selective reporting in ITS studies. Stand‐alone clinical pathway interventions It is uncertain whether stand‐alone CPWs reduce inhospital mortality (13% v 16%: OR 0.79, 95% CI 0.53 to 1.20; P = 0.27; I² = 65%; 7 randomized trials; n = 4603; low‐certainty evidence due to serious imprecision and inconsistency) or mortality (up to 6 months) (4% v 3%: OR 1.37, 95% CI 0.72 to 2.60; P = 0.34; I² = 20%; 3 randomized trials, n = 805; low‐certainty evidence due to serious risk of bias and imprecision). Stand‐alone CPWs likely reduce inhospital complications (10% v 17%: OR 0.57, 95% CI 0.41 to 0.80; P = 0.001; I² = 52%; 11 randomized trials, n = 3668; moderate‐certainty evidence due to serious risk of bias). It is very uncertain whether stand‐alone CPWs reduce hospital readmissions (up to 6 months) (9% v 13%: OR 0.67, 95% CI 0.44 to 1.03; P = 0.07; I² = 11%; 9 randomized trials, n = 1578; very low‐certainty evidence due to serious risk of bias and very serious imprecision). Stand‐alone CPWs likely reduce the length of hospital stay compared to usual care (MD ‐1.12 days, 95% CI ‐1.60 to ‐0.65; P &lt; 0.00001; I² = 64%; 21 studies; n = 5201; moderate‐certainty evidence due to serious inconsistency). Costs and charges were generally lower in CPWs as indicated by negative MDs in nine studies (10 studies, n = 2113, data not pooled; very low‐certainty evidence due to serious indirectness and very serious inconsistency). Stand‐alone CPWs may slightly increase adherence to recommended practice compared with usual care (3 randomized studies, n = 573; data not pooled; low‐certainty evidence due to serious risk of bias and serious inconsistency). Multifaceted clinical pathway interventions It is uncertain whether multifaceted CPWs reduce inhospital mor ality (2 randomized studies, n = 6304, data not pooled; low‐certainty evidence due to very serious inconsistency). Multifaceted CPWs may make little or no difference to mortality (up to 6 months) (9% v 8%: OR 1.05, 95% CI 0.88 to 1.25; P = 0.61; I² = 0%; 3 randomized studies; n = 6531; low‐certainty evidence due to serious imprecision and serious risk of bias). It is uncertain whether multifaceted CPWs reduce inhospital complications (9% v 23%: OR 0.32, 95% CI 0.12 to 0.87; 1 study, n = 140; low‐certainty evidence due to very serious imprecision). It is uncertain whether multifaceted CPWs reduce hospital readmission (up to 6 months) (2 randomized studies, n =1569, data not pooled; low‐certainty evidence due to very serious inconsistency), or length of stay (4 randomized studies, n = 1936, data not pooled; low‐certainty evidence due to very serious inconsistency), or hospital costs and charges (4 randomized studies, n = 2015, data not pooled; very low‐certainty evidence due to very serious imprecision and serious indirectness in outcome measures). It is uncertain whether multifaceted CPWs increase adherence to recommended practice (2 randomized studies, n = 6304, data not pooled, low‐certainty evidence due to very serious inconsistency). Key study characteristics The highest proportion of included studies were from the USA (36%), followed by Australia (10%), China (10%), Japan (5%), the UK (5%), Canada (5%), Italy (5%), and Germany (5%). More than half of the included studies tested CPW in general acute wards (53%), followed by emergency departments (17%), intensive care (14%), and extended‐stay facilities (10%). The most common clinical conditions were asthma (16%), stroke (10%), mechanical ventilation (9%) and myocardial infarction (7%). Authors' conclusions Stand‐alone CPWs are likely to reduce inhospital complications and length of hospital stay and may slightly increase adherence to recommended practice. There was little conclusive evidence for multifaceted CPWs due to mixed results from a limited number of included studies. It is uncertain whether stand‐alone CPWs or CPWs, as part of a multifaceted approach, reduce inhospital mortality, mortality (up to 6 months), hospital readmission (up to 6 months) or costs and charges. Plain language summary Effects of clinical pathways in hospitals on patient outcomes, length of hospital stay, hospital costs and charges, and adherence to recommended practice. What is the aim of this review? Clinical pathways (CPW) are document‐based tools that provide a link between the best available evidence and clinical practice. They provide recommendations, processes and time frames for the management of specific medical conditions or interventions. This review update aimed to summarize the evidence and assess the effect of clinical pathways on patient outcomes (inhospital mortality, mortality (up to 6 months), inhospital complications, and hospital readmissions (up to 6 months)), length of hospital stay, hospital costs and charges, and professional practice (i.e. healthcare professionals adhering to recommended practice), compared to hospital care as usual. Also, we identified and compared different implementation strategies. We included patients in hospitals that were treated according to (1) the recommendations of a CPW, or (2) a CPW that has been implemented together with other interventions, such as a case manager or quality improvement initiatives. We analyzed 58 studies (24,841 patients and 2027 healthcare professionals), of which 27 were included in a previously published review (Rotter 2010) and 31 were retrieved for this update. This is the first update of the previous review. Key messages CPWs might have the potential to improve patient outcomes, and they may reduce length of hospital stay, hospital costs, and improve adherence to recommended practice. But we still need more high‐quality studies that report on implementation strategies used during the pathway development and implementation. What was studied in the review? Decision‐making in hospitals h s evolved from being opinion‐based to being based on sound scientific evidence (i.e. evidence‐based practice). Hospitals incorporate evidence into clinical pathways for health professionals to follow. They have been implemented worldwide but the evidence about their impact from single trials is contradictory. Perpetual publication of new evidence combined with the demands of everyday practice makes it difficult for health professionals to keep up to date. Included study designs were individual and cluster‐randomized studies, non‐randomized studies, controlled before‐after studies (CBA), and interrupted time‐series studies (ITS). In individual randomized trials, study participants were allocated to the CPW or usual care group by chance, called random allocation. Cluster‐randomized trials divided all study participants into smaller groups known as clusters. These clusters were then allocated by chance to the CPW or usual care group. For non‐randomized trials, participants were allocated to different groups by investigators in a quasi‐random fashion. Quasi‐random allocation means that study participants were allocated to the CPW or usual care group based on criteria such as their date of birth or the day of the week. CBA studies are experimental studies without a random or quasi‐random allocation process. Data are collected from the CPW and usual care group before the CPW was implemented, and then further data were collected after the CPW was introduced. ITS studies represent a robust method of measuring the effect of a CPW as a trend over time. All included studies tested the impact of clinical pathways used in hospitals on one or more of the prespecified outcomes: inhospital mortality, mortality (up to 6 months), inhospital complications, hospital readmissions (up to 6 months), length of hospital stay, hospital costs and charges, and adherence to recommended practice. Studies focused on the change in outcome measures following the implementation of a stand‐alone clinical pathway or a multifaceted clinical pathway combined with other interventions compared to usual care. What are the main results of the review? We found 58 studies that measured the effects of clinical pathways on included outcomes. The main results are that, compared to usual care, it is uncertain if the implementation of a stand‐alone clinical pathway has any effect on in‐hospital mortality and mortality (up to 6 months) (low certainty). Stand‐alone CPWs are likely to reduce inhospital complications (moderate certainty) but it is very uncertain if they make any difference to hospital readmissions (up to 6 months) (very low certainty). Stand‐alone CPWs are likely to reduce length of hospital stay (moderate certainty). Costs and charges were generally lower in CPWs in nine out of ten studies included in this comparison (very low certainty). Stand‐alone CPWs may also slightly increase adherence to recommended practice (low certainty). For multifaceted clinical pathways compared to usual care, it is uncertain whether there is a reduction in inhospital mortality (low certainty) and they may make little or no difference to mortality (up to 6 months) (low certainty). It is uncertain whether CPWs that have been combined with other interventions reduce inhospital complications (low certainty) or hospital readmissions (up to 6 months) (low certainty). It is also uncertain if they reduce length of hospital stay (low certainty), hospital costs and charges (very low certainty), and adherence to recommended practice (low certainty), compared to usual care. How up‐to‐date is this review? This review update searched for new studies up to July 26, 2024.</t>
  </si>
  <si>
    <t>Purpose: Musculoskeletal (MSK) conditions and injuries are a leading cause of disability globally, with the prevalence continuing to rise due to an increasing ageing population. This consequently increases the demands placed on health services to manage widespread physical disability to support those affected. In the UK, the NHS spends approximately 5bn a year treating MSK conditions, accounting for one of the largest areas of NHS expenditure and the biggest areas of workload. Home exercise programmes (HEPs) are a key component of evidence-based management of MSK conditions. However, effectiveness of treatment relies on patient adherence to these exercise programmes with the wider literature suggesting non-adherence rates may be as high as 70%. Adherence to physiotherapy interventions proves to be a complex issue and the reasons for poor adherence are shown to be multi-faceted. An avenue of exploration is the method of HEP delivery, which traditionally has been by verbal instruction often with a paper handout, although the use of digitised methods (e.g. smartphone Apps) are becoming more popular. Therefore, the purpose of this review was to understand if sufficient HEP adherence can be achieved when delivered via a printed format compared to alternate methods or physiotherapy interventions, specifically among adults treated for a MSK condition/injury. Method(s): This systematic review conducted according to the Preferred Reporting Items for Systematic Reviews and Meta-Analyses (PRISMA) guidelines. Six databases were searched from inception to April 2024: CINAHL, MEDLINE, Academic Search Complete, SPORTDiscus, PsycINFO and PubMed. Randomised clinical trials comparing HEPs delivered via paper handout versus alternate delivery methods or physiotherapy interventions, and the effect on adherence rates, were included. Methodological quality and certainty of evidence were assessed by one reviewer using the Cochrane RoB2 tool and modified GRADE approach, respectively. Result(s): Fifteen studies were included for review, categorised based on the type of intervention compared to paper handout, e.g., smart-device Apps/other digitised methods, supervised exercise, SMS/phone reminders. The findings suggest that while the use of paper handouts is superior to verbal instruction alone, Apps with more extensive functionalities, such as, remote monitoring, self-recording abilities and reminder notifications may promote even greater HEP adherence rates. However, studies were either of 'some concern' or 'high' risk of bias, and the overall quality (certainty) of evidence was determined to be 'low', meaning the ability to draw firm conclusions and recommendations is limited. Conclusion(s): Apps may potentially facilitate better adherence rates, but further high-quality research is required to firmly recommend a HEP delivery method. Clinicians should tailor their approaches specific to patients' needs and profiles, gaining an understanding of their patients' previous experiences, expectations and self-efficacy. Impact: The project highlights the need for more high-quality research in this important area of exercise therapy adherence. Methods of improving the currently poor adherence rates need to be established. Cost-effectiveness of such methods should also be researched prior to any widespread implementation. Facilitating better patient adherence with home-exercise treatment can lead to improved patient outcomes and self-management, which in turn can reduce healthcare provider burden and expenditure. Funding acknowledgements: No funding required. Work not funded. Keywords: Home-exercise, Adherence, Musculoskeletal conditions Copyright © 2025</t>
  </si>
  <si>
    <t>J6214</t>
  </si>
  <si>
    <t>Comparing remote and in-person interpretation experiences for clinicians and Spanish-speaking patients with limited English proficiency: A mixed methods study</t>
  </si>
  <si>
    <t>Objective There is concern that remote medical interpretation is not as patient-centred as in-person interpretation, but limited evidence exists comparing interpreter service delivery methods. Using mixed methods, remote and in-person professional medical interpretation were examined from the perspectives of Spanish-speaking patients with limited English proficiency and community health centre (CHC) clinicians. Design Patient experience survey data from Spanish-speaking patients and interviews of primary care clinicians assessed their experiences of using remote versus in-person interpretation. Multivariable regression models estimated the association of the interpreter method with patient-reported experiences of (1) clinician communication and (2) interpreter support. Setting Three CHC organisations in California, USA. Intervention Remote versus in-person medical interpretation. Primary outcomes Patients' and clinicians' experiences of using in-person versus remote professional medical interpretation. Results We recruited 303 Spanish-speaking patients (mean age: 40.4, % female: 69.0%) to complete a survey assessing their experiences with professional medical interpretation and 19 clinicians who used professional medical interpretation for interviews. In regression analyses of patient experience survey data, no evidence of an association between the interpreter method used and patient-reported experiences of clinician communication or interpreter support was found. In interviews, however, clinicians strongly preferred in-person interpreters and highlighted operational and communication challenges associated with using remote interpreters. Interviews revealed six themes related to interpreter services delivery methods: (1) in-person interpretation supports effective communication and clinician-patient relationships, (2) in-person interpretation enhances operational efficiency, (3) cost-effectiveness of delivery methods depends on language demand and clinic needs, (4) in-person interpretation enhances quality control and reduces privacy risks, (5) considerations when integrating external personnel and (6) the availability of and limited use of audio-video medical interpretation. Conclusions To meet the operational needs of CHCs, policymakers and healthcare payers should consider expanding payment models that enable the provision of interpreter services using multiple methods. Copyright © Author(s) (or their employer(s)) 2025.</t>
  </si>
  <si>
    <t>J6215</t>
  </si>
  <si>
    <t>Comparing remote and in-person interpretation experiences for clinicians and Spanish-speaking patients with limited English proficiency: a mixed methods study</t>
  </si>
  <si>
    <t>&lt;b&gt;OBJECTIVE&lt;/b&gt;: There is concern that remote medical interpretation is not as patient-centred as in-person interpretation, but limited evidence exists comparing interpreter service delivery methods. Using mixed methods, remote and in-person professional medical interpretation were examined from the perspectives of Spanish-speaking patients with limited English proficiency and community health centre (CHC) clinicians._x000D_
&lt;b&gt;DESIGN&lt;/b&gt;: Patient experience survey data from Spanish-speaking patients and interviews of primary care clinicians assessed their experiences of using remote versus in-person interpretation. Multivariable regression models estimated the association of the interpreter method with patient-reported experiences of (1) clinician communication and (2) interpreter support._x000D_
&lt;b&gt;SETTING&lt;/b&gt;: Three CHC organisations in California, USA._x000D_
&lt;b&gt;INTERVENTION&lt;/b&gt;: Remote versus in-person medical interpretation._x000D_
&lt;b&gt;PRIMARY OUTCOMES&lt;/b&gt;: Patients' and clinicians' experiences of using in-person versus remote professional medical interpretation._x000D_
&lt;b&gt;RESULTS&lt;/b&gt;: We recruited 303 Spanish-speaking patients (mean age: 40.4, % female: 69.0%) to complete a survey assessing their experiences with professional medical interpretation and 19 clinicians who used professional medical interpretation for interviews. In regression analyses of patient experience survey data, no evidence of an association between the interpreter method used and patient-reported experiences of clinician communication or interpreter support was found. In interviews, however, clinicians strongly preferred in-person interpreters and highlighted operational and communication challenges associated with using remote interpreters. Interviews revealed six themes related to interpreter services delivery methods: (1) in-person interpretation supports effective communication and clinician-patient relationships, (2) in-person interpretation enhances operational efficiency, (3) cost-effectiveness of delivery methods depends on language demand and clinic needs, (4) in-person interpretation enhances quality control and reduces privacy risks, (5) considerations when integrating external personnel and (6) the availability of and limited use of audio-video medical interpretation._x000D_
&lt;b&gt;CONCLUSIONS&lt;/b&gt;: To meet the operational needs of CHCs, policymakers and healthcare payers should consider expanding payment models that enable the provision of interpreter services using multiple methods.</t>
  </si>
  <si>
    <t>J6216</t>
  </si>
  <si>
    <t>Early discharge with home support of gavage feeding for stable preterm infants who have not established full oral feeds</t>
  </si>
  <si>
    <t>- Rationale Many preterm infants otherwise ready for discharge remain hospitalised while they transition from gavage to full sucking feeds. Early discharge of stable preterm infants still requiring gavage feeds may have some benefits: it could reduce separation of parents and infants and reduce costs to the healthcare system and families compared with discharge home when on full sucking feeds. Potential disadvantages of early discharge include increased care burden for the family and the risk of complications related to gavage feeding. This is an update of a review first published in 2003 and last updated in 2015. Objectives To assess the effectiveness and safety of early discharge with home support of gavage feeding for stable preterm infants who have not established full oral feeds compared with later discharge when full sucking feeds have been established. Search methods We searched CENTRAL, MEDLINE, Embase, CINAHL, and trial registries up to May 2024. We checked the reference lists of included studies and relevant systematic reviews. Eligibility criteria We included randomised controlled trials (RCTs) and quasi‐RCTs that enroled infants born before 37 weeks who required no intravenous nutrition at the time of discharge. The comparison of interest was early discharge home with gavage feeds and healthcare support versus later discharge home after attainment of full sucking feeds. Outcomes Critical outcomes were time to reach full sucking feeds, weight gain at latest time point measured, and breastfeeding on discharge from home support or hospital. Important outcomes included infection up to discharge (e.g. respiratory infections, use of intravenous antibiotics), breastfeeding at three months after discharge, rehospitalisation up to 12 months after discharge, and composite neurodevelopmental outcome at 12 months or later. Risk of bias Two review authors independently screened and selected trials, extracted data, and assessed the risk of bias using the Cochrane risk of bias tool RoB 1. Synthesis methods We presented dichotomous data as summary risk ratios (RRs) with 95% confidence intervals (CIs), and continuous data as mean differences (MDs) with 95% CIs. We used the GRADE approach to assess the certainty of the evidence. Included studies There were no new studies available for inclusion in this update. As in the original review, we included one quasi‐RCT (88 infants, 75 families) evaluating early discharge with home support of gavage feeding (early discharge with support) versus later discharge on full sucking feeds (later discharge) in physiologically stable preterm infants born before 37 weeks' gestation with an anticipated need for special care for at least one additional week. The study was conducted in Sweden in the 1990s. Synthesis of results Critical outcomes Time to reach full sucking feeds was not reported. Early discharge with support compared with later discharge may have little or no effect on daily weight gain from trial entry to discharge from home support or hospital, but the evidence is very uncertain (MD −1.10 g/day, 95% CI −3.94 to 1.74; 88 infants). Early discharge with support compared with later discharge may have little or no effect on the risk of stopping any breastfeeding (RR 0.50, 95% CI 0.10 to 2.58; 82 infants) and stopping fully breastfeeding (RR 1.30, 95% CI 0.64 to 2.62; 82 infants) on discharge from home support or hospital, but the evidence is very uncertain. Important outcomes Early discharge with support compared with later discharge may reduce the risk of respiratory infections (RR 0.36, 95% CI 0.15 to 0.83; 88 infants) and may have little or no effect on intravenous antibiotic use (RR 0.19, 95% CI 0.01 to 3.87; 88 infants) up to discharge from home support or hospital, but the evidence for both outcomes is very uncertain. Early discharge with support compared with later discharge may have little or no effect on the risk of stopping any breastfeeding (RR 1.60, 95% CI 0.57 to 4.48; 82 infants) or fully breastfeeding (RR 1.33, 95% CI 0.51 to 3.50; 82 infants) at hree months after discharge from home support or hospital, but the evidence is very uncertain. Early discharge with support compared with later discharge may have little or no effect on the need for rehospitalisation during the 12 months after discharge from home support or hospital, but the evidence is very uncertain (RR 1.09, 95% CI 0.54 to 2.18; 82 infants). The included study did not report a composite neurodevelopmental outcome at 12 months or later. Certainty of the evidence We rated the certainty of the evidence as very low for all outcomes due to risk of bias concerns and the imprecision of effect estimates from this small study. Authors' conclusions The currently available evidence, from one small quasi‐RCT conducted in the 1990s, indicates early discharge with home support of gavage feeding compared with later discharge on full sucking feeds may result in little to no difference in weight gain up to discharge from home support/hospital, breastfeeding at discharge and at three months, and rehospitalisation up to 12 months. Early discharge with support versus later discharge may reduce the risk of respiratory infections but result in little to no difference in intravenous antibiotic use up to discharge from home support/hospital. The evidence for all outcomes is very uncertain. There is a need for high‐quality RCTs to determine the benefits and harms of early discharge with home support for stable preterm infants in diverse settings and populations. The two ongoing studies (one completed but unpublished, the other with an unclear status) may contribute to addressing some of these gaps. Funding The review authors received no specific grant from any funding agency in the public, commercial, or not‐for‐profit sectors for their work on this review update. Registration The 2003 and 2015 versions are available via 10.1002/14651858.CD003743 and 10.1002/14651858.CD003743.pub2. Plain language summary What are the benefits and risks of early discharge with home support of tube feeding for stable preterm babies who have not established full breast or bottle (all suck) feeds? Key messages For stable preterm babies (born before 37 weeks of pregnancy) who are not yet having all feeds at the breast or bottle (all suck or oral feeds), we found very uncertain evidence that early discharge with home support of gavage (tube) feeding versus later discharge when they are fully suck feeding: may result in little to no difference in weight gain, breastfeeding at discharge from home support/hospital and three months later, and the need to be readmitted to hospital up to 12 months later; and may reduce the risk of respiratory infections up to discharge from home support/hospital, but may result in little to no difference in the use of antibiotics given directly into a vein. Larger studies with high‐quality methods are needed to determine the benefits and harms of this approach, including in diverse settings and populations. Why might early discharge with home support of gavage feeding be important? Babies born preterm (before 37 weeks of pregnancy) often need help to establish feeding, and are fed initially via a tube passed through the nose or mouth and into the stomach (known as gavage feeding). Discharge from hospital usually occurs when they no longer need gavage feeds and are on full sucking feeds and gaining weight appropriately. Early discharge of babies who are stable but still need gavage feeds might unite families sooner and have positive effects on parent‐infant attachment, parent well‐being, and infant development. These babies may graduate to full sucking feeds at home if the family receives some support. In addition, early discharge might reduce costs for families and the healthcare system. However, this approach may present a burden for the family and increase complications during the transition from tube feeding. What did we want to find out? We wanted to find out if early discharge with home support of gavage feeding is better than later discharge on full sucking feeds for stable preterm babies. We were int rested in the effects of early discharge with support on: how long it takes for babies to reach full sucking feeds; how much weight babies gain; breastfeeding on discharge from home support/hospital and three months later; infection up to discharge from home support/hospital; development at 12 months or later; and need for readmission to hospital up to 12 months after discharge from home support/hospital. What did we do? We searched for studies that looked at the benefits and harms of early discharge with home support of gavage feeding for stable preterm babies and their families compared with later discharge on full sucking feeds. We summarised the results and rated our confidence in the evidence based on factors such as study methods and size. What did we find? We found only one study conducted in Sweden from 1992 to 1994 and involving 88 babies from 75 families. The study looked at early discharge with home support of gavage feeding compared with later discharge on full sucking feeds for babies born preterm who were expected to need additional care for at least another week. For different results, information was available for 82 to 88 of the babies from this study. Compared with later discharge on full sucking feeds, early discharge with home support of gavage feeding may have little or no effect on: weight gain for babies (average per day from study entry to discharge from home support/hospital); stopping any breastfeeding and fully breastfeeding at discharge from home support/hospital and three months later; the use of antibiotics given directly into a vein; and the need for readmission to hospital up to 12 months after discharge from home support/hospital. Early discharge with support versus later discharge may reduce the risk of respiratory infections (diagnosed based on symptoms, not laboratory tests) for babies up to discharge from home support/hospital. The study did not examine the time taken for babies to reach full sucking feeds or development at 12 months or later. We found two other studies that might be included in a future update of this review. One study is finished but not yet published. We do not know whether the other study is completed because the study authors have yet to reply to our request for information. What are the limitations of the evidence? We are not confident in the evidence because it is based on a single study that included few infants, because the method for assigning babies to one group or the other was not truly random, and because the families and clinicians knew which group the babies had been assigned to. The results of further research could differ from and change the results of this review. How up‐to‐date is this evidence? This review updates our previous 2015 review. The evidence is current to 30 May 2024.</t>
  </si>
  <si>
    <t>J6217</t>
  </si>
  <si>
    <t>Genetic liability to psoriasis predicts severe disease outcomes</t>
  </si>
  <si>
    <t>Background Psoriasis is a common inflammatory skin disease with heterogeneous presentation. Up to 30% of individuals have severe disease with a greater surface area of skin involvement, comorbidity burden and impact on quality of life. Prognostic biomarkers of psoriasis severity could improve allocation of clinical resources and enable earlier intervention to prevent disease progression, and a genetic biomarker would be cost-effective, stable over time, and unaffected by treatment or comorbidity. Methods Psoriasis severity was studied in four European population-based biobanks and classified based on level of clinical intervention received, with criteria for severe disease including hospitalisation due to psoriasis, use of systemic immunomodulating therapy or phototherapy. Common genetic variants, polygenic risk scores and traditional epidemiological risk factors were tested for association with severe psoriasis in each of the constituent biobanks and combined through meta-analysis. The distribution of psoriasis polygenic risk was also evaluated in a cohort of 4 151 participants in the UK-based severe psoriasis registry, BSTOP. Results In the population-based datasets, 9 738 of 44 904 individuals with psoriasis (21.7%) were classified as having severe disease. Genetic variants within the major histocompatibility complex (MHC) and the TNIP1 and IL12B psoriasis susceptibility loci were associated with severe disease at genome-wide significance (P&lt;5.0x10&lt;sup&gt;-8&lt;/sup&gt;). Furthermore, a strong positive correlation was observed between psoriasis susceptibility and severity effect sizes across all psoriasis susceptibility loci. An individual's genetic liability to psoriasis as measured with a polygenic risk score (PRS) strongly associated with disease severity, with a magnitude of effect comparable to established severity risk factors such as obesity and smoking. The top 5% of psoriasis cases by genetic liability to psoriasis were 1.23-to-2.00 times as likely than the average psoriasis case to have severe disease. Psoriasis cases in the BSTOP severe disease registry were 3.10-fold enriched for a PRS that exceeded the 95th percentile established among UK Biobank psoriasis cases. Conclusions The psoriasis susceptibility PRS demonstrates utility, and may be more effective than established epidemiological factors, as a stratification tool to identify those individuals that are at greatest risk of severe disease and may benefit most from early intervention. Copyright The copyright holder for this preprint is the author/funder, who has granted medRxiv a license to display the preprint in perpetuity. It is made available under a CC-BY-NC-ND 4.0 International license.</t>
  </si>
  <si>
    <t>- Background People undergoing major orthopaedic surgery are at increased risk of postoperative thromboembolic events. Low molecular weight heparins (LMWHs) are recommended for thromboprophylaxis in this population. New oral anticoagulants, including direct factor Xa inhibitors, are recommended as alternatives. They may have more advantages than disadvantages compared to LMWHs and vitamin K antagonists (VKAs, another type of anticoagulant). Objectives To assess the benefits and harms of prophylactic anticoagulation with direct factor Xa inhibitors compared with low molecular weight heparins and vitamin K antagonists in people undergoing major orthopaedic surgery for elective total hip or knee replacement or hip fracture surgery. Search methods We searched the Cochrane Vascular Specialised Register, CENTRAL, MEDLINE, Embase, two other databases, and two trial registers to 11 November 2023. We conducted reference checks to identify additional studies. Selection criteria We included randomised controlled trials (RCTs) comparing the effects of direct factor Xa inhibitors to LMWHs or VKAs in people undergoing major orthopaedic surgery. Data collection and analysis We used standard Cochrane methods. Our primary outcomes were all‐cause mortality, major venous thromboembolism (VTE), symptomatic VTE, major bleeding, and serious hepatic and non‐hepatic adverse events. We evaluated the risk of bias in the included studies using Cochrane's risk of bias 1 tool. We calculated estimates of treatment effects using risk ratios (RR) with 95% confidence intervals (CIs), and used GRADE criteria to assess the certainty of the evidence. Main results We included 53 RCTs (44,371 participants). Participants' average age was 64 years (range: 18 to 93 years). Only one RCT compared a VKA with direct factor Xa inhibitors. All 53 RCTs compared direct factor Xa inhibitors with LMWHs. Twenty‐three studies included participants undergoing total hip replacement; 21 studies, total knee replacement; and three studies included people having hip fracture surgery. The studies' average duration was approximately 42 days (range: two to 720 days). Compared to LMWHs, direct factor Xa inhibitors may have little to no effect on all‐cause mortality, but the evidence is very uncertain (RR 0.83, 95% CI 0.52 to 1.31; I 2 = 0%; 28 studies, 29,698 participants; very low‐certainty evidence). Direct factor Xa inhibitors may make little to no difference to major venous thromboembolic events compared to LMWHs, but the evidence is very uncertain (RR 0.51, 95% CI 0.37 to 0.71; absolute risk difference: 12 fewer major VTE events per 1000 participants, 95% CI 16 fewer to 7 fewer; I 2 = 48%; 28 studies, 24,574 participants; very low‐certainty evidence). Compared to LMWHs, direct factor Xa inhibitors may reduce symptomatic VTE (RR 0.64, 95% CI 0.50 to 0.83; I 2 = 0%; 33 studies, 31,670 participants; low‐certainty evidence). The absolute benefit of substituting factor Xa inhibitors for LMWHs may be between two and five fewer symptomatic VTE episodes per 1000 patients. In the meta‐analysis with all studies pooled, direct factor Xa inhibitors appeared to make little or no difference to major bleeding compared to LMWHs, but the evidence was very uncertain (RR 1.05, 95% CI 0.86 to 1.30; I 2 = 15%; 36 studies, 39,778 participants; very low certainty‐evidence).  • In a subgroup analysis limited to studies comparing rivaroxaban to LMWHs, people given rivaroxaban may have had more major bleeding events (RR 1.94, 95% CI 1.26 to 2.98; I 2 = 0%; 17 studies, 17,630 participants; low‐certainty evidence). The absolute risk of substituting rivaroxaban for LMWH may be between one and seven more major bleeding events per 1000 patients.  • In a subgroup analysis limited to studies comparing direct factor Xa inhibitors other than rivaroxaban to LMWHs, people given these other direct factor Xa inhibitors may have had fewer major bleeding events, but the evidence was very uncertain (RR 0.80, 95% CI 0.63 to 1.02; absolute risk difference: 3 fewer major bl eding events per 1000 participants, 95% CI 5 fewer to 0 fewer; I 2 = 0%; 19 studies, 22,148 participants; very low‐certainty evidence). Direct factor Xa inhibitors may make little to no difference in serious hepatic adverse events compared to LMWHs, but the evidence is very uncertain (RR 3.01, 95% CI 0.12 to 73.93; 2 studies, 3169 participants; very low‐certainty evidence). Only two studies reported this outcome, with one death in the intervention group due to hepatitis reported in one study, and no events reported in the other study. People given direct factor Xa inhibitors may have a lower risk of serious non‐hepatic adverse events than those given LMWHs (RR 0.89, 95% CI 0.81 to 0.97; I 2 = 18%; 15 studies, 26,246 participants; low‐certainty evidence). The absolute benefit of substituting factor Xa inhibitors for LMWH may be between three and 14 fewer serious non‐hepatic adverse events per 1000 patients. Only one study compared a direct factor Xa inhibitor with a VKA. It reported outcome data with imprecise results due to the small number of events. It showed no difference in the effects of the study drugs. Authors' conclusions Oral direct factor Xa inhibitors may have little to no effect on all‐cause mortality, but the evidence is very uncertain. Oral direct factor Xa inhibitors may slightly reduce symptomatic VTE events when compared with LMWH. They may make little or no difference to major VTE events, but the evidence is very uncertain. In the evaluation of major bleeding, the evidence suggests rivaroxaban results in a slight increase in major bleeding events compared to LMWHs. The remaining oral direct factor Xa inhibitors may have little to no effect on major bleeding, but the evidence is very uncertain. Oral direct factor Xa inhibitors may reduce serious non‐hepatic adverse events slightly compared to LMWHs. They may have little to no effect on serious hepatic adverse events, but the evidence is very uncertain. Due to the high rates of missing participants and selective outcome reporting, the effect estimates may be biased. Plain language summary Direct factor Xa inhibitors or classic 'blood thinners': which leads to better outcomes for people undergoing major hip or knee surgery? Key messages • We do not know if classic anticoagulant medicines (commonly known as 'blood thinners') or newer blood‐thinning medicines called 'direct factor Xa inhibitors' (DFXa inhibitors) are better at preventing death or the development of blood clots in the deep veins of the legs or in the lungs of people who have had hip or knee replacement surgery. • Compared to classic anticoagulants, DFXa inhibitors may slightly reduce the number of people who experience blood clot symptoms (such as breathing difficulties or pain). One type of DFXa inhibitor, rivaroxaban, may slightly increase the number of people who have serious uncontrolled bleeding. Why are blood clots a concern for people having major hip or knee surgery? 'Venous thromboembolism' is when a blood clot forms in a vein, the vessels that carry blood back to the heart. Clots can narrow or block veins, leading to tissue damage, stroke, and death. People having hip or knee replacement surgery, or an operation to fix a broken hip, are at a higher risk of developing a blood clot. How can blood clots be prevented and treated? People undergoing major hip or knee surgery are typically given an anticoagulant medicine, commonly known as a 'blood thinner', to help prevent blood clots from forming. There are two main types of 'classic' anticoagulants: (1) low molecular weight heparins (LMWHs), which are injected with a needle at a fixed dose; and (2) vitamin K antagonists (VKAs), given by mouth in variable amounts. Newer anticoagulant medicines known as direct factor Xa inhibitors have been developed. They are given by mouth in fixed doses. Rivaroxaban and apixaban are types of DFXa inhibitors. What did we want to find out? We wanted to find out if DFXa inhibitors were better than classic anticoagulants at reducing the number of people who (1) died from any cause aft r major hip or knee surgery, and (2) developed blood clots or symptoms of blood clots (e.g. breathing difficulties and pain). We also wanted to find out if DFXa inhibitors were associated with any unwanted effects, including uncontrolled bleeding, serious liver disease, and other serious unwanted events. What did we do? We searched for studies that compared DFXa inhibitors with classic anticoagulants in people undergoing hip or knee surgery. We compared and summarised the results of the studies and rated our confidence in the evidence, based on factors such as study methods and sizes. What did we find? We found 53 studies that involved 44,371 adults who had hip or knee replacement surgery, and had a high risk of developing blood clots in their lungs, legs, or pelvis. They received anticoagulant treatment for 6 to 39 days, and follow‐up lasted for an average of 42 days. All 53 studies compared DFXa inhibitors with low molecular weight heparins (LMWHs). Just one study also investigated the VKA called warfarin. The biggest study involved 5407 participants, and the smallest study, 50 participants. They were conducted in countries unevenly distributed around the world; most were done in high‐income regions. Roughly one‐third of participants (31%) were male. Participants' average age was 64 years. Pharmaceutical companies funded half of the studies (27 of 53). Main results Compared to LMWHs, we do not know if DFXa inhibitors reduce the number of people who: • die from any cause after surgery, or • develop blood clots in the lungs or deep veins of the leg or pelvis because the evidence is very uncertain. Compared to LMWHs, DFXa inhibitors may slightly reduce the number of people who have blood clot symptoms: between 2 and 5 fewer people out of every 1000 people given DFXa inhibitors would have blood clot symptoms compared to people given LMWHs. The DFXa inhibitor rivaroxaban may slightly increase the number of people who have major uncontrolled bleeding compared to LMWHs. Between 1 and 7 more people out of every 1000 people given rivaroxaban may have uncontrolled bleeding compared to those given LMWHs. The other DFXa inhibitors may have little to no effect on major bleeding, but the evidence is very uncertain. Compared to LMWHs, DFXa inhibitors may have little to no effect on serious unwanted events affecting the liver, but the evidence is very uncertain. They may slightly reduce other serious, non‐liver‐related events compared to LMWHs. Between 3 and 14 fewer people out of every 1000 people given DFXa inhibitors would have serious, non‐liver‐related events compared to people given LMWHs. We did not find enough studies investigating VKAs to help us answer our questions. What are the limitations of the evidence? We have little confidence in the evidence because people in some studies were aware of which treatment they were getting. Most studies did not have a complete set of results for all participants. There were insufficient studies to be certain about the results of some outcomes. How current is this evidence? The evidence is current to November 2023.</t>
  </si>
  <si>
    <t>Prevention/community</t>
  </si>
  <si>
    <t>No shift - could be community</t>
  </si>
  <si>
    <t>Community/Prevention</t>
  </si>
  <si>
    <t>Prevent?</t>
  </si>
  <si>
    <t>No shift, could be Community?</t>
  </si>
  <si>
    <t>No shift, could be Prevention</t>
  </si>
  <si>
    <t>Community (via telephone)</t>
  </si>
  <si>
    <t>Prevent</t>
  </si>
  <si>
    <t>Prevention? - could be no shift</t>
  </si>
  <si>
    <t>no shift</t>
  </si>
  <si>
    <t>No shift - could be prevention</t>
  </si>
  <si>
    <t>could be Prevent</t>
  </si>
  <si>
    <t>Community?</t>
  </si>
  <si>
    <t>Digital/Community</t>
  </si>
  <si>
    <t>Digital/Prevention/Community</t>
  </si>
  <si>
    <t>Digital?</t>
  </si>
  <si>
    <t>8 false positives</t>
  </si>
  <si>
    <t>Focuses on economic evaluation of antipsychotics, not NHS shifts.</t>
  </si>
  <si>
    <t>- Background Measurement of cervical length by ultrasound is predictive of preterm birth (PTB). There are three methods of ultrasound cervical assessment: transvaginal (TVU), transabdominal (TAU), and transperineal (TPU, also called translabial). Cervical length measured by TVU is a relatively new screening test, and has been associated with better prediction of PTB than previously available tests. It is unclear if cervical length measured by ultrasound is effective for preventing PTB. This is an update of a review last published in 2013. Objectives To assess the effectiveness of antenatal management based on transvaginal, transabdominal, and transperineal (also called translabial) ultrasound screening of cervical length for preventing preterm birth. Search methods For this update, we searched the Cochrane Pregnancy and ChildbirthÃƒÂ¢Ã¢â€šÂ¬Ã¢â€žÂ¢s Trials Register, ClinicalTrials.gov , and the WHO International Clinical Trials Registry Platform ( ICTRP ) to 30 August 2018; reviewed the reference lists of all articles, and contacted experts in the field for additional and ongoing trials. Selection criteria We included published and unpublished randomised controlled trials (RCT) including pregnant women between the gestational ages of 14 to 32 weeks, for whom the cervical length was screened for risk of PTB with TVU, TAU, or TPU. This review focused on studies based on knowledge versus no knowledge of cervical length results, or ultrasound versus no ultrasound for cervical length. We excluded studies based on interventions (e.g. progesterone, cerclage) for short cervical length. Data collection and analysis We followed standard Cochrane methods. Main results We included seven RCTs (N = 923): one examined asymptomatic women with twin pregnancies; four included women with singleton pregnancies and symptoms of preterm labour (PTL); one included women with singleton pregnancies and symptoms of preterm premature rupture of membranes (PPROM); and one included asymptomatic singletons. All trials used TVU for screening. We assessed the risk of bias of the included studies as mixed, and the quality of the evidence for primary outcomes as very low for all populations. For asymptomatic women with twin pregnancies, it is uncertain whether knowledge of TVUÃƒÂ¢Ã¢â€šÂ¬Ã‚Âmeasured cervical length compared to no knowledge reduces PTB at less than 34 weeks (risk ratio (RR) 0.62, 95% confidence intervals (CI) 0.30 to 1.25; 1 study, 125 participants) because the quality of the evidence is very low. The results were also inconclusive for preterm birth at 36, 32, or 30 weeks; gestational age at birth, and other maternal and perinatal outcomes. Four trials examined knowledge of TVUÃƒÂ¢Ã¢â€šÂ¬Ã‚Âmeasured cervical length of singletons with symptoms of PTL versus no knowledge. We are uncertain of the effects because of inconclusive results and very lowÃƒÂ¢Ã¢â€šÂ¬Ã‚Âquality evidence for: preterm births at less than 37 weeks (average RR 0.59, 95% CI 0.26 to 1.32; 2 studies, 242 participants; IÃƒâ€šÃ‚Â² = 66%; TauÃƒâ€šÃ‚Â² = 0.23). Birth occurred about four days later in the knowledge groups (mean difference (MD) 0.64 weeks, 95% CI 0.03 to 1.25; 3 trials, 290 women). The results were inconclusive for the other outcomes for which there were available data: PTB at less than 34 or 28 weeks; birthweight less than 2500 g; perinatal death; maternal hospitalisation; tocolysis; and steroids for fetal lung maturity. The trial of singletons with PPROM (N = 92) evaluated safety of using TVU to measure cervical length in this population as its primary outcome, not its effect on management. The results were inconclusive for incidence of maternal and neonatal infections between the TVU and no ultrasound groups. In the trial of asymptomatic singletons (N = 296), in which women either received TVU or not, the results were inconclusive for preterm birth at less than 37 weeks (RR 1.27, 95% CI 0.61 to 2.61; IÃƒâ€šÃ‚Â² = 0%), gestational age at birth, and other perinatal and maternal outcomes. We downgraded evidence for limitations in study design, inconsistency between the trials, and imprecision, due to small sample si e and wide confidence intervals crossing the line of no effect. No trial compared the effect of knowledge of the CL with no knowledge of CL in other populations, such as asymptomatic women with singleton pregnancies, or symptomatic women with twin pregnancies. Authors' conclusions There are limited data on the effects of knowing the cervical length, measured by ultrasound, for preventing preterm births, which preclude us from drawing any conclusions for women with asymptomatic twin or singleton pregnancies, singleton pregnancies with PPROM, or other populations and clinical scenarios. Limited evidence suggests that knowledge of transvaginal ultrasoundÃƒÂ¢Ã¢â€šÂ¬Ã‚Âmeasured cervical length, used to inform the management of women with singleton pregnancies and symptoms of preterm labour, appears to prolong pregnancy by about four days over women in the no knowledge groups. Future studies could look at specific populations separately (e.g. singleton versus twins; symptoms versus no symptoms of PTL), report on all pertinent maternal and perinatal outcomes, and include costÃƒÂ¢Ã¢â€šÂ¬Ã‚Âeffectiveness analyses. Most importantly, future studies should include a clear protocol for management of women based on TVUÃƒÂ¢Ã¢â€šÂ¬Ã‚Âmeasured cervical length. Plain language summary Cervical assessment by ultrasound for preventing preterm delivery We set out to assess the effectiveness of knowing the cervical length, measured with ultrasound, for preventing preterm birth compared with not knowing the cervical length. What is the issue? The cervix is the lower part of the uterus that connects to the vagina. When women are not pregnant, it is normally at least 3 cm long. During pregnancy, a short cervical length is associated with a risk of spontaneous preterm birth. The shorter the cervical length, the greater the risk. Therefore, measuring cervical length by ultrasound can help predict spontaneous preterm birth. The cervical length is measured by an ultrasound scan through the vagina (transvaginal or TVU), abdomen (transabdominal), or the perineum (transperineal). The most common causes of spontaneous preterm birth are preterm labour or preterm premature rupture of the membranes. Many of the interventions used to prevent preterm birth are used once symptoms develop. Why is this important? Preterm birth before 37 weeks is the main cause of a newborn baby being sick and disabled, or dying. The cervix is the opening or passage through which the baby must pass before being born vaginally. Ultrasound can detect early changes of the cervix, such as shortening of the cervical length, to predict preterm birth. On identifying a short cervical length, interventions can be applied to prevent preterm birth. These interventions include giving the expectant mother progesterone to relax the uterus, or applying a stitch, known as a cerclage, to tighten the opening of the cervix. What evidence did we find? This review assessed if knowing the cervical length can prevent preterm birth. We included seven randomised controlled studies, which involved 923 pregnant women at 14 to 32 weeks' gestation. One study included expectant mothers with twins, without any symptoms of preterm birth or labour, and looked at the number of babies born prematurely before 36 weeks. Four studies included expectant mothers of single babies with threatened preterm labour, and one study involving women with premature rupture of the membranes looked at the safety of transvaginal ultrasound. One trial included expectant mothers with singleton pregnancies who did not have any symptoms of preterm birth or labour to look at the efficacy of transvaginal ultrasound cervical length screening. All studies used transvaginal ultrasound to assess cervical length. For women with twin pregnancies and not showing symptoms of preterm birth, we are unclear of the impact of knowing the cervical length on whether babies are born before 34 weeks' gestation, or their gestational age at birth (1 study, 125 women), because we assessed the quality of the evidence to be very low. For women with a single baby and threatened preterm labour, knowledge of their cervical length may have led to a longer pregnancy by about four days (4 studies, 410 women), but the evidence on the number of babies born before 37 weeks was unclear (2 studies, 242 women). For women whose waters had broken, it is unclear whether healthcare provider knowledge makes any difference to whether the women gave birth preterm, or on the number of infections, again because we judged the quality of evidence as very low. For women with singleton pregnancies not showing symptoms of preterm birth, it is unclear whether an ultrasound to measure cervical length made any difference to whether their babies were born before 37 weeks' gestation (1 study, 296 women; very lowÃƒÂ¢Ã¢â€šÂ¬Ã‚Âquality evidence). What does this mean? We found a limited number of studies including small numbers of women. The studies varied in their design and had a broad spread of results. Women were not blinded to whether they had an ultrasound or not. Currently, there is not enough high quality research to show if knowledge of cervical length in women with twin or singleton pregnancies has any effect. Future studies could include ways of managing women as a result of the cervical length results, and it would be useful to look at specific populations separately, such as single babies versus twins and women with and without symptoms of preterm labour. They could also report on all important maternal and perinatal outcomes, and include costÃƒÂ¢Ã¢â€šÂ¬Ã‚Âeffectiveness analyses.</t>
  </si>
  <si>
    <t>Focus on ultrasound for early detection of preterm birth.</t>
  </si>
  <si>
    <t>Focuses on varicella complications, not aligned with NHS shifts.</t>
  </si>
  <si>
    <t>Focuses on cost and access, not NHS shifts.</t>
  </si>
  <si>
    <t>Focuses on cost reduction and access, not NHS shifts.</t>
  </si>
  <si>
    <t>OnceÃƒÂ¢Ã¢â€šÂ¬Ã‚Âdaily versus multipleÃƒÂ¢Ã¢â€šÂ¬Ã‚Âdaily dosing with intravenous aminoglycosides for cystic fibrosis</t>
  </si>
  <si>
    <t>- Background People with cystic fibrosis, who are chronically colonised with the organism Pseudomonas aeruginosa , often require multiple courses of intravenous aminoglycoside antibiotics for the management of pulmonary exacerbations. The properties of aminoglycosides suggest that they could be given in higher doses less often. This is an update of a previously published review. Objectives To assess the effectiveness and safety of onceÃƒÂ¢Ã¢â€šÂ¬Ã‚Âdaily versus multipleÃƒÂ¢Ã¢â€šÂ¬Ã‚Âdaily dosing of intravenous aminoglycoside antibiotics for the management of pulmonary exacerbations in cystic fibrosis. Search methods We searched the Cystic Fibrosis Specialist Register held at the Cochrane Cystic Fibrosis and Genetic Disorders Group's editorial base, comprising references identified from comprehensive electronic database searches, handsearching relevant journals and handsearching abstract books of conference proceedings. Date of the most recent search: 31 January 2019. We also searched online trial registries. Date of latest search: 25 February 2019. Selection criteria All randomised controlled trials, whether published or unpublished, in which onceÃƒÂ¢Ã¢â€šÂ¬Ã‚Âdaily dosing of aminoglycosides has been compared with multipleÃƒÂ¢Ã¢â€šÂ¬Ã‚Âdaily dosing in terms of efficacy or toxicity or both, in people with cystic fibrosis. Data collection and analysis The two authors independently selected the studies to be included in the review and assessed the risk of bias of each study; authors also assessed the quality of the evidence using the GRADE criteria. Data were independently extracted by each author. Authors of the included studies were contacted for further information. As yet unpublished data were obtained for one of the included studies. Main results We identified 15 studies for possible inclusion in the review. Five studies reporting results from a total of 354 participants (aged 5 to 50 years) were included in this review. All studies compared onceÃƒÂ¢Ã¢â€šÂ¬Ã‚Âdaily dosing with thriceÃƒÂ¢Ã¢â€šÂ¬Ã‚Âdaily dosing. One crossÃƒÂ¢Ã¢â€šÂ¬Ã‚Âover trial had 26 participants who received the firstÃƒÂ¢Ã¢â€šÂ¬Ã‚Âarm treatment but only 15 received the second arm. One study had a low risk of bias for all criteria assessed; the remaining included studies had a high risk of bias from blinding, but for other criteria were judged to have either an unclear or a low risk of bias. There was little or no difference between treatment groups in: forced expiratory volume in one second, mean difference (MD) 0.33 (95% confidence interval (CI) ÃƒÂ¢Ã¢â€šÂ¬Ã‚Â2.81 to 3.48, moderateÃƒÂ¢Ã¢â€šÂ¬Ã‚Âquality evidence); forced vital capacity, MD 0.29 (95% CI ÃƒÂ¢Ã¢â€šÂ¬Ã‚Â6.58 to 7.16, lowÃƒÂ¢Ã¢â€šÂ¬Ã‚Âquality evidence); % weight for height, MD ÃƒÂ¢Ã¢â€šÂ¬Ã‚Â0.82 (95% CI ÃƒÂ¢Ã¢â€šÂ¬Ã‚Â3.77 to 2.13, lowÃƒÂ¢Ã¢â€šÂ¬Ã‚Âquality evidence); body mass index, MD 0.00 (95% CI ÃƒÂ¢Ã¢â€šÂ¬Ã‚Â0.42 to 0.42, lowÃƒÂ¢Ã¢â€šÂ¬Ã‚Âquality evidence); or in the incidence of ototoxicity, relative risk 0.56 (95% CI 0.04 to 7.96, moderateÃƒÂ¢Ã¢â€šÂ¬Ã‚Âquality evidence). OnceÃƒÂ¢Ã¢â€šÂ¬Ã‚Âdaily treatment in children probably improved the percentage change in creatinine, MD ÃƒÂ¢Ã¢â€šÂ¬Ã‚Â8.20 (95% CI ÃƒÂ¢Ã¢â€šÂ¬Ã‚Â15.32 to ÃƒÂ¢Ã¢â€šÂ¬Ã‚Â1.08, moderateÃƒÂ¢Ã¢â€šÂ¬Ã‚Âquality evidence), but showed no difference in adults, MD 3.25 (95% CI ÃƒÂ¢Ã¢â€šÂ¬Ã‚Â1.82 to 8.33, moderateÃƒÂ¢Ã¢â€šÂ¬Ã‚Âquality evidence). The included trials did not report antibiotic resistance patterns or quality of life. Authors' conclusions OnceÃƒÂ¢Ã¢â€šÂ¬Ã‚Â and threeÃƒÂ¢Ã¢â€šÂ¬Ã‚Âtimes daily aminoglycoside antibiotics appear to be equally effective in the treatment of pulmonary exacerbations of cystic fibrosis. There is evidence of less nephrotoxicity in children. Plain language summary Giving aminoglycoside antibiotics intravenously once daily compared to giving them several times per day in people with cystic fibrosis Review question We looked for evidence to show the differences between giving intravenous antibiotics once daily compared to giving them several times a day when treating flare ups of disease (pulmonary exacerbations) in people with cystic fibrosis. This is an update of an earlier review. Background Most people with cystic fibrosis develop persistent lung infections and they may receive frequent courses of intravenous antibiotics to treat pulmonary exacerbations. Giving the a tibiotics just once per day rather than several doses per day reduces the cost of treatment and the time involved. Search date The evidence is current to 31 January 2019. Study characteristics This review includes five studies with a total of 354 children and adults. All the trials compared onceÃƒÂ¢Ã¢â€šÂ¬Ã‚ÂaÃƒÂ¢Ã¢â€šÂ¬Ã‚Âday dosing with three timesÃƒÂ¢Ã¢â€šÂ¬Ã‚ÂaÃƒÂ¢Ã¢â€šÂ¬Ã‚Âday dosing. Key results The review found that when treating people with cystic fibrosis for pulmonary exacerbations, giving the antibiotics once per day was just as good at as giving them more frequently in terms of lung function and body mass index. The review also found that giving the antibiotics once per day appeared to be less toxic to the kidneys in children. There were no differences between the different treatment schedules for other outcomes that the studies measured. While onceÃƒÂ¢Ã¢â€šÂ¬Ã‚Âdaily treatment can be just as effective and more convenient than threeÃƒÂ¢Ã¢â€šÂ¬Ã‚Âtimes daily treatment, we recommend further studies to look at the longÃƒÂ¢Ã¢â€šÂ¬Ã‚Âterm safety of this treatment schedule. Quality of the evidence We judged that just one of the five studies carried a low risk that any design factors might affect the outcome results. In the remaining four studies, we thought that the fact that it was obvious whether the antibiotics were given once or three times a day could affect some outcome measures (e.g. lung function). Other risk factors were unclear or at low risk of bias. We assessed the evidence for lung function, body mass index and the evidence for side effects (e.g. toxicity) to be moderate to low quality.</t>
  </si>
  <si>
    <t>Focuses on dosing regimens, not NHS Three Shifts.</t>
  </si>
  <si>
    <t>Proposes moving neurorehabilitation from hospital to community outreach services.</t>
  </si>
  <si>
    <t>Focuses on cost optimisation, not NHS Three Shifts.</t>
  </si>
  <si>
    <t>Focuses on drug uptake, not NHS Three Shifts.</t>
  </si>
  <si>
    <t>Focuses on surgical techniques, not NHS shifts.</t>
  </si>
  <si>
    <t>Focuses on medical treatment, not NHS shifts.</t>
  </si>
  <si>
    <t>Focus on preventing psychosis aligns with prevention shift.</t>
  </si>
  <si>
    <t>Focus on economic evaluation, not aligned with NHS shifts.</t>
  </si>
  <si>
    <t>Focuses on screening effectiveness, not NHS Three Shifts.</t>
  </si>
  <si>
    <t>Focuses on treatment post-injury, not on NHS shifts.</t>
  </si>
  <si>
    <t>Focuses on surgical treatment evaluation, not aligned with NHS shifts.</t>
  </si>
  <si>
    <t>Personalised screening intervals focus on prevention by targeting high-risk groups.</t>
  </si>
  <si>
    <t>Focus on prevention strategies for foot ulcers.</t>
  </si>
  <si>
    <t>Community pharmacy managing depression aligns with Community shift.</t>
  </si>
  <si>
    <t>Neutropenic sepsis can be life threatening, with mortality 2-21%. The heterogeneity of patients referred with suspected neutropenic sepsis" has led to strategies being developed to risk-stratify patients and identify those with a low risk of septic complications that could be managed in the outpatient setting, such as The Multinational Association for Supportive Care in Cancer score (MASCC). Outcomes for patients referred with suspected neutropenic sepsis were assessed before and after use of MASCC guided early-supported discharge. 50/123 (41%) patients over 24 months were eligible for early-supported discharge. 26/50 patients had same-day discharge, 14 had overnight admission, 8 stayed 2 nights and 2 stayed 3 nights. Patients received on average 2 follow-up telephone consultations. There were 5 readmissions (10%) and no adverse events. In comparison group; 8 patients over 3-months would have been suitable, potentially saving 40 bed-days. This shows MASCC guided early-supported discharge is safe and cost-effective. Copyright Ãƒâ€šÃ‚Â© 2019 Rila Publications Ltd."</t>
  </si>
  <si>
    <t>Early-supported discharge shifts care from hospital to community.</t>
  </si>
  <si>
    <t>Focuses on efficiency, not on NHS Three Shifts.</t>
  </si>
  <si>
    <t>Pathway integrates primary and secondary care, reducing hospital admissions.</t>
  </si>
  <si>
    <t>Focuses on prescription drug spending trends, not NHS Three Shifts.</t>
  </si>
  <si>
    <t>Focuses on treatment, not aligned with NHS shifts.</t>
  </si>
  <si>
    <t>Focuses on dietary interventions, not aligned with NHS shifts.</t>
  </si>
  <si>
    <t>- Background Although delirium is typically an acute reversible cognitive impairment, its presence is associated with devastating impact on both shortÃƒÂ¢Ã¢â€šÂ¬Ã‚Âterm and longÃƒÂ¢Ã¢â€šÂ¬Ã‚Âterm outcomes for critically ill patients. Advances in our understanding of the negative impact of delirium on patient outcomes have prompted trials evaluating multiple pharmacological interventions. However, considerable uncertainty surrounds the relative benefits and safety of available pharmacological interventions for this population. Objectives Primary objective 1. To assess the effects of pharmacological interventions for treatment of delirium on duration of delirium in critically ill adults with confirmed or documented high risk of delirium Secondary objectives To assess the following: 1. effects of pharmacological interventions on deliriumÃƒÂ¢Ã¢â€šÂ¬Ã‚Âfree and comaÃƒÂ¢Ã¢â€šÂ¬Ã‚Âfree days; days with coma; delirium relapse; duration of mechanical ventilation; intensive care unit (ICU) and hospital length of stay; mortality; and longÃƒÂ¢Ã¢â€šÂ¬Ã‚Âterm outcomes (e.g. cognitive; discharge disposition; healthÃƒÂ¢Ã¢â€šÂ¬Ã‚Ârelated quality of life); and 2. the safety of such treatments for critically ill adult patients. Search methods We searched the following databases from their inception date to 21 March 2019: Ovid MEDLINEÃƒâ€šÃ‚Â®, Ovid MEDLINEÃƒâ€šÃ‚Â® InÃƒÂ¢Ã¢â€šÂ¬Ã‚ÂProcess &amp; Other NonÃƒÂ¢Ã¢â€šÂ¬Ã‚ÂIndexed Citations, Embase Classic+Embase, and PsycINFO using the Ovid platform. We also searched the Cochrane Library on Wiley, the International Prospective Register of Systematic Reviews (PROSPERO) ( http://www.crd.york.ac.uk/PROSPERO/ ), the Cumulative Index to Nursing and Allied Health Literature (CINAHL), and Web of Science. We performed a grey literature search of relevant databases and websites using the resources listed in Grey Matters developed by the Canadian Agency for Drugs and Technologies in Health (CADTH). We also searched trial registries and abstracts from annual scientific critical care and delirium society meetings. Selection criteria We sought randomized controlled trials (RCTs), including quasiÃƒÂ¢Ã¢â€šÂ¬Ã‚ÂRCTs, of any pharmacological (drug) for treatment of delirium in critically ill adults. The drug intervention was to be compared to another active drug treatment, placebo, or a nonÃƒÂ¢Ã¢â€šÂ¬Ã‚Âpharmacological intervention (e.g. mobilization). We did not apply any restrictions in terms of drug class, dose, route of administration, or duration of delirium or drug exposure. We defined critically ill patients as those treated in an ICU of any specialty (e.g. burn, cardiac, medical, surgical, trauma) or highÃƒÂ¢Ã¢â€šÂ¬Ã‚Âdependency unit. Data collection and analysis Two review authors independently identified studies from the search results; four review authors (in pairs) performed data extraction and assessed risk of bias independently. We performed data synthesis through pairwise metaÃƒÂ¢Ã¢â€šÂ¬Ã‚Âanalysis and network metaÃƒÂ¢Ã¢â€šÂ¬Ã‚Âanalysis (NMA). Our hypothetical network structure was designed to be analysed at the drug class level and illustrated a network diagram of 'nodes' (i.e. drug classes) and 'edges' (i.e. comparisons between different drug classes from existing trials), thus describing a treatment network of all possible comparisons between drug classes. We assessed the quality of the body of evidence according to GRADE, as very low, low, moderate, or high. Main results We screened 7674 citations, from which 14 trials with 1844 participants met our inclusion criteria. Ten RCTs were placeboÃƒÂ¢Ã¢â€šÂ¬Ã‚Âcontrolled, and four reported comparisons of different drugs. Drugs examined in these trials were the following: antipsychotics (n = 10), alpha 2 agonists (n = 3; all dexmedetomidine), statins (n = 2), opioids (n = 1; morphine), serotonin antagonists (n = 1; ondansetron), and cholinesterase (CHE) inhibitors (n = 1; rivastigmine). Only one of these trials consistently used nonÃƒÂ¢Ã¢â€šÂ¬Ã‚Âpharmacological interventions that are known to improve patient outcomes in both intervention and control groups. Eleven studies (n = 1153 participants) contributed to analysis of the primary outcome. Results of the NMA showed that the intervention with the smallest ratio of means (RoM) (i.e. most preferred) compared with placebo was the alpha 2 agonist dexmedetomidine (0.58; 95% credible interval (CrI) 0.26 to 1.27; surface under the cumulative ranking curve (SUCRA) 0.895; moderateÃƒÂ¢Ã¢â€šÂ¬Ã‚Âquality evidence). In order of descending SUCRA values (best to worst), the next best interventions were atypical antipsychotics (RoM 0.80, 95% CrI 0.50 to 1.11; SUCRA 0.738; moderateÃƒÂ¢Ã¢â€šÂ¬Ã‚Âquality evidence), opioids (RoM 0.88, 95% CrI 0.37 to 2.01; SUCRA 0.578; veryÃƒÂ¢Ã¢â€šÂ¬Ã‚Âlow quality evidence), and typical antipsychotics (RoM 0.96, 95% CrI 0.64 to1.36; SUCRA 0.468; highÃƒÂ¢Ã¢â€šÂ¬Ã‚Âquality evidence). The NMAs of multiple secondary outcomes revealed that only the alpha 2 agonist dexmedetomidine was associated with a shorter duration of mechanical ventilation (RoM 0.55, 95% CrI 0.34 to 0.89; moderateÃƒÂ¢Ã¢â€šÂ¬Ã‚Âquality evidence), and the CHE inhibitor rivastigmine was associated with a longer ICU stay (RoM 2.19, 95% CrI 1.47 to 3.27; moderateÃƒÂ¢Ã¢â€šÂ¬Ã‚Âquality evidence). Adverse events often were not reported in these trials or, when reported, were rare; pairÃƒÂ¢Ã¢â€šÂ¬Ã‚Âwise analysis of QTc prolongation in seven studies did not show significant differences between antipsychotics, ondansetron, dexmedetomidine, and placebo. Authors' conclusions We identified trials of varying quality that examined six different drug classes for treatment of delirium in critically ill adults. We found evidence that the alpha 2 agonist dexmedetomidine may shorten delirium duration, although this small effect (compared with placebo) was seen in pairwise analyses based on a single study and was not seen in the NMA results. Alpha 2 agonists also ranked best for duration of mechanical ventilation and length of ICU stay, whereas the CHE inhibitor rivastigmine was associated with longer ICU stay. We found no evidence of a difference between placebo and any drug in terms of deliriumÃƒÂ¢Ã¢â€šÂ¬Ã‚Âfree and comaÃƒÂ¢Ã¢â€šÂ¬Ã‚Âfree days, days with coma, physical restraint use, length of stay, longÃƒÂ¢Ã¢â€šÂ¬Ã‚Âterm cognitive outcomes, or mortality. No studies reported delirium relapse, resolution of symptoms, or quality of life. The ten ongoing studies and the six studies awaiting classification that we identified, once published and assessed, may alter the conclusions of the review. Plain language summary Medicines to treat delirium in critically ill adult patients Review question We reviewed the evidence from randomized controlled trials for the benefits and safety of all prescription medicines used to treat critically ill adult patients with delirium in the intensive care units (ICUs) of hospitals. Background Delirium is commonly associated with surgery, infection, or critical illness. It is experienced as newÃƒÂ¢Ã¢â€šÂ¬Ã‚Âonset, generally shortÃƒÂ¢Ã¢â€šÂ¬Ã‚Âterm inability to think clearly. Patients with delirium shift between periods of clear thinking and periods of agitation and/or great sleepiness and confusion. Lack of sleep, pain, a noisy environment, physical restraint, and the use of sedatives and strong analgesics are some of the contributing factors. Delirium affects both immediate and longerÃƒÂ¢Ã¢â€šÂ¬Ã‚Âterm health outcomes of critically ill patients as it can increase the length of time a breathing machine is required, time spent in the ICU and in hospital, and the chance of functional weakening and death. The odds of a poor outcome with delirium are increased with frail patients and those of advanced age and already present cognitive difficulties. Frequently, delirious ICU patients are given medicines to help treat symptoms such as agitation. Study characteristics This review is current to 21 March 2019. We found 14 randomized controlled studies that enrolled a total of 1844 adult participants. Six different classes of medicines were tested. These were antipsychotic drugs used as tranquillizers in ten studies; the sedative alpha 2 agonist dexmedetomidine in three studies; statins that reduce cholesterol in two studies; opioids as part of pain management in one study; serotonin antagonists for nausea and vomiting in one study; and cholinesterase inhibitors, which are medicines for Alzheimer's disease, in one study. Ten studies co pared medicine to placebo ÃƒÂ¢Ã¢â€šÂ¬Ã‚Â an inactive medicine also known as a sugar pill; four studies compared different drugs. Eleven studies with 1153 participants reported on the main outcome of this review ÃƒÂ¢Ã¢â€šÂ¬Ã‚Â duration of delirium. Key findings When drug classes were directly compared with placebo, only the alpha 2 agonist dexmedetomidine was found to reduce the duration of delirium, and the cholinesterase inhibitor rivastigmine was found to prolong the duration of delirium. Each of these results is based on findings from a single small study. The other drugs when compared to placebo did not change delirium duration. The Review authors used the statistical method of network metaÃƒÂ¢Ã¢â€šÂ¬Ã‚Âanalysis to compare the six different drug classes. Dexmedetomidine was ranked most effective in reducing delirium duration, followed by atypical antipsychotics. However, network metaÃƒÂ¢Ã¢â€šÂ¬Ã‚Âanalysis of delirium duration failed to rule out the possibility of no difference for all six drug classes compared to placebo. Using this method, we did not find that any drug improved the duration of coma, length of stay, longÃƒÂ¢Ã¢â€šÂ¬Ã‚Âterm cognitive outcomes, or death. The alpha 2 agonist dexmedetomidine shortened time spent on a breathing machine. Adverse events often were not reported in these trials or were rare when reported. An analysis of reported events showed that events were similar to those reported with placebo. We found 10 ongoing studies and six studies awaiting classification that, once published and assessed, may change the conclusions of this review. Quality of the evidence Most of the included studies were small but of good design. Nine of the 14 studies were considered to have low risk of bias.</t>
  </si>
  <si>
    <t>Focuses on pharmacological treatment in ICU, not aligned with NHS shifts.</t>
  </si>
  <si>
    <t>Focus on decision-making in primary care, not on NHS shifts.</t>
  </si>
  <si>
    <t>Focuses on risk-tailored screening for prevention.</t>
  </si>
  <si>
    <t>Focuses on cost savings from generics, not NHS Three Shifts.</t>
  </si>
  <si>
    <t>Focuses on cost-effectiveness of treatments, not NHS Three Shifts.</t>
  </si>
  <si>
    <t>Focuses on peer support, not clearly linked to NHS shifts.</t>
  </si>
  <si>
    <t>Focus on imaging biomarkers for treatment prediction, not NHS shifts.</t>
  </si>
  <si>
    <t>Focuses on drug withdrawal effects, not NHS shifts.</t>
  </si>
  <si>
    <t>Focus on community-based support for carers of stroke survivors.</t>
  </si>
  <si>
    <t>Focuses on hospital care efficiency, not NHS shifts.</t>
  </si>
  <si>
    <t>Focus on monitoring in primary care aligns with Community shift.</t>
  </si>
  <si>
    <t>Focus on adrenaline treatment, not on NHS shifts.</t>
  </si>
  <si>
    <t>Focuses on rehabilitation post-surgery, not on NHS Three Shifts.</t>
  </si>
  <si>
    <t>Focuses on hospital-based screening, not aligned with NHS shifts.</t>
  </si>
  <si>
    <t>Focuses on treatment of CINV, not aligned with NHS shifts.</t>
  </si>
  <si>
    <t>Integrated disease management in community settings for COPD.</t>
  </si>
  <si>
    <t>Focuses on surgical outcomes, not NHS Three Shifts.</t>
  </si>
  <si>
    <t>Focuses on catheter techniques, not on NHS Three Shifts.</t>
  </si>
  <si>
    <t>Focuses on cost-effectiveness of surgical techniques, not NHS Three Shifts.</t>
  </si>
  <si>
    <t>Focuses on treatment cost-effectiveness, not NHS Three Shifts.</t>
  </si>
  <si>
    <t>Uses digital records for trial data management.</t>
  </si>
  <si>
    <t>- Background Carotid endarterectomy may significantly reduce the risk of stroke in people with recently symptomatic, severe carotid artery stenosis. However, there are significant perioperative risks that may be minimised by performing the operation under local rather than general anaesthetics. This is an update of a Cochrane Review first published in 1996, and previously updated in 2004, 2008, and 2013. Objectives To determine whether carotid endarterectomy under local anaesthetic: 1) reduces the risk of perioperative stroke and death compared with general anaesthetic; 2) reduces the complication rate (other than stroke) following carotid endarterectomy; and 3) is acceptable to individuals and surgeons. Search methods We searched CENTRAL, MEDLINE, Embase, and two trials registers (to February 2021). We also reviewed reference lists of articles identified. Selection criteria Randomised controlled trials (RCTs) comparing the use of local anaesthetics to general anaesthetics for people having carotid endarterectomy were eligible. Data collection and analysis Three review authors independently extracted data, assessed risk of bias, and evaluated quality of evidence using the Grading of Recommendations, Assessment, Development, and Evaluations (GRADE) tool. We calculated a pooled Peto odds ratio (OR) and corresponding 95% confidence interval (CI) for the following outcomes that occurred within 30 days of surgery: stroke, death, ipsilateral stroke, stroke or death, myocardial infarction, local haemorrhage, and arteries shunted. Main results We included 16 RCTs involving 4839 participants, of which 3526 were obtained from the single largest trial (GALA). The main findings from our metaÃƒÂ¢Ã¢â€šÂ¬Ã‚Âanalysis showed that, within 30 days of operation, neither incidence of stroke nor death were significantly different between local and general anaesthesia. Of these, the incidence of stroke in the local and general anaesthesia groups was 3.2% and 3.5%, respectively (Peto odds ratio (OR) 0.91, 95% confidence interval (CI) 0.66 to 1.26; P = 0.58; 13 studies, 4663 participants; lowÃƒÂ¢Ã¢â€šÂ¬Ã‚Âquality evidence). The rate of ipsilateral stroke under both types of anaesthesia was 3.1% (Peto OR 1.03, 95% CI 0.71 to 1.48; P = 0.89; 2 studies, 3733 participants; lowÃƒÂ¢Ã¢â€šÂ¬Ã‚Âquality evidence). The incidence of stroke or death in the local anaesthesia group was 3.5%, while stroke or death incidence was 4.1% in the general anaesthesia group (Peto OR 0.85, 95% CI 0.62 to 1.16; P = 0.31; 11 studies, 4391 participants; lowÃƒÂ¢Ã¢â€šÂ¬Ã‚Âquality evidence). A lower rate of death was observed in the local anaesthetic group but evidence was of low quality (Peto OR 0.61, 95% CI 0.35 to 1.06; P = 0.08; 12 studies, 4421 participants). Authors' conclusions The incidence of stroke and death were not convincingly different between local and general anaesthesia for people undergoing carotid endarterectomy. The current evidence supports the choice of either approach. Further highÃƒÂ¢Ã¢â€šÂ¬Ã‚Âquality studies are still needed as the evidence is of limited reliability. Plain language summary Is local or general anaesthesia better during surgery to widen the main blood vessel to the brain when it becomes narrowed (carotid endarterectomy)? Key messages ÃƒÂ¢Ã¢â€šÂ¬Ã‚Â Current evidence does not show any clear difference between local anaesthesia (where the patient remains awake) and general anaesthesia for the risk of stroke, death, or other unwanted effects for people having surgery to widen a narrowed carotid artery (carotid endarterectomy). ÃƒÂ¢Ã¢â€šÂ¬Ã‚Â Future studies should recruit more people, analyse and publish information from all of them, and make sure that the researchers assessing the outcomes do not know which type of anaesthetic people had. What is a carotid endarterectomy? A stroke happens when blood stops flowing to any part of your brain. The carotid artery is the main vessel supplying blood to the brain. This artery can become narrowed due to fatty deposits that build up over time. Around 1 in 5 strokes is caused by narrowing of the carotid artery. Blood clots can form at the point of narrowing. If blood clot breaks off into the bloodstream, it can be carried into the brain, where it blocks the blood supply and causes a stroke. A surgical operation ÃƒÂ¢Ã¢â€šÂ¬Ã¢â‚¬Å“ carotid endarterectomy ÃƒÂ¢Ã¢â€šÂ¬Ã¢â‚¬Å“ removes the inner lining, fatty deposits and any blood clots in the carotid artery and can lower the risk of stroke. However, even with very careful surgery, approximately 1 in 20 people will suffer a stroke caused by the operation itself. Anaesthetics are medicines that prevent people feeling pain. Surgeons can use either a local anaesthetic, where an area of the body is numbed, or general anaesthetic, where a person is put to sleep. The use of a local anaesthetic rather than a general anaesthetic might lower the risk of a stroke during or after carotid endarterectomy surgery. What did we want to find out? We wanted to find out if using local anaesthetic for carotid endarterectomy: ÃƒÂ¢Ã¢â€šÂ¬Ã‚Â lowers the risk of stroke and death around the time of the operation;ÃƒÂ¢Ã¢â€šÂ¬Ã‚Â¨ÃƒÂ¢Ã¢â€šÂ¬Ã‚Â lowers the rate of other unwanted effects; andÃƒÂ¢Ã¢â€šÂ¬Ã‚Â¨ÃƒÂ¢Ã¢â€šÂ¬Ã‚Â is more acceptable to individuals and surgeons when compared to general anaesthetic. What did we do? We searched for studies that compared local and general anaesthetics in people who had a carotid endarterectomy. We compared and summarised their results, and rated our confidence in the evidence, based on factors such as study methods and sizes. What did we find? We found 16 studies involving 4839 people. The biggest study included 3526 people and the smallest study had 20 people. The studies were conducted around the world. More men than women were included in the studies, and their average age was 67 years. Main results Local anaesthetic makes little to no difference in risk of stroke within 30 days of surgery compared to general anaesthetic. Local anaesthetic may not reduce risk of death within 30 days of surgery compared to general anaesthetic. Since neither type of anaesthesia has clear benefits over the other, the choice of which to use can be made on the basis of the clinical situation, and the preferences of the surgeon and patient. Main limitations of the evidence We have either little, or moderate, confidence in these results. The quality of the evidence was reduced because, in most studies, it was possible that researchers collecting information about the outcomes of surgery knew which type of anaesthetic people had been given; this could have influenced their assessments. Also, information from some people who were meant to be included in the studies was left out, which also reduces the quality of the evidence. How up to date is this evidence? The evidence is current to February 2021.</t>
  </si>
  <si>
    <t>Focuses on anaesthesia type, not NHS shifts.</t>
  </si>
  <si>
    <t>Focus on exercise for post-treatment fatigue, not aligned with NHS shifts.</t>
  </si>
  <si>
    <t>Focuses on treatment comparison, not NHS shifts.</t>
  </si>
  <si>
    <t>Focuses on video games for cognitive benefits, not NHS shifts.</t>
  </si>
  <si>
    <t>Effect of testing for cancer on cancerÃƒÂ¢Ã¢â€šÂ¬Ã‚Â or venous thromboembolism (VTE)ÃƒÂ¢Ã¢â€šÂ¬Ã‚Ârelated mortality and morbidity in people with unprovoked VTE</t>
  </si>
  <si>
    <t>- Background Venous thromboembolism (VTE) is a collective term for two conditions: deep vein thrombosis (DVT) and pulmonary embolism (PE). A proportion of people with VTE have no underlying or immediately predisposing risk factors and the VTE is referred to as unprovoked. Unprovoked VTE can often be the first clinical manifestation of an underlying malignancy. This has raised the question of whether people with an unprovoked VTE should be investigated for an underlying cancer. Treatment for VTE is different in cancer and nonÃƒÂ¢Ã¢â€šÂ¬Ã‚Âcancer patients and a correct diagnosis would ensure that people received the optimal treatment for VTE to prevent recurrence and further morbidity. Furthermore, an appropriate cancer diagnosis at an earlier stage could avoid the risk of cancer progression and lead to improvements in cancerÃƒÂ¢Ã¢â€šÂ¬Ã‚Ârelated mortality and morbidity. This is the third update of the review first published in 2015. Objectives To determine whether testing for undiagnosed cancer in people with a first episode of unprovoked VTE (DVT of the lower limb or PE) is effective in reducing cancerÃƒÂ¢Ã¢â€šÂ¬Ã‚Â or VTEÃƒÂ¢Ã¢â€šÂ¬Ã‚Ârelated mortality and morbidity and to determine which tests for cancer are best at identifying treatable cancers early. Search methods The Cochrane Vascular Information Specialist searched the Cochrane Vascular Specialised Register, CENTRAL, MEDLINE, Embase and CINAHL databases and World Health Organization International Clinical Trials Registry Platform and ClinicalTrials.gov trials registers to 5 May 2021. We also undertook reference checking to identify additional studies. Selection criteria Randomised and quasiÃƒÂ¢Ã¢â€šÂ¬Ã‚Ârandomised trials in which people with an unprovoked VTE were allocated to receive specific tests for identifying cancer or clinically indicated tests only were eligible for inclusion. Data collection and analysis Two review authors independently selected studies, assessed risk of bias and extracted data. We assessed the certainty of the evidence using GRADE criteria. We resolved any disagreements by discussion. The main outcomes of interest were allÃƒÂ¢Ã¢â€šÂ¬Ã‚Âcause mortality, cancerÃƒÂ¢Ã¢â€šÂ¬Ã‚Ârelated mortality and VTEÃƒÂ¢Ã¢â€šÂ¬Ã‚Ârelated mortality. Main results No new studies were identified for this 2021 update. In total, four studies with 1644 participants are included. Two studies assessed the effect of extensive tests including computed tomography (CT) scanning versus tests at the physician's discretion, while the other two studies assessed the effect of standard testing plus positron emission tomography (PET)/CT scanning versus standard testing alone. For extensive tests including CT versus tests at the physician's discretion, the certainty of the evidence, as assessed according to GRADE, was low due to risk of bias (early termination of the studies). When comparing standard testing plus PET/CT scanning versus standard testing alone, the certainty of evidence was moderate due to a risk of detection bias. The certainty of the evidence was downgraded further as detection bias was present in one study with a low number of events. When comparing extensive tests including CT versus tests at the physician's discretion, pooled analysis on two studies showed that testing for cancer was consistent with either benefit or no benefit on cancerÃƒÂ¢Ã¢â€šÂ¬Ã‚Ârelated mortality (odds ratio (OR) 0.49, 95% confidence interval (CI) 0.15 to 1.67; 396 participants; 2 studies; lowÃƒÂ¢Ã¢â€šÂ¬Ã‚Âcertainty evidence). One study (201 participants) showed that, overall, malignancies were less advanced at diagnosis in extensively tested participants than in participants in the control group. In total, 9/13 participants diagnosed with cancer in the extensively tested group had a T1 or T2 stage malignancy compared to 2/10 participants diagnosed with cancer in the control group (OR 5.00, 95% CI 1.05 to 23.76; lowÃƒÂ¢Ã¢â€šÂ¬Ã‚Âcertainty evidence). There was no clear difference in detection of advanced stages between extensive tests versus tests at the physician's discretion: one participant in the extensively tested group had stage T3 compared with four participants in the control group</t>
  </si>
  <si>
    <t>Focuses on cancer diagnosis, not NHS shifts.</t>
  </si>
  <si>
    <t>Technology Enabled Care trials indicate a shift towards digital solutions.</t>
  </si>
  <si>
    <t>Focus on preventing variceal bleeding aligns with prevention shift.</t>
  </si>
  <si>
    <t>Study focuses on communication aids, not aligned with NHS shifts.</t>
  </si>
  <si>
    <t>Focuses on surgical technique, not NHS Three Shifts.</t>
  </si>
  <si>
    <t>Coordination with community services and reducing hospital admissions.</t>
  </si>
  <si>
    <t>Focuses on respiratory support methods in hospital, not on NHS shifts.</t>
  </si>
  <si>
    <t>Focuses on respiratory support methods in hospitals, not on NHS shifts.</t>
  </si>
  <si>
    <t>Compares digital and in-person interventions for T2DM prevention.</t>
  </si>
  <si>
    <t>Focuses on hospital-based intervention, not aligned with NHS shifts.</t>
  </si>
  <si>
    <t>Focuses on treatment not prevention of postpartum haemorrhage.</t>
  </si>
  <si>
    <t>Online self-management aligns with digital shift.</t>
  </si>
  <si>
    <t>Focuses on anticoagulation in surgery, not NHS shifts.</t>
  </si>
  <si>
    <t>24 false negatives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</si>
</sst>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rgb="FFFF0000"/>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s>
  <borders count="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1">
    <xf numFmtId="0" fontId="0" fillId="0" borderId="0" xfId="0"/>
    <xf numFmtId="0" fontId="0" fillId="0" borderId="0" xfId="0" applyAlignment="1">
      <alignment wrapText="1"/>
    </xf>
    <xf numFmtId="0" fontId="1" fillId="0" borderId="0" xfId="0" applyFont="1"/>
    <xf numFmtId="0" fontId="2" fillId="0" borderId="0" xfId="0" applyFont="1"/>
    <xf numFmtId="0" fontId="2" fillId="0" borderId="1" xfId="0" applyFont="1" applyBorder="1"/>
    <xf numFmtId="0" fontId="2" fillId="0" borderId="2" xfId="0" applyFont="1" applyBorder="1"/>
    <xf numFmtId="0" fontId="0" fillId="2" borderId="0" xfId="0" applyFill="1"/>
    <xf numFmtId="0" fontId="0" fillId="3" borderId="0" xfId="0" applyFill="1"/>
    <xf numFmtId="0" fontId="0" fillId="2" borderId="0" xfId="0" applyFill="1" applyAlignment="1">
      <alignment wrapText="1"/>
    </xf>
    <xf numFmtId="0" fontId="2" fillId="0" borderId="3" xfId="0" applyFont="1" applyBorder="1"/>
    <xf numFmtId="0" fontId="2" fillId="0" borderId="4" xfId="0" applyFont="1" applyBorder="1"/>
  </cellXfs>
  <cellStyles count="1">
    <cellStyle name="Normal" xfId="0" builtinId="0"/>
  </cellStyles>
  <dxfs count="25">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B2A6B-30B7-4231-94C6-6E4D3269210D}">
  <dimension ref="A1:I104"/>
  <sheetViews>
    <sheetView workbookViewId="0">
      <selection activeCell="C12" sqref="A1:I104"/>
    </sheetView>
  </sheetViews>
  <sheetFormatPr defaultRowHeight="14.5" x14ac:dyDescent="0.35"/>
  <sheetData>
    <row r="1" spans="1:9" x14ac:dyDescent="0.35">
      <c r="A1" t="s">
        <v>0</v>
      </c>
      <c r="B1" t="s">
        <v>1</v>
      </c>
      <c r="C1" t="s">
        <v>2</v>
      </c>
      <c r="D1" t="s">
        <v>3</v>
      </c>
      <c r="E1" t="s">
        <v>192</v>
      </c>
      <c r="F1" t="s">
        <v>193</v>
      </c>
      <c r="G1" t="s">
        <v>194</v>
      </c>
      <c r="H1" t="s">
        <v>195</v>
      </c>
      <c r="I1" t="s">
        <v>196</v>
      </c>
    </row>
    <row r="2" spans="1:9" x14ac:dyDescent="0.35">
      <c r="A2" t="s">
        <v>8</v>
      </c>
      <c r="B2">
        <v>2019</v>
      </c>
      <c r="C2" t="s">
        <v>9</v>
      </c>
      <c r="D2" t="s">
        <v>175</v>
      </c>
      <c r="E2" t="b">
        <v>0</v>
      </c>
      <c r="F2" t="s">
        <v>197</v>
      </c>
      <c r="G2" t="s">
        <v>198</v>
      </c>
      <c r="I2">
        <v>0.9</v>
      </c>
    </row>
    <row r="3" spans="1:9" x14ac:dyDescent="0.35">
      <c r="A3" t="s">
        <v>10</v>
      </c>
      <c r="B3">
        <v>2019</v>
      </c>
      <c r="C3" t="s">
        <v>11</v>
      </c>
      <c r="D3" t="s">
        <v>180</v>
      </c>
      <c r="E3" t="b">
        <v>0</v>
      </c>
      <c r="F3" t="s">
        <v>213</v>
      </c>
      <c r="G3" t="s">
        <v>198</v>
      </c>
      <c r="I3">
        <v>0.9</v>
      </c>
    </row>
    <row r="4" spans="1:9" x14ac:dyDescent="0.35">
      <c r="A4" t="s">
        <v>12</v>
      </c>
      <c r="B4">
        <v>2019</v>
      </c>
      <c r="C4" t="s">
        <v>13</v>
      </c>
      <c r="D4" t="s">
        <v>176</v>
      </c>
      <c r="E4" t="b">
        <v>0</v>
      </c>
      <c r="F4" t="s">
        <v>766</v>
      </c>
      <c r="G4" t="s">
        <v>198</v>
      </c>
      <c r="I4">
        <v>0.9</v>
      </c>
    </row>
    <row r="5" spans="1:9" x14ac:dyDescent="0.35">
      <c r="A5" t="s">
        <v>14</v>
      </c>
      <c r="B5">
        <v>2019</v>
      </c>
      <c r="C5" t="s">
        <v>15</v>
      </c>
      <c r="D5" t="s">
        <v>181</v>
      </c>
      <c r="E5" t="b">
        <v>1</v>
      </c>
      <c r="F5" t="s">
        <v>214</v>
      </c>
      <c r="G5" t="s">
        <v>200</v>
      </c>
      <c r="H5" t="s">
        <v>200</v>
      </c>
      <c r="I5">
        <v>0.9</v>
      </c>
    </row>
    <row r="6" spans="1:9" x14ac:dyDescent="0.35">
      <c r="A6" t="s">
        <v>16</v>
      </c>
      <c r="B6">
        <v>2019</v>
      </c>
      <c r="C6" t="s">
        <v>17</v>
      </c>
      <c r="D6" t="s">
        <v>767</v>
      </c>
      <c r="E6" t="b">
        <v>1</v>
      </c>
      <c r="F6" t="s">
        <v>768</v>
      </c>
      <c r="G6" t="s">
        <v>200</v>
      </c>
      <c r="H6" t="s">
        <v>200</v>
      </c>
      <c r="I6">
        <v>0.9</v>
      </c>
    </row>
    <row r="7" spans="1:9" x14ac:dyDescent="0.35">
      <c r="A7" t="s">
        <v>19</v>
      </c>
      <c r="B7">
        <v>2019</v>
      </c>
      <c r="C7" t="s">
        <v>20</v>
      </c>
      <c r="D7" t="s">
        <v>177</v>
      </c>
      <c r="E7" t="b">
        <v>0</v>
      </c>
      <c r="F7" t="s">
        <v>227</v>
      </c>
      <c r="G7" t="s">
        <v>198</v>
      </c>
      <c r="I7">
        <v>1</v>
      </c>
    </row>
    <row r="8" spans="1:9" x14ac:dyDescent="0.35">
      <c r="A8" t="s">
        <v>21</v>
      </c>
      <c r="B8">
        <v>2019</v>
      </c>
      <c r="C8" t="s">
        <v>22</v>
      </c>
      <c r="D8" t="s">
        <v>215</v>
      </c>
      <c r="E8" t="b">
        <v>0</v>
      </c>
      <c r="F8" t="s">
        <v>769</v>
      </c>
      <c r="G8" t="s">
        <v>198</v>
      </c>
      <c r="I8">
        <v>0.9</v>
      </c>
    </row>
    <row r="9" spans="1:9" x14ac:dyDescent="0.35">
      <c r="A9" t="s">
        <v>23</v>
      </c>
      <c r="B9">
        <v>2019</v>
      </c>
      <c r="C9" t="s">
        <v>182</v>
      </c>
      <c r="D9" t="s">
        <v>183</v>
      </c>
      <c r="E9" t="b">
        <v>0</v>
      </c>
      <c r="F9" t="s">
        <v>339</v>
      </c>
      <c r="G9" t="s">
        <v>198</v>
      </c>
      <c r="I9">
        <v>0.9</v>
      </c>
    </row>
    <row r="10" spans="1:9" x14ac:dyDescent="0.35">
      <c r="A10" t="s">
        <v>24</v>
      </c>
      <c r="B10">
        <v>2019</v>
      </c>
      <c r="C10" t="s">
        <v>25</v>
      </c>
      <c r="D10" t="s">
        <v>26</v>
      </c>
      <c r="E10" t="b">
        <v>0</v>
      </c>
      <c r="F10" t="s">
        <v>770</v>
      </c>
      <c r="G10" t="s">
        <v>198</v>
      </c>
      <c r="I10">
        <v>0.9</v>
      </c>
    </row>
    <row r="11" spans="1:9" x14ac:dyDescent="0.35">
      <c r="A11" t="s">
        <v>27</v>
      </c>
      <c r="B11">
        <v>2019</v>
      </c>
      <c r="C11" t="s">
        <v>28</v>
      </c>
      <c r="D11" t="s">
        <v>29</v>
      </c>
      <c r="E11" t="b">
        <v>0</v>
      </c>
      <c r="F11" t="s">
        <v>771</v>
      </c>
      <c r="G11" t="s">
        <v>198</v>
      </c>
      <c r="I11">
        <v>0.9</v>
      </c>
    </row>
    <row r="12" spans="1:9" x14ac:dyDescent="0.35">
      <c r="A12" t="s">
        <v>30</v>
      </c>
      <c r="B12">
        <v>2019</v>
      </c>
      <c r="C12" t="s">
        <v>772</v>
      </c>
      <c r="D12" t="s">
        <v>773</v>
      </c>
      <c r="E12" t="b">
        <v>0</v>
      </c>
      <c r="F12" t="s">
        <v>774</v>
      </c>
      <c r="G12" t="s">
        <v>198</v>
      </c>
      <c r="I12">
        <v>0.95</v>
      </c>
    </row>
    <row r="13" spans="1:9" x14ac:dyDescent="0.35">
      <c r="A13" t="s">
        <v>31</v>
      </c>
      <c r="B13">
        <v>2019</v>
      </c>
      <c r="C13" t="s">
        <v>216</v>
      </c>
      <c r="D13" t="s">
        <v>217</v>
      </c>
      <c r="E13" t="b">
        <v>0</v>
      </c>
      <c r="F13" t="s">
        <v>218</v>
      </c>
      <c r="G13" t="s">
        <v>198</v>
      </c>
      <c r="I13">
        <v>1</v>
      </c>
    </row>
    <row r="14" spans="1:9" x14ac:dyDescent="0.35">
      <c r="A14" t="s">
        <v>32</v>
      </c>
      <c r="B14">
        <v>2019</v>
      </c>
      <c r="C14" t="s">
        <v>33</v>
      </c>
      <c r="D14" t="s">
        <v>219</v>
      </c>
      <c r="E14" t="b">
        <v>1</v>
      </c>
      <c r="F14" t="s">
        <v>775</v>
      </c>
      <c r="G14" t="s">
        <v>206</v>
      </c>
      <c r="H14" t="s">
        <v>206</v>
      </c>
      <c r="I14">
        <v>0.9</v>
      </c>
    </row>
    <row r="15" spans="1:9" x14ac:dyDescent="0.35">
      <c r="A15" t="s">
        <v>42</v>
      </c>
      <c r="B15">
        <v>2019</v>
      </c>
      <c r="C15" t="s">
        <v>43</v>
      </c>
      <c r="D15" t="s">
        <v>44</v>
      </c>
      <c r="E15" t="b">
        <v>0</v>
      </c>
      <c r="F15" t="s">
        <v>776</v>
      </c>
      <c r="G15" t="s">
        <v>198</v>
      </c>
      <c r="I15">
        <v>0.9</v>
      </c>
    </row>
    <row r="16" spans="1:9" x14ac:dyDescent="0.35">
      <c r="A16" t="s">
        <v>45</v>
      </c>
      <c r="B16">
        <v>2019</v>
      </c>
      <c r="C16" t="s">
        <v>46</v>
      </c>
      <c r="D16" t="s">
        <v>220</v>
      </c>
      <c r="E16" t="b">
        <v>0</v>
      </c>
      <c r="F16" t="s">
        <v>777</v>
      </c>
      <c r="G16" t="s">
        <v>198</v>
      </c>
      <c r="I16">
        <v>0.9</v>
      </c>
    </row>
    <row r="17" spans="1:9" x14ac:dyDescent="0.35">
      <c r="A17" t="s">
        <v>47</v>
      </c>
      <c r="B17">
        <v>2019</v>
      </c>
      <c r="C17" t="s">
        <v>48</v>
      </c>
      <c r="D17" t="s">
        <v>178</v>
      </c>
      <c r="E17" t="b">
        <v>0</v>
      </c>
      <c r="F17" t="s">
        <v>199</v>
      </c>
      <c r="G17" t="s">
        <v>198</v>
      </c>
      <c r="I17">
        <v>0.95</v>
      </c>
    </row>
    <row r="18" spans="1:9" x14ac:dyDescent="0.35">
      <c r="A18" t="s">
        <v>49</v>
      </c>
      <c r="B18">
        <v>2019</v>
      </c>
      <c r="C18" t="s">
        <v>184</v>
      </c>
      <c r="D18" t="s">
        <v>185</v>
      </c>
      <c r="E18" t="b">
        <v>0</v>
      </c>
      <c r="F18" t="s">
        <v>202</v>
      </c>
      <c r="G18" t="s">
        <v>198</v>
      </c>
      <c r="I18">
        <v>0.9</v>
      </c>
    </row>
    <row r="19" spans="1:9" x14ac:dyDescent="0.35">
      <c r="A19" t="s">
        <v>50</v>
      </c>
      <c r="B19">
        <v>2019</v>
      </c>
      <c r="C19" t="s">
        <v>186</v>
      </c>
      <c r="D19" t="s">
        <v>187</v>
      </c>
      <c r="E19" t="b">
        <v>0</v>
      </c>
      <c r="F19" t="s">
        <v>202</v>
      </c>
      <c r="G19" t="s">
        <v>198</v>
      </c>
      <c r="I19">
        <v>0.95</v>
      </c>
    </row>
    <row r="20" spans="1:9" x14ac:dyDescent="0.35">
      <c r="A20" t="s">
        <v>57</v>
      </c>
      <c r="B20">
        <v>2019</v>
      </c>
      <c r="C20" t="s">
        <v>58</v>
      </c>
      <c r="D20" t="s">
        <v>188</v>
      </c>
      <c r="E20" t="b">
        <v>0</v>
      </c>
      <c r="F20" t="s">
        <v>199</v>
      </c>
      <c r="G20" t="s">
        <v>198</v>
      </c>
      <c r="I20">
        <v>0.9</v>
      </c>
    </row>
    <row r="21" spans="1:9" x14ac:dyDescent="0.35">
      <c r="A21" t="s">
        <v>60</v>
      </c>
      <c r="B21">
        <v>2019</v>
      </c>
      <c r="C21" t="s">
        <v>61</v>
      </c>
      <c r="D21" t="s">
        <v>221</v>
      </c>
      <c r="E21" t="b">
        <v>0</v>
      </c>
      <c r="F21" t="s">
        <v>778</v>
      </c>
      <c r="G21" t="s">
        <v>198</v>
      </c>
      <c r="I21">
        <v>0.9</v>
      </c>
    </row>
    <row r="22" spans="1:9" x14ac:dyDescent="0.35">
      <c r="A22" t="s">
        <v>62</v>
      </c>
      <c r="B22">
        <v>2019</v>
      </c>
      <c r="C22" t="s">
        <v>63</v>
      </c>
      <c r="D22" t="s">
        <v>189</v>
      </c>
      <c r="E22" t="b">
        <v>0</v>
      </c>
      <c r="F22" t="s">
        <v>779</v>
      </c>
      <c r="G22" t="s">
        <v>198</v>
      </c>
      <c r="I22">
        <v>0.9</v>
      </c>
    </row>
    <row r="23" spans="1:9" x14ac:dyDescent="0.35">
      <c r="A23" t="s">
        <v>74</v>
      </c>
      <c r="B23">
        <v>2019</v>
      </c>
      <c r="C23" t="s">
        <v>75</v>
      </c>
      <c r="D23" t="s">
        <v>190</v>
      </c>
      <c r="E23" t="b">
        <v>1</v>
      </c>
      <c r="F23" t="s">
        <v>780</v>
      </c>
      <c r="G23" t="s">
        <v>200</v>
      </c>
      <c r="H23" t="s">
        <v>200</v>
      </c>
      <c r="I23">
        <v>0.9</v>
      </c>
    </row>
    <row r="24" spans="1:9" x14ac:dyDescent="0.35">
      <c r="A24" t="s">
        <v>76</v>
      </c>
      <c r="B24">
        <v>2019</v>
      </c>
      <c r="C24" t="s">
        <v>77</v>
      </c>
      <c r="D24" t="s">
        <v>222</v>
      </c>
      <c r="E24" t="b">
        <v>0</v>
      </c>
      <c r="F24" t="s">
        <v>781</v>
      </c>
      <c r="G24" t="s">
        <v>198</v>
      </c>
      <c r="I24">
        <v>0.9</v>
      </c>
    </row>
    <row r="25" spans="1:9" x14ac:dyDescent="0.35">
      <c r="A25" t="s">
        <v>78</v>
      </c>
      <c r="B25">
        <v>2019</v>
      </c>
      <c r="C25" t="s">
        <v>79</v>
      </c>
      <c r="D25" t="s">
        <v>179</v>
      </c>
      <c r="E25" t="b">
        <v>0</v>
      </c>
      <c r="F25" t="s">
        <v>782</v>
      </c>
      <c r="G25" t="s">
        <v>198</v>
      </c>
      <c r="I25">
        <v>0.9</v>
      </c>
    </row>
    <row r="26" spans="1:9" x14ac:dyDescent="0.35">
      <c r="A26" t="s">
        <v>83</v>
      </c>
      <c r="B26">
        <v>2019</v>
      </c>
      <c r="C26" t="s">
        <v>84</v>
      </c>
      <c r="D26" t="s">
        <v>191</v>
      </c>
      <c r="E26" t="b">
        <v>0</v>
      </c>
      <c r="F26" t="s">
        <v>783</v>
      </c>
      <c r="G26" t="s">
        <v>198</v>
      </c>
      <c r="I26">
        <v>1</v>
      </c>
    </row>
    <row r="27" spans="1:9" ht="409.5" x14ac:dyDescent="0.35">
      <c r="A27" t="s">
        <v>85</v>
      </c>
      <c r="B27">
        <v>2019</v>
      </c>
      <c r="C27" t="s">
        <v>86</v>
      </c>
      <c r="D27" s="1" t="s">
        <v>87</v>
      </c>
      <c r="E27" t="b">
        <v>0</v>
      </c>
      <c r="F27" t="s">
        <v>784</v>
      </c>
      <c r="G27" t="s">
        <v>198</v>
      </c>
      <c r="I27">
        <v>0.9</v>
      </c>
    </row>
    <row r="28" spans="1:9" x14ac:dyDescent="0.35">
      <c r="A28" t="s">
        <v>91</v>
      </c>
      <c r="B28">
        <v>2019</v>
      </c>
      <c r="C28" t="s">
        <v>92</v>
      </c>
      <c r="D28" t="s">
        <v>93</v>
      </c>
      <c r="E28" t="b">
        <v>1</v>
      </c>
      <c r="F28" t="s">
        <v>223</v>
      </c>
      <c r="G28" t="s">
        <v>200</v>
      </c>
      <c r="H28" t="s">
        <v>200</v>
      </c>
      <c r="I28">
        <v>0.9</v>
      </c>
    </row>
    <row r="29" spans="1:9" x14ac:dyDescent="0.35">
      <c r="A29" t="s">
        <v>94</v>
      </c>
      <c r="B29">
        <v>2019</v>
      </c>
      <c r="C29" t="s">
        <v>95</v>
      </c>
      <c r="D29" t="s">
        <v>96</v>
      </c>
      <c r="E29" t="b">
        <v>1</v>
      </c>
      <c r="F29" t="s">
        <v>203</v>
      </c>
      <c r="G29" t="s">
        <v>200</v>
      </c>
      <c r="H29" t="s">
        <v>200</v>
      </c>
      <c r="I29">
        <v>0.9</v>
      </c>
    </row>
    <row r="30" spans="1:9" x14ac:dyDescent="0.35">
      <c r="A30" t="s">
        <v>99</v>
      </c>
      <c r="B30">
        <v>2019</v>
      </c>
      <c r="C30" t="s">
        <v>100</v>
      </c>
      <c r="D30" t="s">
        <v>101</v>
      </c>
      <c r="E30" t="b">
        <v>1</v>
      </c>
      <c r="F30" t="s">
        <v>785</v>
      </c>
      <c r="G30" t="s">
        <v>200</v>
      </c>
      <c r="H30" t="s">
        <v>200</v>
      </c>
      <c r="I30">
        <v>0.9</v>
      </c>
    </row>
    <row r="31" spans="1:9" x14ac:dyDescent="0.35">
      <c r="A31" t="s">
        <v>103</v>
      </c>
      <c r="B31">
        <v>2019</v>
      </c>
      <c r="C31" t="s">
        <v>104</v>
      </c>
      <c r="D31" t="s">
        <v>105</v>
      </c>
      <c r="E31" t="b">
        <v>1</v>
      </c>
      <c r="F31" t="s">
        <v>786</v>
      </c>
      <c r="G31" t="s">
        <v>200</v>
      </c>
      <c r="H31" t="s">
        <v>200</v>
      </c>
      <c r="I31">
        <v>0.9</v>
      </c>
    </row>
    <row r="32" spans="1:9" x14ac:dyDescent="0.35">
      <c r="A32" t="s">
        <v>224</v>
      </c>
      <c r="B32">
        <v>2019</v>
      </c>
      <c r="C32" t="s">
        <v>225</v>
      </c>
      <c r="D32" t="s">
        <v>226</v>
      </c>
      <c r="E32" t="b">
        <v>0</v>
      </c>
      <c r="F32" t="s">
        <v>227</v>
      </c>
      <c r="G32" t="s">
        <v>198</v>
      </c>
      <c r="I32">
        <v>0.9</v>
      </c>
    </row>
    <row r="33" spans="1:9" x14ac:dyDescent="0.35">
      <c r="A33" t="s">
        <v>228</v>
      </c>
      <c r="B33">
        <v>2019</v>
      </c>
      <c r="C33" t="s">
        <v>229</v>
      </c>
      <c r="D33" t="s">
        <v>230</v>
      </c>
      <c r="E33" t="b">
        <v>1</v>
      </c>
      <c r="F33" t="s">
        <v>787</v>
      </c>
      <c r="G33" t="s">
        <v>206</v>
      </c>
      <c r="H33" t="s">
        <v>206</v>
      </c>
      <c r="I33">
        <v>0.9</v>
      </c>
    </row>
    <row r="34" spans="1:9" x14ac:dyDescent="0.35">
      <c r="A34" t="s">
        <v>444</v>
      </c>
      <c r="B34">
        <v>2019</v>
      </c>
      <c r="C34" t="s">
        <v>445</v>
      </c>
      <c r="D34" t="s">
        <v>788</v>
      </c>
      <c r="E34" t="b">
        <v>1</v>
      </c>
      <c r="F34" t="s">
        <v>789</v>
      </c>
      <c r="G34" t="s">
        <v>206</v>
      </c>
      <c r="H34" t="s">
        <v>206</v>
      </c>
      <c r="I34">
        <v>0.9</v>
      </c>
    </row>
    <row r="35" spans="1:9" x14ac:dyDescent="0.35">
      <c r="A35" t="s">
        <v>447</v>
      </c>
      <c r="B35">
        <v>2019</v>
      </c>
      <c r="C35" t="s">
        <v>448</v>
      </c>
      <c r="D35" t="s">
        <v>449</v>
      </c>
      <c r="E35" t="b">
        <v>0</v>
      </c>
      <c r="F35" t="s">
        <v>790</v>
      </c>
      <c r="G35" t="s">
        <v>198</v>
      </c>
      <c r="I35">
        <v>0.9</v>
      </c>
    </row>
    <row r="36" spans="1:9" x14ac:dyDescent="0.35">
      <c r="A36" t="s">
        <v>450</v>
      </c>
      <c r="B36">
        <v>2019</v>
      </c>
      <c r="C36" t="s">
        <v>451</v>
      </c>
      <c r="D36" t="s">
        <v>452</v>
      </c>
      <c r="E36" t="b">
        <v>1</v>
      </c>
      <c r="F36" t="s">
        <v>791</v>
      </c>
      <c r="G36" t="s">
        <v>206</v>
      </c>
      <c r="H36" t="s">
        <v>206</v>
      </c>
      <c r="I36">
        <v>0.9</v>
      </c>
    </row>
    <row r="37" spans="1:9" x14ac:dyDescent="0.35">
      <c r="A37" t="s">
        <v>231</v>
      </c>
      <c r="B37">
        <v>2019</v>
      </c>
      <c r="C37" t="s">
        <v>232</v>
      </c>
      <c r="D37" t="s">
        <v>233</v>
      </c>
      <c r="E37" t="b">
        <v>0</v>
      </c>
      <c r="F37" t="s">
        <v>792</v>
      </c>
      <c r="G37" t="s">
        <v>198</v>
      </c>
      <c r="I37">
        <v>0.9</v>
      </c>
    </row>
    <row r="38" spans="1:9" x14ac:dyDescent="0.35">
      <c r="A38" t="s">
        <v>234</v>
      </c>
      <c r="B38">
        <v>2019</v>
      </c>
      <c r="C38" t="s">
        <v>235</v>
      </c>
      <c r="D38" t="s">
        <v>236</v>
      </c>
      <c r="E38" t="b">
        <v>0</v>
      </c>
      <c r="F38" t="s">
        <v>793</v>
      </c>
      <c r="G38" t="s">
        <v>198</v>
      </c>
      <c r="I38">
        <v>0.9</v>
      </c>
    </row>
    <row r="39" spans="1:9" x14ac:dyDescent="0.35">
      <c r="A39" t="s">
        <v>237</v>
      </c>
      <c r="B39">
        <v>2019</v>
      </c>
      <c r="C39" t="s">
        <v>238</v>
      </c>
      <c r="D39" t="s">
        <v>239</v>
      </c>
      <c r="E39" t="b">
        <v>0</v>
      </c>
      <c r="F39" t="s">
        <v>794</v>
      </c>
      <c r="G39" t="s">
        <v>198</v>
      </c>
      <c r="I39">
        <v>0.9</v>
      </c>
    </row>
    <row r="40" spans="1:9" x14ac:dyDescent="0.35">
      <c r="A40" t="s">
        <v>474</v>
      </c>
      <c r="B40">
        <v>2019</v>
      </c>
      <c r="C40" t="s">
        <v>475</v>
      </c>
      <c r="D40" t="s">
        <v>795</v>
      </c>
      <c r="E40" t="b">
        <v>0</v>
      </c>
      <c r="F40" t="s">
        <v>796</v>
      </c>
      <c r="G40" t="s">
        <v>198</v>
      </c>
      <c r="I40">
        <v>0.9</v>
      </c>
    </row>
    <row r="41" spans="1:9" x14ac:dyDescent="0.35">
      <c r="A41" t="s">
        <v>240</v>
      </c>
      <c r="B41">
        <v>2019</v>
      </c>
      <c r="C41" t="s">
        <v>241</v>
      </c>
      <c r="D41" t="s">
        <v>242</v>
      </c>
      <c r="E41" t="b">
        <v>0</v>
      </c>
      <c r="F41" t="s">
        <v>243</v>
      </c>
      <c r="G41" t="s">
        <v>198</v>
      </c>
      <c r="I41">
        <v>0.9</v>
      </c>
    </row>
    <row r="42" spans="1:9" x14ac:dyDescent="0.35">
      <c r="A42" t="s">
        <v>244</v>
      </c>
      <c r="B42">
        <v>2019</v>
      </c>
      <c r="C42" t="s">
        <v>245</v>
      </c>
      <c r="D42" t="s">
        <v>246</v>
      </c>
      <c r="E42" t="b">
        <v>0</v>
      </c>
      <c r="F42" t="s">
        <v>797</v>
      </c>
      <c r="G42" t="s">
        <v>198</v>
      </c>
      <c r="I42">
        <v>0.9</v>
      </c>
    </row>
    <row r="43" spans="1:9" ht="409.5" x14ac:dyDescent="0.35">
      <c r="A43" t="s">
        <v>247</v>
      </c>
      <c r="B43">
        <v>2019</v>
      </c>
      <c r="C43" t="s">
        <v>248</v>
      </c>
      <c r="D43" s="1" t="s">
        <v>249</v>
      </c>
      <c r="E43" t="b">
        <v>1</v>
      </c>
      <c r="F43" t="s">
        <v>250</v>
      </c>
      <c r="G43" t="s">
        <v>206</v>
      </c>
      <c r="H43" t="s">
        <v>206</v>
      </c>
      <c r="I43">
        <v>0.9</v>
      </c>
    </row>
    <row r="44" spans="1:9" x14ac:dyDescent="0.35">
      <c r="A44" t="s">
        <v>251</v>
      </c>
      <c r="B44">
        <v>2019</v>
      </c>
      <c r="C44" t="s">
        <v>252</v>
      </c>
      <c r="D44" t="s">
        <v>253</v>
      </c>
      <c r="E44" t="b">
        <v>1</v>
      </c>
      <c r="F44" t="s">
        <v>254</v>
      </c>
      <c r="G44" t="s">
        <v>200</v>
      </c>
      <c r="H44" t="s">
        <v>200</v>
      </c>
      <c r="I44">
        <v>0.9</v>
      </c>
    </row>
    <row r="45" spans="1:9" x14ac:dyDescent="0.35">
      <c r="A45" t="s">
        <v>255</v>
      </c>
      <c r="B45">
        <v>2019</v>
      </c>
      <c r="C45" t="s">
        <v>256</v>
      </c>
      <c r="D45" t="s">
        <v>257</v>
      </c>
      <c r="E45" t="b">
        <v>1</v>
      </c>
      <c r="F45" t="s">
        <v>798</v>
      </c>
      <c r="G45" t="s">
        <v>200</v>
      </c>
      <c r="H45" t="s">
        <v>200</v>
      </c>
      <c r="I45">
        <v>0.9</v>
      </c>
    </row>
    <row r="46" spans="1:9" x14ac:dyDescent="0.35">
      <c r="A46" t="s">
        <v>258</v>
      </c>
      <c r="B46">
        <v>2019</v>
      </c>
      <c r="C46" t="s">
        <v>259</v>
      </c>
      <c r="D46" t="s">
        <v>260</v>
      </c>
      <c r="E46" t="b">
        <v>1</v>
      </c>
      <c r="F46" t="s">
        <v>261</v>
      </c>
      <c r="G46" t="s">
        <v>206</v>
      </c>
      <c r="H46" t="s">
        <v>262</v>
      </c>
      <c r="I46">
        <v>0.9</v>
      </c>
    </row>
    <row r="47" spans="1:9" x14ac:dyDescent="0.35">
      <c r="A47" t="s">
        <v>263</v>
      </c>
      <c r="B47">
        <v>2019</v>
      </c>
      <c r="C47" t="s">
        <v>264</v>
      </c>
      <c r="D47" t="s">
        <v>265</v>
      </c>
      <c r="E47" t="b">
        <v>0</v>
      </c>
      <c r="F47" t="s">
        <v>199</v>
      </c>
      <c r="G47" t="s">
        <v>198</v>
      </c>
      <c r="I47">
        <v>0.9</v>
      </c>
    </row>
    <row r="48" spans="1:9" x14ac:dyDescent="0.35">
      <c r="A48" t="s">
        <v>266</v>
      </c>
      <c r="B48">
        <v>2019</v>
      </c>
      <c r="C48" t="s">
        <v>267</v>
      </c>
      <c r="D48" t="s">
        <v>268</v>
      </c>
      <c r="E48" t="b">
        <v>0</v>
      </c>
      <c r="F48" t="s">
        <v>799</v>
      </c>
      <c r="G48" t="s">
        <v>198</v>
      </c>
      <c r="I48">
        <v>0.9</v>
      </c>
    </row>
    <row r="49" spans="1:9" x14ac:dyDescent="0.35">
      <c r="A49" t="s">
        <v>269</v>
      </c>
      <c r="B49">
        <v>2019</v>
      </c>
      <c r="C49" t="s">
        <v>270</v>
      </c>
      <c r="D49" t="s">
        <v>271</v>
      </c>
      <c r="E49" t="b">
        <v>0</v>
      </c>
      <c r="F49" t="s">
        <v>800</v>
      </c>
      <c r="G49" t="s">
        <v>198</v>
      </c>
      <c r="I49">
        <v>0.9</v>
      </c>
    </row>
    <row r="50" spans="1:9" x14ac:dyDescent="0.35">
      <c r="A50" t="s">
        <v>272</v>
      </c>
      <c r="B50">
        <v>2019</v>
      </c>
      <c r="C50" t="s">
        <v>273</v>
      </c>
      <c r="D50" t="s">
        <v>274</v>
      </c>
      <c r="E50" t="b">
        <v>0</v>
      </c>
      <c r="F50" t="s">
        <v>801</v>
      </c>
      <c r="G50" t="s">
        <v>198</v>
      </c>
      <c r="I50">
        <v>0.9</v>
      </c>
    </row>
    <row r="51" spans="1:9" x14ac:dyDescent="0.35">
      <c r="A51" t="s">
        <v>275</v>
      </c>
      <c r="B51">
        <v>2019</v>
      </c>
      <c r="C51" t="s">
        <v>276</v>
      </c>
      <c r="D51" t="s">
        <v>277</v>
      </c>
      <c r="E51" t="b">
        <v>1</v>
      </c>
      <c r="F51" t="s">
        <v>278</v>
      </c>
      <c r="G51" t="s">
        <v>200</v>
      </c>
      <c r="H51" t="s">
        <v>200</v>
      </c>
      <c r="I51">
        <v>0.9</v>
      </c>
    </row>
    <row r="52" spans="1:9" x14ac:dyDescent="0.35">
      <c r="A52" t="s">
        <v>279</v>
      </c>
      <c r="B52">
        <v>2019</v>
      </c>
      <c r="C52" t="s">
        <v>280</v>
      </c>
      <c r="D52" t="s">
        <v>281</v>
      </c>
      <c r="E52" t="b">
        <v>0</v>
      </c>
      <c r="F52" t="s">
        <v>199</v>
      </c>
      <c r="G52" t="s">
        <v>198</v>
      </c>
      <c r="I52">
        <v>0.95</v>
      </c>
    </row>
    <row r="53" spans="1:9" x14ac:dyDescent="0.35">
      <c r="A53" t="s">
        <v>282</v>
      </c>
      <c r="B53">
        <v>2021</v>
      </c>
      <c r="C53" t="s">
        <v>283</v>
      </c>
      <c r="D53" t="s">
        <v>284</v>
      </c>
      <c r="E53" t="b">
        <v>0</v>
      </c>
      <c r="F53" t="s">
        <v>802</v>
      </c>
      <c r="G53" t="s">
        <v>198</v>
      </c>
      <c r="I53">
        <v>0.9</v>
      </c>
    </row>
    <row r="54" spans="1:9" x14ac:dyDescent="0.35">
      <c r="A54" t="s">
        <v>285</v>
      </c>
      <c r="B54">
        <v>2021</v>
      </c>
      <c r="C54" t="s">
        <v>286</v>
      </c>
      <c r="D54" t="s">
        <v>287</v>
      </c>
      <c r="E54" t="b">
        <v>1</v>
      </c>
      <c r="F54" t="s">
        <v>288</v>
      </c>
      <c r="G54" t="s">
        <v>207</v>
      </c>
      <c r="H54" t="s">
        <v>289</v>
      </c>
      <c r="I54">
        <v>0.9</v>
      </c>
    </row>
    <row r="55" spans="1:9" x14ac:dyDescent="0.35">
      <c r="A55" t="s">
        <v>290</v>
      </c>
      <c r="B55">
        <v>2021</v>
      </c>
      <c r="C55" t="s">
        <v>291</v>
      </c>
      <c r="D55" t="s">
        <v>292</v>
      </c>
      <c r="E55" t="b">
        <v>0</v>
      </c>
      <c r="F55" t="s">
        <v>199</v>
      </c>
      <c r="G55" t="s">
        <v>198</v>
      </c>
      <c r="I55">
        <v>0.9</v>
      </c>
    </row>
    <row r="56" spans="1:9" x14ac:dyDescent="0.35">
      <c r="A56" t="s">
        <v>293</v>
      </c>
      <c r="B56">
        <v>2021</v>
      </c>
      <c r="C56" t="s">
        <v>294</v>
      </c>
      <c r="D56" t="s">
        <v>295</v>
      </c>
      <c r="E56" t="b">
        <v>0</v>
      </c>
      <c r="F56" t="s">
        <v>803</v>
      </c>
      <c r="G56" t="s">
        <v>198</v>
      </c>
      <c r="I56">
        <v>0.9</v>
      </c>
    </row>
    <row r="57" spans="1:9" x14ac:dyDescent="0.35">
      <c r="A57" t="s">
        <v>296</v>
      </c>
      <c r="B57">
        <v>2021</v>
      </c>
      <c r="C57" t="s">
        <v>297</v>
      </c>
      <c r="D57" t="s">
        <v>298</v>
      </c>
      <c r="E57" t="b">
        <v>0</v>
      </c>
      <c r="F57" t="s">
        <v>299</v>
      </c>
      <c r="G57" t="s">
        <v>198</v>
      </c>
      <c r="I57">
        <v>0.9</v>
      </c>
    </row>
    <row r="58" spans="1:9" x14ac:dyDescent="0.35">
      <c r="A58" t="s">
        <v>300</v>
      </c>
      <c r="B58">
        <v>2021</v>
      </c>
      <c r="C58" t="s">
        <v>301</v>
      </c>
      <c r="D58" t="s">
        <v>302</v>
      </c>
      <c r="E58" t="b">
        <v>1</v>
      </c>
      <c r="F58" t="s">
        <v>804</v>
      </c>
      <c r="G58" t="s">
        <v>206</v>
      </c>
      <c r="H58" t="s">
        <v>206</v>
      </c>
      <c r="I58">
        <v>0.9</v>
      </c>
    </row>
    <row r="59" spans="1:9" x14ac:dyDescent="0.35">
      <c r="A59" t="s">
        <v>303</v>
      </c>
      <c r="B59">
        <v>2021</v>
      </c>
      <c r="C59" t="s">
        <v>304</v>
      </c>
      <c r="D59" t="s">
        <v>305</v>
      </c>
      <c r="E59" t="b">
        <v>0</v>
      </c>
      <c r="F59" t="s">
        <v>306</v>
      </c>
      <c r="G59" t="s">
        <v>198</v>
      </c>
      <c r="I59">
        <v>0.9</v>
      </c>
    </row>
    <row r="60" spans="1:9" x14ac:dyDescent="0.35">
      <c r="A60" t="s">
        <v>307</v>
      </c>
      <c r="B60">
        <v>2021</v>
      </c>
      <c r="C60" t="s">
        <v>308</v>
      </c>
      <c r="D60" t="s">
        <v>309</v>
      </c>
      <c r="E60" t="b">
        <v>0</v>
      </c>
      <c r="F60" t="s">
        <v>800</v>
      </c>
      <c r="G60" t="s">
        <v>198</v>
      </c>
      <c r="I60">
        <v>0.9</v>
      </c>
    </row>
    <row r="61" spans="1:9" x14ac:dyDescent="0.35">
      <c r="A61" t="s">
        <v>310</v>
      </c>
      <c r="B61">
        <v>2021</v>
      </c>
      <c r="C61" t="s">
        <v>311</v>
      </c>
      <c r="D61" t="s">
        <v>312</v>
      </c>
      <c r="E61" t="b">
        <v>0</v>
      </c>
      <c r="F61" t="s">
        <v>805</v>
      </c>
      <c r="G61" t="s">
        <v>198</v>
      </c>
      <c r="I61">
        <v>0.9</v>
      </c>
    </row>
    <row r="62" spans="1:9" ht="409.5" x14ac:dyDescent="0.35">
      <c r="A62" t="s">
        <v>313</v>
      </c>
      <c r="B62">
        <v>2021</v>
      </c>
      <c r="C62" t="s">
        <v>314</v>
      </c>
      <c r="D62" s="1" t="s">
        <v>315</v>
      </c>
      <c r="E62" t="b">
        <v>1</v>
      </c>
      <c r="F62" t="s">
        <v>806</v>
      </c>
      <c r="G62" t="s">
        <v>206</v>
      </c>
      <c r="H62" t="s">
        <v>206</v>
      </c>
      <c r="I62">
        <v>0.9</v>
      </c>
    </row>
    <row r="63" spans="1:9" x14ac:dyDescent="0.35">
      <c r="A63" t="s">
        <v>316</v>
      </c>
      <c r="B63">
        <v>2021</v>
      </c>
      <c r="C63" t="s">
        <v>317</v>
      </c>
      <c r="D63" t="s">
        <v>318</v>
      </c>
      <c r="E63" t="b">
        <v>0</v>
      </c>
      <c r="F63" t="s">
        <v>807</v>
      </c>
      <c r="G63" t="s">
        <v>198</v>
      </c>
      <c r="I63">
        <v>0.9</v>
      </c>
    </row>
    <row r="64" spans="1:9" x14ac:dyDescent="0.35">
      <c r="A64" t="s">
        <v>319</v>
      </c>
      <c r="B64">
        <v>2021</v>
      </c>
      <c r="C64" t="s">
        <v>320</v>
      </c>
      <c r="D64" t="s">
        <v>321</v>
      </c>
      <c r="E64" t="b">
        <v>0</v>
      </c>
      <c r="F64" t="s">
        <v>322</v>
      </c>
      <c r="G64" t="s">
        <v>198</v>
      </c>
      <c r="I64">
        <v>0.9</v>
      </c>
    </row>
    <row r="65" spans="1:9" x14ac:dyDescent="0.35">
      <c r="A65" t="s">
        <v>323</v>
      </c>
      <c r="B65">
        <v>2021</v>
      </c>
      <c r="C65" t="s">
        <v>324</v>
      </c>
      <c r="D65" t="s">
        <v>325</v>
      </c>
      <c r="E65" t="b">
        <v>0</v>
      </c>
      <c r="F65" t="s">
        <v>808</v>
      </c>
      <c r="G65" t="s">
        <v>198</v>
      </c>
      <c r="I65">
        <v>0.9</v>
      </c>
    </row>
    <row r="66" spans="1:9" x14ac:dyDescent="0.35">
      <c r="A66" t="s">
        <v>326</v>
      </c>
      <c r="B66">
        <v>2021</v>
      </c>
      <c r="C66" t="s">
        <v>327</v>
      </c>
      <c r="D66" t="s">
        <v>328</v>
      </c>
      <c r="E66" t="b">
        <v>0</v>
      </c>
      <c r="F66" t="s">
        <v>809</v>
      </c>
      <c r="G66" t="s">
        <v>198</v>
      </c>
      <c r="I66">
        <v>0.9</v>
      </c>
    </row>
    <row r="67" spans="1:9" x14ac:dyDescent="0.35">
      <c r="A67" t="s">
        <v>329</v>
      </c>
      <c r="B67">
        <v>2021</v>
      </c>
      <c r="C67" t="s">
        <v>330</v>
      </c>
      <c r="D67" t="s">
        <v>331</v>
      </c>
      <c r="E67" t="b">
        <v>1</v>
      </c>
      <c r="F67" t="s">
        <v>332</v>
      </c>
      <c r="G67" t="s">
        <v>200</v>
      </c>
      <c r="H67" t="s">
        <v>200</v>
      </c>
      <c r="I67">
        <v>0.9</v>
      </c>
    </row>
    <row r="68" spans="1:9" x14ac:dyDescent="0.35">
      <c r="A68" t="s">
        <v>333</v>
      </c>
      <c r="B68">
        <v>2021</v>
      </c>
      <c r="C68" t="s">
        <v>334</v>
      </c>
      <c r="D68" t="s">
        <v>335</v>
      </c>
      <c r="E68" t="b">
        <v>0</v>
      </c>
      <c r="F68" t="s">
        <v>810</v>
      </c>
      <c r="G68" t="s">
        <v>198</v>
      </c>
      <c r="I68">
        <v>1</v>
      </c>
    </row>
    <row r="69" spans="1:9" x14ac:dyDescent="0.35">
      <c r="A69" t="s">
        <v>336</v>
      </c>
      <c r="B69">
        <v>2021</v>
      </c>
      <c r="C69" t="s">
        <v>337</v>
      </c>
      <c r="D69" t="s">
        <v>338</v>
      </c>
      <c r="E69" t="b">
        <v>0</v>
      </c>
      <c r="F69" t="s">
        <v>201</v>
      </c>
      <c r="G69" t="s">
        <v>198</v>
      </c>
      <c r="I69">
        <v>0.9</v>
      </c>
    </row>
    <row r="70" spans="1:9" x14ac:dyDescent="0.35">
      <c r="A70" t="s">
        <v>340</v>
      </c>
      <c r="B70">
        <v>2021</v>
      </c>
      <c r="C70" t="s">
        <v>341</v>
      </c>
      <c r="D70" t="s">
        <v>342</v>
      </c>
      <c r="E70" t="b">
        <v>1</v>
      </c>
      <c r="F70" t="s">
        <v>811</v>
      </c>
      <c r="G70" t="s">
        <v>206</v>
      </c>
      <c r="H70" t="s">
        <v>206</v>
      </c>
      <c r="I70">
        <v>0.9</v>
      </c>
    </row>
    <row r="71" spans="1:9" ht="409.5" x14ac:dyDescent="0.35">
      <c r="A71" t="s">
        <v>343</v>
      </c>
      <c r="B71">
        <v>2021</v>
      </c>
      <c r="C71" t="s">
        <v>344</v>
      </c>
      <c r="D71" s="1" t="s">
        <v>345</v>
      </c>
      <c r="E71" t="b">
        <v>0</v>
      </c>
      <c r="F71" t="s">
        <v>812</v>
      </c>
      <c r="G71" t="s">
        <v>198</v>
      </c>
      <c r="I71">
        <v>0.9</v>
      </c>
    </row>
    <row r="72" spans="1:9" x14ac:dyDescent="0.35">
      <c r="A72" t="s">
        <v>346</v>
      </c>
      <c r="B72">
        <v>2021</v>
      </c>
      <c r="C72" t="s">
        <v>347</v>
      </c>
      <c r="D72" t="s">
        <v>348</v>
      </c>
      <c r="E72" t="b">
        <v>0</v>
      </c>
      <c r="F72" t="s">
        <v>813</v>
      </c>
      <c r="G72" t="s">
        <v>198</v>
      </c>
      <c r="I72">
        <v>1</v>
      </c>
    </row>
    <row r="73" spans="1:9" x14ac:dyDescent="0.35">
      <c r="A73" t="s">
        <v>349</v>
      </c>
      <c r="B73">
        <v>2021</v>
      </c>
      <c r="C73" t="s">
        <v>350</v>
      </c>
      <c r="D73" t="s">
        <v>351</v>
      </c>
      <c r="E73" t="b">
        <v>0</v>
      </c>
      <c r="F73" t="s">
        <v>814</v>
      </c>
      <c r="G73" t="s">
        <v>198</v>
      </c>
      <c r="I73">
        <v>0.9</v>
      </c>
    </row>
    <row r="74" spans="1:9" x14ac:dyDescent="0.35">
      <c r="A74" t="s">
        <v>352</v>
      </c>
      <c r="B74">
        <v>2021</v>
      </c>
      <c r="C74" t="s">
        <v>353</v>
      </c>
      <c r="D74" t="s">
        <v>354</v>
      </c>
      <c r="E74" t="b">
        <v>0</v>
      </c>
      <c r="F74" t="s">
        <v>355</v>
      </c>
      <c r="G74" t="s">
        <v>198</v>
      </c>
      <c r="I74">
        <v>1</v>
      </c>
    </row>
    <row r="75" spans="1:9" x14ac:dyDescent="0.35">
      <c r="A75" t="s">
        <v>356</v>
      </c>
      <c r="B75">
        <v>2021</v>
      </c>
      <c r="C75" t="s">
        <v>357</v>
      </c>
      <c r="D75" t="s">
        <v>358</v>
      </c>
      <c r="E75" t="b">
        <v>0</v>
      </c>
      <c r="F75" t="s">
        <v>359</v>
      </c>
      <c r="G75" t="s">
        <v>198</v>
      </c>
      <c r="I75">
        <v>0.9</v>
      </c>
    </row>
    <row r="76" spans="1:9" x14ac:dyDescent="0.35">
      <c r="A76" t="s">
        <v>360</v>
      </c>
      <c r="B76">
        <v>2021</v>
      </c>
      <c r="C76" t="s">
        <v>361</v>
      </c>
      <c r="D76" t="s">
        <v>362</v>
      </c>
      <c r="E76" t="b">
        <v>0</v>
      </c>
      <c r="F76" t="s">
        <v>815</v>
      </c>
      <c r="G76" t="s">
        <v>198</v>
      </c>
      <c r="I76">
        <v>0.9</v>
      </c>
    </row>
    <row r="77" spans="1:9" x14ac:dyDescent="0.35">
      <c r="A77" t="s">
        <v>363</v>
      </c>
      <c r="B77">
        <v>2021</v>
      </c>
      <c r="C77" t="s">
        <v>364</v>
      </c>
      <c r="D77" t="s">
        <v>365</v>
      </c>
      <c r="E77" t="b">
        <v>0</v>
      </c>
      <c r="F77" t="s">
        <v>793</v>
      </c>
      <c r="G77" t="s">
        <v>198</v>
      </c>
      <c r="I77">
        <v>0.9</v>
      </c>
    </row>
    <row r="78" spans="1:9" x14ac:dyDescent="0.35">
      <c r="A78" t="s">
        <v>366</v>
      </c>
      <c r="B78">
        <v>2021</v>
      </c>
      <c r="C78" t="s">
        <v>367</v>
      </c>
      <c r="D78" t="s">
        <v>368</v>
      </c>
      <c r="E78" t="b">
        <v>0</v>
      </c>
      <c r="F78" t="s">
        <v>369</v>
      </c>
      <c r="G78" t="s">
        <v>198</v>
      </c>
      <c r="I78">
        <v>0.9</v>
      </c>
    </row>
    <row r="79" spans="1:9" x14ac:dyDescent="0.35">
      <c r="A79" t="s">
        <v>370</v>
      </c>
      <c r="B79">
        <v>2021</v>
      </c>
      <c r="C79" t="s">
        <v>371</v>
      </c>
      <c r="D79" t="s">
        <v>372</v>
      </c>
      <c r="E79" t="b">
        <v>1</v>
      </c>
      <c r="F79" t="s">
        <v>816</v>
      </c>
      <c r="G79" t="s">
        <v>207</v>
      </c>
      <c r="H79" t="s">
        <v>207</v>
      </c>
      <c r="I79">
        <v>0.9</v>
      </c>
    </row>
    <row r="80" spans="1:9" x14ac:dyDescent="0.35">
      <c r="A80" t="s">
        <v>654</v>
      </c>
      <c r="B80">
        <v>2021</v>
      </c>
      <c r="C80" t="s">
        <v>655</v>
      </c>
      <c r="D80" t="s">
        <v>817</v>
      </c>
      <c r="E80" t="b">
        <v>0</v>
      </c>
      <c r="F80" t="s">
        <v>818</v>
      </c>
      <c r="G80" t="s">
        <v>198</v>
      </c>
      <c r="I80">
        <v>1</v>
      </c>
    </row>
    <row r="81" spans="1:9" x14ac:dyDescent="0.35">
      <c r="A81" t="s">
        <v>663</v>
      </c>
      <c r="B81">
        <v>2021</v>
      </c>
      <c r="C81" t="s">
        <v>664</v>
      </c>
      <c r="D81" t="s">
        <v>665</v>
      </c>
      <c r="E81" t="b">
        <v>0</v>
      </c>
      <c r="F81" t="s">
        <v>819</v>
      </c>
      <c r="G81" t="s">
        <v>198</v>
      </c>
      <c r="I81">
        <v>0.9</v>
      </c>
    </row>
    <row r="82" spans="1:9" x14ac:dyDescent="0.35">
      <c r="A82" t="s">
        <v>373</v>
      </c>
      <c r="B82">
        <v>2021</v>
      </c>
      <c r="C82" t="s">
        <v>374</v>
      </c>
      <c r="D82" t="s">
        <v>375</v>
      </c>
      <c r="E82" t="b">
        <v>0</v>
      </c>
      <c r="F82" t="s">
        <v>322</v>
      </c>
      <c r="G82" t="s">
        <v>198</v>
      </c>
      <c r="I82">
        <v>0.9</v>
      </c>
    </row>
    <row r="83" spans="1:9" x14ac:dyDescent="0.35">
      <c r="A83" t="s">
        <v>376</v>
      </c>
      <c r="B83">
        <v>2021</v>
      </c>
      <c r="C83" t="s">
        <v>377</v>
      </c>
      <c r="D83" t="s">
        <v>378</v>
      </c>
      <c r="E83" t="b">
        <v>0</v>
      </c>
      <c r="F83" t="s">
        <v>820</v>
      </c>
      <c r="G83" t="s">
        <v>198</v>
      </c>
      <c r="I83">
        <v>0.95</v>
      </c>
    </row>
    <row r="84" spans="1:9" x14ac:dyDescent="0.35">
      <c r="A84" t="s">
        <v>379</v>
      </c>
      <c r="B84">
        <v>2021</v>
      </c>
      <c r="C84" t="s">
        <v>380</v>
      </c>
      <c r="D84" t="s">
        <v>381</v>
      </c>
      <c r="E84" t="b">
        <v>0</v>
      </c>
      <c r="F84" t="s">
        <v>322</v>
      </c>
      <c r="G84" t="s">
        <v>198</v>
      </c>
      <c r="I84">
        <v>0.9</v>
      </c>
    </row>
    <row r="85" spans="1:9" ht="409.5" x14ac:dyDescent="0.35">
      <c r="A85" t="s">
        <v>382</v>
      </c>
      <c r="B85">
        <v>2021</v>
      </c>
      <c r="C85" t="s">
        <v>383</v>
      </c>
      <c r="D85" s="1" t="s">
        <v>384</v>
      </c>
      <c r="E85" t="b">
        <v>0</v>
      </c>
      <c r="F85" t="s">
        <v>199</v>
      </c>
      <c r="G85" t="s">
        <v>198</v>
      </c>
      <c r="I85">
        <v>1</v>
      </c>
    </row>
    <row r="86" spans="1:9" x14ac:dyDescent="0.35">
      <c r="A86" t="s">
        <v>385</v>
      </c>
      <c r="B86">
        <v>2021</v>
      </c>
      <c r="C86" t="s">
        <v>386</v>
      </c>
      <c r="D86" t="s">
        <v>387</v>
      </c>
      <c r="E86" t="b">
        <v>0</v>
      </c>
      <c r="F86" t="s">
        <v>821</v>
      </c>
      <c r="G86" t="s">
        <v>198</v>
      </c>
      <c r="I86">
        <v>0.9</v>
      </c>
    </row>
    <row r="87" spans="1:9" x14ac:dyDescent="0.35">
      <c r="A87" t="s">
        <v>388</v>
      </c>
      <c r="B87">
        <v>2021</v>
      </c>
      <c r="C87" t="s">
        <v>389</v>
      </c>
      <c r="D87" t="s">
        <v>390</v>
      </c>
      <c r="E87" t="b">
        <v>1</v>
      </c>
      <c r="F87" t="s">
        <v>391</v>
      </c>
      <c r="G87" t="s">
        <v>207</v>
      </c>
      <c r="H87" t="s">
        <v>207</v>
      </c>
      <c r="I87">
        <v>0.9</v>
      </c>
    </row>
    <row r="88" spans="1:9" x14ac:dyDescent="0.35">
      <c r="A88" t="s">
        <v>675</v>
      </c>
      <c r="B88">
        <v>2021</v>
      </c>
      <c r="C88" t="s">
        <v>822</v>
      </c>
      <c r="D88" t="s">
        <v>823</v>
      </c>
      <c r="E88" t="b">
        <v>0</v>
      </c>
      <c r="F88" t="s">
        <v>824</v>
      </c>
      <c r="G88" t="s">
        <v>198</v>
      </c>
      <c r="I88">
        <v>0.9</v>
      </c>
    </row>
    <row r="89" spans="1:9" x14ac:dyDescent="0.35">
      <c r="A89" t="s">
        <v>392</v>
      </c>
      <c r="B89">
        <v>2021</v>
      </c>
      <c r="C89" t="s">
        <v>393</v>
      </c>
      <c r="D89" t="s">
        <v>394</v>
      </c>
      <c r="E89" t="b">
        <v>1</v>
      </c>
      <c r="F89" t="s">
        <v>825</v>
      </c>
      <c r="G89" t="s">
        <v>207</v>
      </c>
      <c r="H89" t="s">
        <v>207</v>
      </c>
      <c r="I89">
        <v>0.8</v>
      </c>
    </row>
    <row r="90" spans="1:9" x14ac:dyDescent="0.35">
      <c r="A90" t="s">
        <v>398</v>
      </c>
      <c r="B90">
        <v>2021</v>
      </c>
      <c r="C90" t="s">
        <v>399</v>
      </c>
      <c r="D90" t="s">
        <v>400</v>
      </c>
      <c r="E90" t="b">
        <v>1</v>
      </c>
      <c r="F90" t="s">
        <v>826</v>
      </c>
      <c r="G90" t="s">
        <v>200</v>
      </c>
      <c r="H90" t="s">
        <v>200</v>
      </c>
      <c r="I90">
        <v>0.9</v>
      </c>
    </row>
    <row r="91" spans="1:9" x14ac:dyDescent="0.35">
      <c r="A91" t="s">
        <v>401</v>
      </c>
      <c r="B91">
        <v>2021</v>
      </c>
      <c r="C91" t="s">
        <v>402</v>
      </c>
      <c r="D91" t="s">
        <v>403</v>
      </c>
      <c r="E91" t="b">
        <v>0</v>
      </c>
      <c r="F91" t="s">
        <v>827</v>
      </c>
      <c r="G91" t="s">
        <v>198</v>
      </c>
      <c r="I91">
        <v>0.9</v>
      </c>
    </row>
    <row r="92" spans="1:9" x14ac:dyDescent="0.35">
      <c r="A92" t="s">
        <v>404</v>
      </c>
      <c r="B92">
        <v>2021</v>
      </c>
      <c r="C92" t="s">
        <v>405</v>
      </c>
      <c r="D92" t="s">
        <v>406</v>
      </c>
      <c r="E92" t="b">
        <v>0</v>
      </c>
      <c r="F92" t="s">
        <v>828</v>
      </c>
      <c r="G92" t="s">
        <v>198</v>
      </c>
      <c r="I92">
        <v>1</v>
      </c>
    </row>
    <row r="93" spans="1:9" x14ac:dyDescent="0.35">
      <c r="A93" t="s">
        <v>407</v>
      </c>
      <c r="B93">
        <v>2021</v>
      </c>
      <c r="C93" t="s">
        <v>408</v>
      </c>
      <c r="D93" t="s">
        <v>409</v>
      </c>
      <c r="E93" t="b">
        <v>1</v>
      </c>
      <c r="F93" t="s">
        <v>829</v>
      </c>
      <c r="G93" t="s">
        <v>206</v>
      </c>
      <c r="H93" t="s">
        <v>206</v>
      </c>
      <c r="I93">
        <v>0.9</v>
      </c>
    </row>
    <row r="94" spans="1:9" x14ac:dyDescent="0.35">
      <c r="A94" t="s">
        <v>410</v>
      </c>
      <c r="B94">
        <v>2021</v>
      </c>
      <c r="C94" t="s">
        <v>411</v>
      </c>
      <c r="D94" t="s">
        <v>412</v>
      </c>
      <c r="E94" t="b">
        <v>1</v>
      </c>
      <c r="F94" t="s">
        <v>413</v>
      </c>
      <c r="G94" t="s">
        <v>200</v>
      </c>
      <c r="H94" t="s">
        <v>200</v>
      </c>
      <c r="I94">
        <v>0.9</v>
      </c>
    </row>
    <row r="95" spans="1:9" ht="409.5" x14ac:dyDescent="0.35">
      <c r="A95" t="s">
        <v>414</v>
      </c>
      <c r="B95">
        <v>2025</v>
      </c>
      <c r="C95" t="s">
        <v>415</v>
      </c>
      <c r="D95" s="1" t="s">
        <v>416</v>
      </c>
      <c r="E95" t="b">
        <v>0</v>
      </c>
      <c r="F95" t="s">
        <v>830</v>
      </c>
      <c r="G95" t="s">
        <v>198</v>
      </c>
      <c r="I95">
        <v>0.9</v>
      </c>
    </row>
    <row r="96" spans="1:9" x14ac:dyDescent="0.35">
      <c r="A96" t="s">
        <v>417</v>
      </c>
      <c r="B96">
        <v>2025</v>
      </c>
      <c r="C96" t="s">
        <v>415</v>
      </c>
      <c r="D96" t="s">
        <v>418</v>
      </c>
      <c r="E96" t="b">
        <v>0</v>
      </c>
      <c r="F96" t="s">
        <v>831</v>
      </c>
      <c r="G96" t="s">
        <v>198</v>
      </c>
      <c r="I96">
        <v>0.95</v>
      </c>
    </row>
    <row r="97" spans="1:9" x14ac:dyDescent="0.35">
      <c r="A97" t="s">
        <v>719</v>
      </c>
      <c r="B97">
        <v>2025</v>
      </c>
      <c r="C97" t="s">
        <v>720</v>
      </c>
      <c r="D97" t="s">
        <v>721</v>
      </c>
      <c r="E97" t="b">
        <v>1</v>
      </c>
      <c r="F97" t="s">
        <v>832</v>
      </c>
      <c r="G97" t="s">
        <v>207</v>
      </c>
      <c r="H97" t="s">
        <v>289</v>
      </c>
      <c r="I97">
        <v>0.9</v>
      </c>
    </row>
    <row r="98" spans="1:9" x14ac:dyDescent="0.35">
      <c r="A98" t="s">
        <v>419</v>
      </c>
      <c r="B98">
        <v>2025</v>
      </c>
      <c r="C98" t="s">
        <v>420</v>
      </c>
      <c r="D98" t="s">
        <v>421</v>
      </c>
      <c r="E98" t="b">
        <v>0</v>
      </c>
      <c r="F98" t="s">
        <v>793</v>
      </c>
      <c r="G98" t="s">
        <v>198</v>
      </c>
      <c r="I98">
        <v>0.9</v>
      </c>
    </row>
    <row r="99" spans="1:9" x14ac:dyDescent="0.35">
      <c r="A99" t="s">
        <v>724</v>
      </c>
      <c r="B99">
        <v>2025</v>
      </c>
      <c r="C99" t="s">
        <v>725</v>
      </c>
      <c r="D99" t="s">
        <v>726</v>
      </c>
      <c r="E99" t="b">
        <v>0</v>
      </c>
      <c r="F99" t="s">
        <v>833</v>
      </c>
      <c r="G99" t="s">
        <v>198</v>
      </c>
      <c r="I99">
        <v>0.9</v>
      </c>
    </row>
    <row r="100" spans="1:9" x14ac:dyDescent="0.35">
      <c r="A100" t="s">
        <v>422</v>
      </c>
      <c r="B100">
        <v>2025</v>
      </c>
      <c r="C100" t="s">
        <v>423</v>
      </c>
      <c r="D100" t="s">
        <v>424</v>
      </c>
      <c r="E100" t="b">
        <v>0</v>
      </c>
      <c r="F100" t="s">
        <v>834</v>
      </c>
      <c r="G100" t="s">
        <v>198</v>
      </c>
      <c r="I100">
        <v>0.9</v>
      </c>
    </row>
    <row r="101" spans="1:9" x14ac:dyDescent="0.35">
      <c r="A101" t="s">
        <v>425</v>
      </c>
      <c r="B101">
        <v>2025</v>
      </c>
      <c r="C101" t="s">
        <v>426</v>
      </c>
      <c r="D101" t="s">
        <v>427</v>
      </c>
      <c r="E101" t="b">
        <v>0</v>
      </c>
      <c r="F101" t="s">
        <v>428</v>
      </c>
      <c r="G101" t="s">
        <v>198</v>
      </c>
      <c r="I101">
        <v>0.9</v>
      </c>
    </row>
    <row r="102" spans="1:9" x14ac:dyDescent="0.35">
      <c r="A102" t="s">
        <v>429</v>
      </c>
      <c r="B102">
        <v>2025</v>
      </c>
      <c r="C102" t="s">
        <v>430</v>
      </c>
      <c r="D102" t="s">
        <v>431</v>
      </c>
      <c r="E102" t="b">
        <v>1</v>
      </c>
      <c r="F102" t="s">
        <v>835</v>
      </c>
      <c r="G102" t="s">
        <v>207</v>
      </c>
      <c r="H102" t="s">
        <v>207</v>
      </c>
      <c r="I102">
        <v>0.9</v>
      </c>
    </row>
    <row r="103" spans="1:9" x14ac:dyDescent="0.35">
      <c r="A103" t="s">
        <v>432</v>
      </c>
      <c r="B103">
        <v>2025</v>
      </c>
      <c r="C103" t="s">
        <v>433</v>
      </c>
      <c r="D103" t="s">
        <v>434</v>
      </c>
      <c r="E103" t="b">
        <v>1</v>
      </c>
      <c r="F103" t="s">
        <v>435</v>
      </c>
      <c r="G103" t="s">
        <v>207</v>
      </c>
      <c r="H103" t="s">
        <v>207</v>
      </c>
      <c r="I103">
        <v>0.9</v>
      </c>
    </row>
    <row r="104" spans="1:9" x14ac:dyDescent="0.35">
      <c r="A104" t="s">
        <v>436</v>
      </c>
      <c r="B104">
        <v>2025</v>
      </c>
      <c r="C104" t="s">
        <v>437</v>
      </c>
      <c r="D104" t="s">
        <v>438</v>
      </c>
      <c r="E104" t="b">
        <v>0</v>
      </c>
      <c r="F104" t="s">
        <v>836</v>
      </c>
      <c r="G104" t="s">
        <v>198</v>
      </c>
      <c r="I104">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56000-B170-40EA-8241-FE1490451DA5}">
  <dimension ref="A1:A104"/>
  <sheetViews>
    <sheetView workbookViewId="0">
      <selection sqref="A1:A104"/>
    </sheetView>
  </sheetViews>
  <sheetFormatPr defaultRowHeight="14.5" x14ac:dyDescent="0.35"/>
  <sheetData>
    <row r="1" spans="1:1" x14ac:dyDescent="0.35">
      <c r="A1" t="s">
        <v>0</v>
      </c>
    </row>
    <row r="2" spans="1:1" x14ac:dyDescent="0.35">
      <c r="A2" t="s">
        <v>8</v>
      </c>
    </row>
    <row r="3" spans="1:1" x14ac:dyDescent="0.35">
      <c r="A3" t="s">
        <v>10</v>
      </c>
    </row>
    <row r="4" spans="1:1" x14ac:dyDescent="0.35">
      <c r="A4" t="s">
        <v>12</v>
      </c>
    </row>
    <row r="5" spans="1:1" x14ac:dyDescent="0.35">
      <c r="A5" t="s">
        <v>14</v>
      </c>
    </row>
    <row r="6" spans="1:1" x14ac:dyDescent="0.35">
      <c r="A6" t="s">
        <v>16</v>
      </c>
    </row>
    <row r="7" spans="1:1" x14ac:dyDescent="0.35">
      <c r="A7" t="s">
        <v>19</v>
      </c>
    </row>
    <row r="8" spans="1:1" x14ac:dyDescent="0.35">
      <c r="A8" t="s">
        <v>21</v>
      </c>
    </row>
    <row r="9" spans="1:1" x14ac:dyDescent="0.35">
      <c r="A9" t="s">
        <v>23</v>
      </c>
    </row>
    <row r="10" spans="1:1" x14ac:dyDescent="0.35">
      <c r="A10" t="s">
        <v>24</v>
      </c>
    </row>
    <row r="11" spans="1:1" x14ac:dyDescent="0.35">
      <c r="A11" t="s">
        <v>27</v>
      </c>
    </row>
    <row r="12" spans="1:1" x14ac:dyDescent="0.35">
      <c r="A12" t="s">
        <v>30</v>
      </c>
    </row>
    <row r="13" spans="1:1" x14ac:dyDescent="0.35">
      <c r="A13" t="s">
        <v>31</v>
      </c>
    </row>
    <row r="14" spans="1:1" x14ac:dyDescent="0.35">
      <c r="A14" t="s">
        <v>32</v>
      </c>
    </row>
    <row r="15" spans="1:1" x14ac:dyDescent="0.35">
      <c r="A15" t="s">
        <v>42</v>
      </c>
    </row>
    <row r="16" spans="1:1" x14ac:dyDescent="0.35">
      <c r="A16" t="s">
        <v>45</v>
      </c>
    </row>
    <row r="17" spans="1:1" x14ac:dyDescent="0.35">
      <c r="A17" t="s">
        <v>47</v>
      </c>
    </row>
    <row r="18" spans="1:1" x14ac:dyDescent="0.35">
      <c r="A18" t="s">
        <v>49</v>
      </c>
    </row>
    <row r="19" spans="1:1" x14ac:dyDescent="0.35">
      <c r="A19" t="s">
        <v>50</v>
      </c>
    </row>
    <row r="20" spans="1:1" x14ac:dyDescent="0.35">
      <c r="A20" t="s">
        <v>57</v>
      </c>
    </row>
    <row r="21" spans="1:1" x14ac:dyDescent="0.35">
      <c r="A21" t="s">
        <v>60</v>
      </c>
    </row>
    <row r="22" spans="1:1" x14ac:dyDescent="0.35">
      <c r="A22" t="s">
        <v>62</v>
      </c>
    </row>
    <row r="23" spans="1:1" x14ac:dyDescent="0.35">
      <c r="A23" t="s">
        <v>74</v>
      </c>
    </row>
    <row r="24" spans="1:1" x14ac:dyDescent="0.35">
      <c r="A24" t="s">
        <v>76</v>
      </c>
    </row>
    <row r="25" spans="1:1" x14ac:dyDescent="0.35">
      <c r="A25" t="s">
        <v>78</v>
      </c>
    </row>
    <row r="26" spans="1:1" x14ac:dyDescent="0.35">
      <c r="A26" t="s">
        <v>83</v>
      </c>
    </row>
    <row r="27" spans="1:1" x14ac:dyDescent="0.35">
      <c r="A27" t="s">
        <v>85</v>
      </c>
    </row>
    <row r="28" spans="1:1" x14ac:dyDescent="0.35">
      <c r="A28" t="s">
        <v>91</v>
      </c>
    </row>
    <row r="29" spans="1:1" x14ac:dyDescent="0.35">
      <c r="A29" t="s">
        <v>94</v>
      </c>
    </row>
    <row r="30" spans="1:1" x14ac:dyDescent="0.35">
      <c r="A30" t="s">
        <v>99</v>
      </c>
    </row>
    <row r="31" spans="1:1" x14ac:dyDescent="0.35">
      <c r="A31" t="s">
        <v>103</v>
      </c>
    </row>
    <row r="32" spans="1:1" x14ac:dyDescent="0.35">
      <c r="A32" t="s">
        <v>224</v>
      </c>
    </row>
    <row r="33" spans="1:1" x14ac:dyDescent="0.35">
      <c r="A33" t="s">
        <v>228</v>
      </c>
    </row>
    <row r="34" spans="1:1" x14ac:dyDescent="0.35">
      <c r="A34" t="s">
        <v>444</v>
      </c>
    </row>
    <row r="35" spans="1:1" x14ac:dyDescent="0.35">
      <c r="A35" t="s">
        <v>447</v>
      </c>
    </row>
    <row r="36" spans="1:1" x14ac:dyDescent="0.35">
      <c r="A36" t="s">
        <v>450</v>
      </c>
    </row>
    <row r="37" spans="1:1" x14ac:dyDescent="0.35">
      <c r="A37" t="s">
        <v>231</v>
      </c>
    </row>
    <row r="38" spans="1:1" x14ac:dyDescent="0.35">
      <c r="A38" t="s">
        <v>234</v>
      </c>
    </row>
    <row r="39" spans="1:1" x14ac:dyDescent="0.35">
      <c r="A39" t="s">
        <v>237</v>
      </c>
    </row>
    <row r="40" spans="1:1" x14ac:dyDescent="0.35">
      <c r="A40" t="s">
        <v>474</v>
      </c>
    </row>
    <row r="41" spans="1:1" x14ac:dyDescent="0.35">
      <c r="A41" t="s">
        <v>240</v>
      </c>
    </row>
    <row r="42" spans="1:1" x14ac:dyDescent="0.35">
      <c r="A42" t="s">
        <v>244</v>
      </c>
    </row>
    <row r="43" spans="1:1" x14ac:dyDescent="0.35">
      <c r="A43" t="s">
        <v>247</v>
      </c>
    </row>
    <row r="44" spans="1:1" x14ac:dyDescent="0.35">
      <c r="A44" t="s">
        <v>251</v>
      </c>
    </row>
    <row r="45" spans="1:1" x14ac:dyDescent="0.35">
      <c r="A45" t="s">
        <v>255</v>
      </c>
    </row>
    <row r="46" spans="1:1" x14ac:dyDescent="0.35">
      <c r="A46" t="s">
        <v>258</v>
      </c>
    </row>
    <row r="47" spans="1:1" x14ac:dyDescent="0.35">
      <c r="A47" t="s">
        <v>263</v>
      </c>
    </row>
    <row r="48" spans="1:1" x14ac:dyDescent="0.35">
      <c r="A48" t="s">
        <v>266</v>
      </c>
    </row>
    <row r="49" spans="1:1" x14ac:dyDescent="0.35">
      <c r="A49" t="s">
        <v>269</v>
      </c>
    </row>
    <row r="50" spans="1:1" x14ac:dyDescent="0.35">
      <c r="A50" t="s">
        <v>272</v>
      </c>
    </row>
    <row r="51" spans="1:1" x14ac:dyDescent="0.35">
      <c r="A51" t="s">
        <v>275</v>
      </c>
    </row>
    <row r="52" spans="1:1" x14ac:dyDescent="0.35">
      <c r="A52" t="s">
        <v>279</v>
      </c>
    </row>
    <row r="53" spans="1:1" x14ac:dyDescent="0.35">
      <c r="A53" t="s">
        <v>282</v>
      </c>
    </row>
    <row r="54" spans="1:1" x14ac:dyDescent="0.35">
      <c r="A54" t="s">
        <v>285</v>
      </c>
    </row>
    <row r="55" spans="1:1" x14ac:dyDescent="0.35">
      <c r="A55" t="s">
        <v>290</v>
      </c>
    </row>
    <row r="56" spans="1:1" x14ac:dyDescent="0.35">
      <c r="A56" t="s">
        <v>293</v>
      </c>
    </row>
    <row r="57" spans="1:1" x14ac:dyDescent="0.35">
      <c r="A57" t="s">
        <v>296</v>
      </c>
    </row>
    <row r="58" spans="1:1" x14ac:dyDescent="0.35">
      <c r="A58" t="s">
        <v>300</v>
      </c>
    </row>
    <row r="59" spans="1:1" x14ac:dyDescent="0.35">
      <c r="A59" t="s">
        <v>303</v>
      </c>
    </row>
    <row r="60" spans="1:1" x14ac:dyDescent="0.35">
      <c r="A60" t="s">
        <v>307</v>
      </c>
    </row>
    <row r="61" spans="1:1" x14ac:dyDescent="0.35">
      <c r="A61" t="s">
        <v>310</v>
      </c>
    </row>
    <row r="62" spans="1:1" x14ac:dyDescent="0.35">
      <c r="A62" t="s">
        <v>313</v>
      </c>
    </row>
    <row r="63" spans="1:1" x14ac:dyDescent="0.35">
      <c r="A63" t="s">
        <v>316</v>
      </c>
    </row>
    <row r="64" spans="1:1" x14ac:dyDescent="0.35">
      <c r="A64" t="s">
        <v>319</v>
      </c>
    </row>
    <row r="65" spans="1:1" x14ac:dyDescent="0.35">
      <c r="A65" t="s">
        <v>323</v>
      </c>
    </row>
    <row r="66" spans="1:1" x14ac:dyDescent="0.35">
      <c r="A66" t="s">
        <v>326</v>
      </c>
    </row>
    <row r="67" spans="1:1" x14ac:dyDescent="0.35">
      <c r="A67" t="s">
        <v>329</v>
      </c>
    </row>
    <row r="68" spans="1:1" x14ac:dyDescent="0.35">
      <c r="A68" t="s">
        <v>333</v>
      </c>
    </row>
    <row r="69" spans="1:1" x14ac:dyDescent="0.35">
      <c r="A69" t="s">
        <v>336</v>
      </c>
    </row>
    <row r="70" spans="1:1" x14ac:dyDescent="0.35">
      <c r="A70" t="s">
        <v>340</v>
      </c>
    </row>
    <row r="71" spans="1:1" x14ac:dyDescent="0.35">
      <c r="A71" t="s">
        <v>343</v>
      </c>
    </row>
    <row r="72" spans="1:1" x14ac:dyDescent="0.35">
      <c r="A72" t="s">
        <v>346</v>
      </c>
    </row>
    <row r="73" spans="1:1" x14ac:dyDescent="0.35">
      <c r="A73" t="s">
        <v>349</v>
      </c>
    </row>
    <row r="74" spans="1:1" x14ac:dyDescent="0.35">
      <c r="A74" t="s">
        <v>352</v>
      </c>
    </row>
    <row r="75" spans="1:1" x14ac:dyDescent="0.35">
      <c r="A75" t="s">
        <v>356</v>
      </c>
    </row>
    <row r="76" spans="1:1" x14ac:dyDescent="0.35">
      <c r="A76" t="s">
        <v>360</v>
      </c>
    </row>
    <row r="77" spans="1:1" x14ac:dyDescent="0.35">
      <c r="A77" t="s">
        <v>363</v>
      </c>
    </row>
    <row r="78" spans="1:1" x14ac:dyDescent="0.35">
      <c r="A78" t="s">
        <v>366</v>
      </c>
    </row>
    <row r="79" spans="1:1" x14ac:dyDescent="0.35">
      <c r="A79" t="s">
        <v>370</v>
      </c>
    </row>
    <row r="80" spans="1:1" x14ac:dyDescent="0.35">
      <c r="A80" t="s">
        <v>654</v>
      </c>
    </row>
    <row r="81" spans="1:1" x14ac:dyDescent="0.35">
      <c r="A81" t="s">
        <v>663</v>
      </c>
    </row>
    <row r="82" spans="1:1" x14ac:dyDescent="0.35">
      <c r="A82" t="s">
        <v>373</v>
      </c>
    </row>
    <row r="83" spans="1:1" x14ac:dyDescent="0.35">
      <c r="A83" t="s">
        <v>376</v>
      </c>
    </row>
    <row r="84" spans="1:1" x14ac:dyDescent="0.35">
      <c r="A84" t="s">
        <v>379</v>
      </c>
    </row>
    <row r="85" spans="1:1" x14ac:dyDescent="0.35">
      <c r="A85" t="s">
        <v>382</v>
      </c>
    </row>
    <row r="86" spans="1:1" x14ac:dyDescent="0.35">
      <c r="A86" t="s">
        <v>385</v>
      </c>
    </row>
    <row r="87" spans="1:1" x14ac:dyDescent="0.35">
      <c r="A87" t="s">
        <v>388</v>
      </c>
    </row>
    <row r="88" spans="1:1" x14ac:dyDescent="0.35">
      <c r="A88" t="s">
        <v>675</v>
      </c>
    </row>
    <row r="89" spans="1:1" x14ac:dyDescent="0.35">
      <c r="A89" t="s">
        <v>392</v>
      </c>
    </row>
    <row r="90" spans="1:1" x14ac:dyDescent="0.35">
      <c r="A90" t="s">
        <v>398</v>
      </c>
    </row>
    <row r="91" spans="1:1" x14ac:dyDescent="0.35">
      <c r="A91" t="s">
        <v>401</v>
      </c>
    </row>
    <row r="92" spans="1:1" x14ac:dyDescent="0.35">
      <c r="A92" t="s">
        <v>404</v>
      </c>
    </row>
    <row r="93" spans="1:1" x14ac:dyDescent="0.35">
      <c r="A93" t="s">
        <v>407</v>
      </c>
    </row>
    <row r="94" spans="1:1" x14ac:dyDescent="0.35">
      <c r="A94" t="s">
        <v>410</v>
      </c>
    </row>
    <row r="95" spans="1:1" x14ac:dyDescent="0.35">
      <c r="A95" t="s">
        <v>414</v>
      </c>
    </row>
    <row r="96" spans="1:1" x14ac:dyDescent="0.35">
      <c r="A96" t="s">
        <v>417</v>
      </c>
    </row>
    <row r="97" spans="1:1" x14ac:dyDescent="0.35">
      <c r="A97" t="s">
        <v>719</v>
      </c>
    </row>
    <row r="98" spans="1:1" x14ac:dyDescent="0.35">
      <c r="A98" t="s">
        <v>419</v>
      </c>
    </row>
    <row r="99" spans="1:1" x14ac:dyDescent="0.35">
      <c r="A99" t="s">
        <v>724</v>
      </c>
    </row>
    <row r="100" spans="1:1" x14ac:dyDescent="0.35">
      <c r="A100" t="s">
        <v>422</v>
      </c>
    </row>
    <row r="101" spans="1:1" x14ac:dyDescent="0.35">
      <c r="A101" t="s">
        <v>425</v>
      </c>
    </row>
    <row r="102" spans="1:1" x14ac:dyDescent="0.35">
      <c r="A102" t="s">
        <v>429</v>
      </c>
    </row>
    <row r="103" spans="1:1" x14ac:dyDescent="0.35">
      <c r="A103" t="s">
        <v>432</v>
      </c>
    </row>
    <row r="104" spans="1:1" x14ac:dyDescent="0.35">
      <c r="A104" t="s">
        <v>436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E4052-2545-45A0-857B-B79114EE9774}">
  <sheetPr filterMode="1"/>
  <dimension ref="A1:H201"/>
  <sheetViews>
    <sheetView workbookViewId="0">
      <selection activeCell="H1" sqref="H1:H1048576"/>
    </sheetView>
  </sheetViews>
  <sheetFormatPr defaultRowHeight="14.5" x14ac:dyDescent="0.35"/>
  <cols>
    <col min="2" max="2" width="10.81640625" customWidth="1"/>
    <col min="3" max="3" width="13.54296875" customWidth="1"/>
    <col min="4" max="4" width="13.26953125" customWidth="1"/>
  </cols>
  <sheetData>
    <row r="1" spans="1:8" ht="15" thickBot="1" x14ac:dyDescent="0.4">
      <c r="A1" s="4" t="s">
        <v>108</v>
      </c>
      <c r="B1" s="4" t="s">
        <v>1</v>
      </c>
      <c r="C1" s="4" t="s">
        <v>2</v>
      </c>
      <c r="D1" s="5" t="s">
        <v>3</v>
      </c>
      <c r="E1" s="9" t="s">
        <v>109</v>
      </c>
      <c r="F1" s="10" t="s">
        <v>110</v>
      </c>
      <c r="G1" t="s">
        <v>212</v>
      </c>
      <c r="H1" t="s">
        <v>174</v>
      </c>
    </row>
    <row r="2" spans="1:8" hidden="1" x14ac:dyDescent="0.35">
      <c r="A2" t="s">
        <v>4</v>
      </c>
      <c r="B2">
        <v>2019</v>
      </c>
      <c r="C2" t="s">
        <v>5</v>
      </c>
      <c r="D2" t="s">
        <v>111</v>
      </c>
      <c r="E2" t="s">
        <v>112</v>
      </c>
      <c r="F2" t="s">
        <v>200</v>
      </c>
      <c r="G2" t="b">
        <f>IF(E2="Include", TRUE, FALSE)</f>
        <v>1</v>
      </c>
      <c r="H2" t="e">
        <f>VLOOKUP(A2,ID_Lookup!A:A,1,FALSE)</f>
        <v>#N/A</v>
      </c>
    </row>
    <row r="3" spans="1:8" hidden="1" x14ac:dyDescent="0.35">
      <c r="A3" t="s">
        <v>6</v>
      </c>
      <c r="B3">
        <v>2019</v>
      </c>
      <c r="C3" t="s">
        <v>7</v>
      </c>
      <c r="D3" t="s">
        <v>113</v>
      </c>
      <c r="E3" t="s">
        <v>173</v>
      </c>
      <c r="F3" t="s">
        <v>204</v>
      </c>
      <c r="G3" t="b">
        <f t="shared" ref="G3:G66" si="0">IF(E3="Include", TRUE, FALSE)</f>
        <v>0</v>
      </c>
      <c r="H3" t="e">
        <f>VLOOKUP(A3,ID_Lookup!A:A,1,FALSE)</f>
        <v>#N/A</v>
      </c>
    </row>
    <row r="4" spans="1:8" x14ac:dyDescent="0.35">
      <c r="A4" t="s">
        <v>8</v>
      </c>
      <c r="B4">
        <v>2019</v>
      </c>
      <c r="C4" t="s">
        <v>9</v>
      </c>
      <c r="D4" t="s">
        <v>114</v>
      </c>
      <c r="E4" t="s">
        <v>173</v>
      </c>
      <c r="F4" t="s">
        <v>204</v>
      </c>
      <c r="G4" t="b">
        <f t="shared" si="0"/>
        <v>0</v>
      </c>
      <c r="H4" t="str">
        <f>VLOOKUP(A4,ID_Lookup!A:A,1,FALSE)</f>
        <v>J502</v>
      </c>
    </row>
    <row r="5" spans="1:8" x14ac:dyDescent="0.35">
      <c r="A5" t="s">
        <v>10</v>
      </c>
      <c r="B5">
        <v>2019</v>
      </c>
      <c r="C5" t="s">
        <v>11</v>
      </c>
      <c r="D5" t="s">
        <v>115</v>
      </c>
      <c r="E5" t="s">
        <v>112</v>
      </c>
      <c r="F5" t="s">
        <v>200</v>
      </c>
      <c r="G5" t="b">
        <f t="shared" si="0"/>
        <v>1</v>
      </c>
      <c r="H5" t="str">
        <f>VLOOKUP(A5,ID_Lookup!A:A,1,FALSE)</f>
        <v>J503</v>
      </c>
    </row>
    <row r="6" spans="1:8" x14ac:dyDescent="0.35">
      <c r="A6" t="s">
        <v>12</v>
      </c>
      <c r="B6">
        <v>2019</v>
      </c>
      <c r="C6" t="s">
        <v>13</v>
      </c>
      <c r="D6" t="s">
        <v>116</v>
      </c>
      <c r="E6" t="s">
        <v>112</v>
      </c>
      <c r="F6" t="s">
        <v>205</v>
      </c>
      <c r="G6" t="b">
        <f t="shared" si="0"/>
        <v>1</v>
      </c>
      <c r="H6" t="str">
        <f>VLOOKUP(A6,ID_Lookup!A:A,1,FALSE)</f>
        <v>J504</v>
      </c>
    </row>
    <row r="7" spans="1:8" x14ac:dyDescent="0.35">
      <c r="A7" t="s">
        <v>14</v>
      </c>
      <c r="B7">
        <v>2019</v>
      </c>
      <c r="C7" t="s">
        <v>15</v>
      </c>
      <c r="D7" t="s">
        <v>117</v>
      </c>
      <c r="E7" t="s">
        <v>112</v>
      </c>
      <c r="F7" t="s">
        <v>205</v>
      </c>
      <c r="G7" t="b">
        <f t="shared" si="0"/>
        <v>1</v>
      </c>
      <c r="H7" t="str">
        <f>VLOOKUP(A7,ID_Lookup!A:A,1,FALSE)</f>
        <v>J505</v>
      </c>
    </row>
    <row r="8" spans="1:8" x14ac:dyDescent="0.35">
      <c r="A8" t="s">
        <v>16</v>
      </c>
      <c r="B8">
        <v>2019</v>
      </c>
      <c r="C8" t="s">
        <v>17</v>
      </c>
      <c r="D8" t="s">
        <v>118</v>
      </c>
      <c r="E8" t="s">
        <v>112</v>
      </c>
      <c r="F8" t="s">
        <v>205</v>
      </c>
      <c r="G8" t="b">
        <f t="shared" si="0"/>
        <v>1</v>
      </c>
      <c r="H8" t="str">
        <f>VLOOKUP(A8,ID_Lookup!A:A,1,FALSE)</f>
        <v>J506</v>
      </c>
    </row>
    <row r="9" spans="1:8" hidden="1" x14ac:dyDescent="0.35">
      <c r="A9" t="s">
        <v>18</v>
      </c>
      <c r="B9">
        <v>2019</v>
      </c>
      <c r="C9" t="s">
        <v>119</v>
      </c>
      <c r="D9" t="s">
        <v>120</v>
      </c>
      <c r="E9" t="s">
        <v>112</v>
      </c>
      <c r="F9" t="s">
        <v>200</v>
      </c>
      <c r="G9" t="b">
        <f t="shared" si="0"/>
        <v>1</v>
      </c>
      <c r="H9" t="e">
        <f>VLOOKUP(A9,ID_Lookup!A:A,1,FALSE)</f>
        <v>#N/A</v>
      </c>
    </row>
    <row r="10" spans="1:8" x14ac:dyDescent="0.35">
      <c r="A10" t="s">
        <v>19</v>
      </c>
      <c r="B10">
        <v>2019</v>
      </c>
      <c r="C10" t="s">
        <v>20</v>
      </c>
      <c r="D10" t="s">
        <v>121</v>
      </c>
      <c r="E10" t="s">
        <v>112</v>
      </c>
      <c r="F10" t="s">
        <v>205</v>
      </c>
      <c r="G10" t="b">
        <f t="shared" si="0"/>
        <v>1</v>
      </c>
      <c r="H10" t="str">
        <f>VLOOKUP(A10,ID_Lookup!A:A,1,FALSE)</f>
        <v>J508</v>
      </c>
    </row>
    <row r="11" spans="1:8" x14ac:dyDescent="0.35">
      <c r="A11" t="s">
        <v>21</v>
      </c>
      <c r="B11">
        <v>2019</v>
      </c>
      <c r="C11" t="s">
        <v>22</v>
      </c>
      <c r="D11" t="s">
        <v>122</v>
      </c>
      <c r="E11" t="s">
        <v>112</v>
      </c>
      <c r="F11" t="s">
        <v>205</v>
      </c>
      <c r="G11" t="b">
        <f t="shared" si="0"/>
        <v>1</v>
      </c>
      <c r="H11" t="str">
        <f>VLOOKUP(A11,ID_Lookup!A:A,1,FALSE)</f>
        <v>J509</v>
      </c>
    </row>
    <row r="12" spans="1:8" x14ac:dyDescent="0.35">
      <c r="A12" t="s">
        <v>23</v>
      </c>
      <c r="B12">
        <v>2019</v>
      </c>
      <c r="C12" t="s">
        <v>123</v>
      </c>
      <c r="D12" t="s">
        <v>124</v>
      </c>
      <c r="E12" t="s">
        <v>173</v>
      </c>
      <c r="F12" t="s">
        <v>204</v>
      </c>
      <c r="G12" t="b">
        <f t="shared" si="0"/>
        <v>0</v>
      </c>
      <c r="H12" t="str">
        <f>VLOOKUP(A12,ID_Lookup!A:A,1,FALSE)</f>
        <v>J510</v>
      </c>
    </row>
    <row r="13" spans="1:8" x14ac:dyDescent="0.35">
      <c r="A13" t="s">
        <v>24</v>
      </c>
      <c r="B13">
        <v>2019</v>
      </c>
      <c r="C13" t="s">
        <v>25</v>
      </c>
      <c r="D13" t="s">
        <v>26</v>
      </c>
      <c r="E13" t="s">
        <v>173</v>
      </c>
      <c r="F13" t="s">
        <v>204</v>
      </c>
      <c r="G13" t="b">
        <f t="shared" si="0"/>
        <v>0</v>
      </c>
      <c r="H13" t="str">
        <f>VLOOKUP(A13,ID_Lookup!A:A,1,FALSE)</f>
        <v>J511</v>
      </c>
    </row>
    <row r="14" spans="1:8" x14ac:dyDescent="0.35">
      <c r="A14" s="6" t="s">
        <v>27</v>
      </c>
      <c r="B14" s="6">
        <v>2019</v>
      </c>
      <c r="C14" s="6" t="s">
        <v>28</v>
      </c>
      <c r="D14" s="6" t="s">
        <v>29</v>
      </c>
      <c r="E14" t="s">
        <v>173</v>
      </c>
      <c r="F14" t="s">
        <v>204</v>
      </c>
      <c r="G14" t="b">
        <f t="shared" si="0"/>
        <v>0</v>
      </c>
      <c r="H14" t="str">
        <f>VLOOKUP(A14,ID_Lookup!A:A,1,FALSE)</f>
        <v>J512</v>
      </c>
    </row>
    <row r="15" spans="1:8" x14ac:dyDescent="0.35">
      <c r="A15" t="s">
        <v>30</v>
      </c>
      <c r="B15">
        <v>2019</v>
      </c>
      <c r="C15" t="s">
        <v>125</v>
      </c>
      <c r="D15" t="s">
        <v>126</v>
      </c>
      <c r="E15" t="s">
        <v>173</v>
      </c>
      <c r="F15" t="s">
        <v>204</v>
      </c>
      <c r="G15" t="b">
        <f t="shared" si="0"/>
        <v>0</v>
      </c>
      <c r="H15" t="str">
        <f>VLOOKUP(A15,ID_Lookup!A:A,1,FALSE)</f>
        <v>J513</v>
      </c>
    </row>
    <row r="16" spans="1:8" x14ac:dyDescent="0.35">
      <c r="A16" t="s">
        <v>31</v>
      </c>
      <c r="B16">
        <v>2019</v>
      </c>
      <c r="C16" t="s">
        <v>127</v>
      </c>
      <c r="D16" t="s">
        <v>128</v>
      </c>
      <c r="E16" t="s">
        <v>173</v>
      </c>
      <c r="F16" t="s">
        <v>204</v>
      </c>
      <c r="G16" t="b">
        <f t="shared" si="0"/>
        <v>0</v>
      </c>
      <c r="H16" t="str">
        <f>VLOOKUP(A16,ID_Lookup!A:A,1,FALSE)</f>
        <v>J514</v>
      </c>
    </row>
    <row r="17" spans="1:8" x14ac:dyDescent="0.35">
      <c r="A17" t="s">
        <v>32</v>
      </c>
      <c r="B17">
        <v>2019</v>
      </c>
      <c r="C17" t="s">
        <v>33</v>
      </c>
      <c r="D17" t="s">
        <v>129</v>
      </c>
      <c r="E17" t="s">
        <v>112</v>
      </c>
      <c r="F17" t="s">
        <v>206</v>
      </c>
      <c r="G17" t="b">
        <f t="shared" si="0"/>
        <v>1</v>
      </c>
      <c r="H17" t="str">
        <f>VLOOKUP(A17,ID_Lookup!A:A,1,FALSE)</f>
        <v>J515</v>
      </c>
    </row>
    <row r="18" spans="1:8" hidden="1" x14ac:dyDescent="0.35">
      <c r="A18" t="s">
        <v>34</v>
      </c>
      <c r="B18">
        <v>2019</v>
      </c>
      <c r="C18" t="s">
        <v>35</v>
      </c>
      <c r="D18" t="s">
        <v>130</v>
      </c>
      <c r="E18" t="s">
        <v>112</v>
      </c>
      <c r="F18" t="s">
        <v>200</v>
      </c>
      <c r="G18" t="b">
        <f t="shared" si="0"/>
        <v>1</v>
      </c>
      <c r="H18" t="e">
        <f>VLOOKUP(A18,ID_Lookup!A:A,1,FALSE)</f>
        <v>#N/A</v>
      </c>
    </row>
    <row r="19" spans="1:8" s="2" customFormat="1" hidden="1" x14ac:dyDescent="0.35">
      <c r="A19" t="s">
        <v>36</v>
      </c>
      <c r="B19">
        <v>2019</v>
      </c>
      <c r="C19" t="s">
        <v>37</v>
      </c>
      <c r="D19" t="s">
        <v>131</v>
      </c>
      <c r="E19" t="s">
        <v>173</v>
      </c>
      <c r="F19" t="s">
        <v>204</v>
      </c>
      <c r="G19" t="b">
        <f t="shared" si="0"/>
        <v>0</v>
      </c>
      <c r="H19" t="e">
        <f>VLOOKUP(A19,ID_Lookup!A:A,1,FALSE)</f>
        <v>#N/A</v>
      </c>
    </row>
    <row r="20" spans="1:8" hidden="1" x14ac:dyDescent="0.35">
      <c r="A20" t="s">
        <v>38</v>
      </c>
      <c r="B20">
        <v>2019</v>
      </c>
      <c r="C20" t="s">
        <v>39</v>
      </c>
      <c r="D20" t="s">
        <v>132</v>
      </c>
      <c r="E20" t="s">
        <v>173</v>
      </c>
      <c r="F20" t="s">
        <v>204</v>
      </c>
      <c r="G20" t="b">
        <f t="shared" si="0"/>
        <v>0</v>
      </c>
      <c r="H20" t="e">
        <f>VLOOKUP(A20,ID_Lookup!A:A,1,FALSE)</f>
        <v>#N/A</v>
      </c>
    </row>
    <row r="21" spans="1:8" hidden="1" x14ac:dyDescent="0.35">
      <c r="A21" t="s">
        <v>40</v>
      </c>
      <c r="B21">
        <v>2019</v>
      </c>
      <c r="C21" t="s">
        <v>41</v>
      </c>
      <c r="D21" t="s">
        <v>133</v>
      </c>
      <c r="E21" t="s">
        <v>173</v>
      </c>
      <c r="F21" t="s">
        <v>204</v>
      </c>
      <c r="G21" t="b">
        <f t="shared" si="0"/>
        <v>0</v>
      </c>
      <c r="H21" t="e">
        <f>VLOOKUP(A21,ID_Lookup!A:A,1,FALSE)</f>
        <v>#N/A</v>
      </c>
    </row>
    <row r="22" spans="1:8" x14ac:dyDescent="0.35">
      <c r="A22" t="s">
        <v>42</v>
      </c>
      <c r="B22">
        <v>2019</v>
      </c>
      <c r="C22" t="s">
        <v>43</v>
      </c>
      <c r="D22" t="s">
        <v>44</v>
      </c>
      <c r="E22" t="s">
        <v>173</v>
      </c>
      <c r="F22" t="s">
        <v>204</v>
      </c>
      <c r="G22" t="b">
        <f t="shared" si="0"/>
        <v>0</v>
      </c>
      <c r="H22" t="str">
        <f>VLOOKUP(A22,ID_Lookup!A:A,1,FALSE)</f>
        <v>J520</v>
      </c>
    </row>
    <row r="23" spans="1:8" x14ac:dyDescent="0.35">
      <c r="A23" t="s">
        <v>45</v>
      </c>
      <c r="B23">
        <v>2019</v>
      </c>
      <c r="C23" t="s">
        <v>46</v>
      </c>
      <c r="D23" t="s">
        <v>134</v>
      </c>
      <c r="E23" t="s">
        <v>112</v>
      </c>
      <c r="F23" t="s">
        <v>205</v>
      </c>
      <c r="G23" t="b">
        <f t="shared" si="0"/>
        <v>1</v>
      </c>
      <c r="H23" t="str">
        <f>VLOOKUP(A23,ID_Lookup!A:A,1,FALSE)</f>
        <v>J521</v>
      </c>
    </row>
    <row r="24" spans="1:8" x14ac:dyDescent="0.35">
      <c r="A24" t="s">
        <v>47</v>
      </c>
      <c r="B24">
        <v>2019</v>
      </c>
      <c r="C24" t="s">
        <v>48</v>
      </c>
      <c r="D24" t="s">
        <v>135</v>
      </c>
      <c r="E24" t="s">
        <v>173</v>
      </c>
      <c r="F24" t="s">
        <v>204</v>
      </c>
      <c r="G24" t="b">
        <f t="shared" si="0"/>
        <v>0</v>
      </c>
      <c r="H24" t="str">
        <f>VLOOKUP(A24,ID_Lookup!A:A,1,FALSE)</f>
        <v>J522</v>
      </c>
    </row>
    <row r="25" spans="1:8" x14ac:dyDescent="0.35">
      <c r="A25" t="s">
        <v>49</v>
      </c>
      <c r="B25">
        <v>2019</v>
      </c>
      <c r="C25" t="s">
        <v>136</v>
      </c>
      <c r="D25" t="s">
        <v>137</v>
      </c>
      <c r="E25" t="s">
        <v>112</v>
      </c>
      <c r="F25" t="s">
        <v>200</v>
      </c>
      <c r="G25" t="b">
        <f t="shared" si="0"/>
        <v>1</v>
      </c>
      <c r="H25" t="str">
        <f>VLOOKUP(A25,ID_Lookup!A:A,1,FALSE)</f>
        <v>J523</v>
      </c>
    </row>
    <row r="26" spans="1:8" x14ac:dyDescent="0.35">
      <c r="A26" t="s">
        <v>50</v>
      </c>
      <c r="B26">
        <v>2019</v>
      </c>
      <c r="C26" t="s">
        <v>138</v>
      </c>
      <c r="D26" t="s">
        <v>139</v>
      </c>
      <c r="E26" t="s">
        <v>112</v>
      </c>
      <c r="F26" t="s">
        <v>200</v>
      </c>
      <c r="G26" t="b">
        <f t="shared" si="0"/>
        <v>1</v>
      </c>
      <c r="H26" t="str">
        <f>VLOOKUP(A26,ID_Lookup!A:A,1,FALSE)</f>
        <v>J524</v>
      </c>
    </row>
    <row r="27" spans="1:8" hidden="1" x14ac:dyDescent="0.35">
      <c r="A27" t="s">
        <v>51</v>
      </c>
      <c r="B27">
        <v>2019</v>
      </c>
      <c r="C27" t="s">
        <v>52</v>
      </c>
      <c r="D27" t="s">
        <v>53</v>
      </c>
      <c r="E27" t="s">
        <v>112</v>
      </c>
      <c r="F27" t="s">
        <v>200</v>
      </c>
      <c r="G27" t="b">
        <f t="shared" si="0"/>
        <v>1</v>
      </c>
      <c r="H27" t="e">
        <f>VLOOKUP(A27,ID_Lookup!A:A,1,FALSE)</f>
        <v>#N/A</v>
      </c>
    </row>
    <row r="28" spans="1:8" hidden="1" x14ac:dyDescent="0.35">
      <c r="A28" t="s">
        <v>54</v>
      </c>
      <c r="B28">
        <v>2019</v>
      </c>
      <c r="C28" t="s">
        <v>55</v>
      </c>
      <c r="D28" t="s">
        <v>56</v>
      </c>
      <c r="E28" t="s">
        <v>112</v>
      </c>
      <c r="F28" t="s">
        <v>207</v>
      </c>
      <c r="G28" t="b">
        <f t="shared" si="0"/>
        <v>1</v>
      </c>
      <c r="H28" t="e">
        <f>VLOOKUP(A28,ID_Lookup!A:A,1,FALSE)</f>
        <v>#N/A</v>
      </c>
    </row>
    <row r="29" spans="1:8" x14ac:dyDescent="0.35">
      <c r="A29" t="s">
        <v>57</v>
      </c>
      <c r="B29">
        <v>2019</v>
      </c>
      <c r="C29" t="s">
        <v>58</v>
      </c>
      <c r="D29" t="s">
        <v>140</v>
      </c>
      <c r="E29" t="s">
        <v>173</v>
      </c>
      <c r="F29" t="s">
        <v>204</v>
      </c>
      <c r="G29" t="b">
        <f t="shared" si="0"/>
        <v>0</v>
      </c>
      <c r="H29" t="str">
        <f>VLOOKUP(A29,ID_Lookup!A:A,1,FALSE)</f>
        <v>J527</v>
      </c>
    </row>
    <row r="30" spans="1:8" hidden="1" x14ac:dyDescent="0.35">
      <c r="A30" t="s">
        <v>59</v>
      </c>
      <c r="B30">
        <v>2019</v>
      </c>
      <c r="C30" t="s">
        <v>141</v>
      </c>
      <c r="D30" t="s">
        <v>142</v>
      </c>
      <c r="E30" t="s">
        <v>173</v>
      </c>
      <c r="F30" t="s">
        <v>204</v>
      </c>
      <c r="G30" t="b">
        <f t="shared" si="0"/>
        <v>0</v>
      </c>
      <c r="H30" t="e">
        <f>VLOOKUP(A30,ID_Lookup!A:A,1,FALSE)</f>
        <v>#N/A</v>
      </c>
    </row>
    <row r="31" spans="1:8" x14ac:dyDescent="0.35">
      <c r="A31" t="s">
        <v>60</v>
      </c>
      <c r="B31">
        <v>2019</v>
      </c>
      <c r="C31" t="s">
        <v>61</v>
      </c>
      <c r="D31" t="s">
        <v>143</v>
      </c>
      <c r="E31" t="s">
        <v>173</v>
      </c>
      <c r="F31" t="s">
        <v>204</v>
      </c>
      <c r="G31" t="b">
        <f t="shared" si="0"/>
        <v>0</v>
      </c>
      <c r="H31" t="str">
        <f>VLOOKUP(A31,ID_Lookup!A:A,1,FALSE)</f>
        <v>J529</v>
      </c>
    </row>
    <row r="32" spans="1:8" x14ac:dyDescent="0.35">
      <c r="A32" t="s">
        <v>62</v>
      </c>
      <c r="B32">
        <v>2019</v>
      </c>
      <c r="C32" t="s">
        <v>63</v>
      </c>
      <c r="D32" t="s">
        <v>144</v>
      </c>
      <c r="E32" t="s">
        <v>173</v>
      </c>
      <c r="F32" t="s">
        <v>204</v>
      </c>
      <c r="G32" t="b">
        <f t="shared" si="0"/>
        <v>0</v>
      </c>
      <c r="H32" t="str">
        <f>VLOOKUP(A32,ID_Lookup!A:A,1,FALSE)</f>
        <v>J530</v>
      </c>
    </row>
    <row r="33" spans="1:8" hidden="1" x14ac:dyDescent="0.35">
      <c r="A33" t="s">
        <v>64</v>
      </c>
      <c r="B33">
        <v>2019</v>
      </c>
      <c r="C33" t="s">
        <v>65</v>
      </c>
      <c r="D33" t="s">
        <v>145</v>
      </c>
      <c r="E33" t="s">
        <v>173</v>
      </c>
      <c r="F33" t="s">
        <v>204</v>
      </c>
      <c r="G33" t="b">
        <f t="shared" si="0"/>
        <v>0</v>
      </c>
      <c r="H33" t="e">
        <f>VLOOKUP(A33,ID_Lookup!A:A,1,FALSE)</f>
        <v>#N/A</v>
      </c>
    </row>
    <row r="34" spans="1:8" hidden="1" x14ac:dyDescent="0.35">
      <c r="A34" t="s">
        <v>66</v>
      </c>
      <c r="B34">
        <v>2019</v>
      </c>
      <c r="C34" t="s">
        <v>67</v>
      </c>
      <c r="D34" t="s">
        <v>68</v>
      </c>
      <c r="E34" t="s">
        <v>173</v>
      </c>
      <c r="F34" t="s">
        <v>204</v>
      </c>
      <c r="G34" t="b">
        <f t="shared" si="0"/>
        <v>0</v>
      </c>
      <c r="H34" t="e">
        <f>VLOOKUP(A34,ID_Lookup!A:A,1,FALSE)</f>
        <v>#N/A</v>
      </c>
    </row>
    <row r="35" spans="1:8" hidden="1" x14ac:dyDescent="0.35">
      <c r="A35" t="s">
        <v>69</v>
      </c>
      <c r="B35">
        <v>2019</v>
      </c>
      <c r="C35" t="s">
        <v>70</v>
      </c>
      <c r="D35" t="s">
        <v>146</v>
      </c>
      <c r="E35" t="s">
        <v>112</v>
      </c>
      <c r="F35" t="s">
        <v>206</v>
      </c>
      <c r="G35" t="b">
        <f t="shared" si="0"/>
        <v>1</v>
      </c>
      <c r="H35" t="e">
        <f>VLOOKUP(A35,ID_Lookup!A:A,1,FALSE)</f>
        <v>#N/A</v>
      </c>
    </row>
    <row r="36" spans="1:8" ht="409.5" hidden="1" x14ac:dyDescent="0.35">
      <c r="A36" t="s">
        <v>71</v>
      </c>
      <c r="B36">
        <v>2019</v>
      </c>
      <c r="C36" t="s">
        <v>72</v>
      </c>
      <c r="D36" s="1" t="s">
        <v>73</v>
      </c>
      <c r="E36" t="s">
        <v>112</v>
      </c>
      <c r="F36" t="s">
        <v>208</v>
      </c>
      <c r="G36" t="b">
        <f t="shared" si="0"/>
        <v>1</v>
      </c>
      <c r="H36" t="e">
        <f>VLOOKUP(A36,ID_Lookup!A:A,1,FALSE)</f>
        <v>#N/A</v>
      </c>
    </row>
    <row r="37" spans="1:8" x14ac:dyDescent="0.35">
      <c r="A37" t="s">
        <v>74</v>
      </c>
      <c r="B37">
        <v>2019</v>
      </c>
      <c r="C37" t="s">
        <v>75</v>
      </c>
      <c r="D37" t="s">
        <v>147</v>
      </c>
      <c r="E37" t="s">
        <v>112</v>
      </c>
      <c r="F37" t="s">
        <v>200</v>
      </c>
      <c r="G37" t="b">
        <f t="shared" si="0"/>
        <v>1</v>
      </c>
      <c r="H37" t="str">
        <f>VLOOKUP(A37,ID_Lookup!A:A,1,FALSE)</f>
        <v>J535</v>
      </c>
    </row>
    <row r="38" spans="1:8" x14ac:dyDescent="0.35">
      <c r="A38" t="s">
        <v>76</v>
      </c>
      <c r="B38">
        <v>2019</v>
      </c>
      <c r="C38" t="s">
        <v>77</v>
      </c>
      <c r="D38" t="s">
        <v>148</v>
      </c>
      <c r="E38" t="s">
        <v>173</v>
      </c>
      <c r="F38" t="s">
        <v>204</v>
      </c>
      <c r="G38" t="b">
        <f t="shared" si="0"/>
        <v>0</v>
      </c>
      <c r="H38" t="str">
        <f>VLOOKUP(A38,ID_Lookup!A:A,1,FALSE)</f>
        <v>J536</v>
      </c>
    </row>
    <row r="39" spans="1:8" x14ac:dyDescent="0.35">
      <c r="A39" t="s">
        <v>78</v>
      </c>
      <c r="B39">
        <v>2019</v>
      </c>
      <c r="C39" t="s">
        <v>79</v>
      </c>
      <c r="D39" t="s">
        <v>149</v>
      </c>
      <c r="E39" t="s">
        <v>112</v>
      </c>
      <c r="F39" t="s">
        <v>200</v>
      </c>
      <c r="G39" t="b">
        <f t="shared" si="0"/>
        <v>1</v>
      </c>
      <c r="H39" t="str">
        <f>VLOOKUP(A39,ID_Lookup!A:A,1,FALSE)</f>
        <v>J537</v>
      </c>
    </row>
    <row r="40" spans="1:8" hidden="1" x14ac:dyDescent="0.35">
      <c r="A40" t="s">
        <v>80</v>
      </c>
      <c r="B40">
        <v>2019</v>
      </c>
      <c r="C40" t="s">
        <v>81</v>
      </c>
      <c r="D40" t="s">
        <v>150</v>
      </c>
      <c r="E40" t="s">
        <v>173</v>
      </c>
      <c r="F40" t="s">
        <v>204</v>
      </c>
      <c r="G40" t="b">
        <f t="shared" si="0"/>
        <v>0</v>
      </c>
      <c r="H40" t="e">
        <f>VLOOKUP(A40,ID_Lookup!A:A,1,FALSE)</f>
        <v>#N/A</v>
      </c>
    </row>
    <row r="41" spans="1:8" hidden="1" x14ac:dyDescent="0.35">
      <c r="A41" t="s">
        <v>82</v>
      </c>
      <c r="B41">
        <v>2019</v>
      </c>
      <c r="C41" t="s">
        <v>151</v>
      </c>
      <c r="D41" t="s">
        <v>152</v>
      </c>
      <c r="E41" t="s">
        <v>173</v>
      </c>
      <c r="F41" t="s">
        <v>204</v>
      </c>
      <c r="G41" t="b">
        <f t="shared" si="0"/>
        <v>0</v>
      </c>
      <c r="H41" t="e">
        <f>VLOOKUP(A41,ID_Lookup!A:A,1,FALSE)</f>
        <v>#N/A</v>
      </c>
    </row>
    <row r="42" spans="1:8" x14ac:dyDescent="0.35">
      <c r="A42" t="s">
        <v>83</v>
      </c>
      <c r="B42">
        <v>2019</v>
      </c>
      <c r="C42" t="s">
        <v>84</v>
      </c>
      <c r="D42" t="s">
        <v>153</v>
      </c>
      <c r="E42" t="s">
        <v>173</v>
      </c>
      <c r="F42" t="s">
        <v>204</v>
      </c>
      <c r="G42" t="b">
        <f t="shared" si="0"/>
        <v>0</v>
      </c>
      <c r="H42" t="str">
        <f>VLOOKUP(A42,ID_Lookup!A:A,1,FALSE)</f>
        <v>J540</v>
      </c>
    </row>
    <row r="43" spans="1:8" ht="409.5" x14ac:dyDescent="0.35">
      <c r="A43" t="s">
        <v>85</v>
      </c>
      <c r="B43">
        <v>2019</v>
      </c>
      <c r="C43" t="s">
        <v>86</v>
      </c>
      <c r="D43" s="1" t="s">
        <v>87</v>
      </c>
      <c r="E43" t="s">
        <v>173</v>
      </c>
      <c r="F43" t="s">
        <v>204</v>
      </c>
      <c r="G43" t="b">
        <f t="shared" si="0"/>
        <v>0</v>
      </c>
      <c r="H43" t="str">
        <f>VLOOKUP(A43,ID_Lookup!A:A,1,FALSE)</f>
        <v>J541</v>
      </c>
    </row>
    <row r="44" spans="1:8" hidden="1" x14ac:dyDescent="0.35">
      <c r="A44" t="s">
        <v>88</v>
      </c>
      <c r="B44">
        <v>2019</v>
      </c>
      <c r="C44" t="s">
        <v>154</v>
      </c>
      <c r="D44" t="s">
        <v>155</v>
      </c>
      <c r="E44" t="s">
        <v>173</v>
      </c>
      <c r="F44" t="s">
        <v>204</v>
      </c>
      <c r="G44" t="b">
        <f t="shared" si="0"/>
        <v>0</v>
      </c>
      <c r="H44" t="e">
        <f>VLOOKUP(A44,ID_Lookup!A:A,1,FALSE)</f>
        <v>#N/A</v>
      </c>
    </row>
    <row r="45" spans="1:8" hidden="1" x14ac:dyDescent="0.35">
      <c r="A45" t="s">
        <v>89</v>
      </c>
      <c r="B45">
        <v>2019</v>
      </c>
      <c r="C45" t="s">
        <v>90</v>
      </c>
      <c r="D45" t="s">
        <v>156</v>
      </c>
      <c r="E45" t="s">
        <v>173</v>
      </c>
      <c r="F45" t="s">
        <v>204</v>
      </c>
      <c r="G45" t="b">
        <f t="shared" si="0"/>
        <v>0</v>
      </c>
      <c r="H45" t="e">
        <f>VLOOKUP(A45,ID_Lookup!A:A,1,FALSE)</f>
        <v>#N/A</v>
      </c>
    </row>
    <row r="46" spans="1:8" x14ac:dyDescent="0.35">
      <c r="A46" t="s">
        <v>91</v>
      </c>
      <c r="B46">
        <v>2019</v>
      </c>
      <c r="C46" t="s">
        <v>92</v>
      </c>
      <c r="D46" t="s">
        <v>93</v>
      </c>
      <c r="E46" t="s">
        <v>112</v>
      </c>
      <c r="F46" t="s">
        <v>209</v>
      </c>
      <c r="G46" t="b">
        <f t="shared" si="0"/>
        <v>1</v>
      </c>
      <c r="H46" t="str">
        <f>VLOOKUP(A46,ID_Lookup!A:A,1,FALSE)</f>
        <v>J544</v>
      </c>
    </row>
    <row r="47" spans="1:8" x14ac:dyDescent="0.35">
      <c r="A47" t="s">
        <v>94</v>
      </c>
      <c r="B47">
        <v>2019</v>
      </c>
      <c r="C47" t="s">
        <v>95</v>
      </c>
      <c r="D47" t="s">
        <v>96</v>
      </c>
      <c r="E47" t="s">
        <v>112</v>
      </c>
      <c r="F47" t="s">
        <v>200</v>
      </c>
      <c r="G47" t="b">
        <f t="shared" si="0"/>
        <v>1</v>
      </c>
      <c r="H47" t="str">
        <f>VLOOKUP(A47,ID_Lookup!A:A,1,FALSE)</f>
        <v>J545</v>
      </c>
    </row>
    <row r="48" spans="1:8" hidden="1" x14ac:dyDescent="0.35">
      <c r="A48" t="s">
        <v>97</v>
      </c>
      <c r="B48">
        <v>2019</v>
      </c>
      <c r="C48" t="s">
        <v>98</v>
      </c>
      <c r="D48" t="s">
        <v>157</v>
      </c>
      <c r="E48" t="s">
        <v>173</v>
      </c>
      <c r="F48" t="s">
        <v>210</v>
      </c>
      <c r="G48" t="b">
        <f t="shared" si="0"/>
        <v>0</v>
      </c>
      <c r="H48" t="e">
        <f>VLOOKUP(A48,ID_Lookup!A:A,1,FALSE)</f>
        <v>#N/A</v>
      </c>
    </row>
    <row r="49" spans="1:8" x14ac:dyDescent="0.35">
      <c r="A49" t="s">
        <v>99</v>
      </c>
      <c r="B49">
        <v>2019</v>
      </c>
      <c r="C49" t="s">
        <v>100</v>
      </c>
      <c r="D49" t="s">
        <v>101</v>
      </c>
      <c r="E49" t="s">
        <v>173</v>
      </c>
      <c r="F49" t="s">
        <v>210</v>
      </c>
      <c r="G49" t="b">
        <f t="shared" si="0"/>
        <v>0</v>
      </c>
      <c r="H49" t="str">
        <f>VLOOKUP(A49,ID_Lookup!A:A,1,FALSE)</f>
        <v>J547</v>
      </c>
    </row>
    <row r="50" spans="1:8" hidden="1" x14ac:dyDescent="0.35">
      <c r="A50" t="s">
        <v>102</v>
      </c>
      <c r="B50">
        <v>2019</v>
      </c>
      <c r="C50" t="s">
        <v>158</v>
      </c>
      <c r="D50" t="s">
        <v>159</v>
      </c>
      <c r="E50" t="s">
        <v>112</v>
      </c>
      <c r="F50" t="s">
        <v>200</v>
      </c>
      <c r="G50" t="b">
        <f t="shared" si="0"/>
        <v>1</v>
      </c>
      <c r="H50" t="e">
        <f>VLOOKUP(A50,ID_Lookup!A:A,1,FALSE)</f>
        <v>#N/A</v>
      </c>
    </row>
    <row r="51" spans="1:8" x14ac:dyDescent="0.35">
      <c r="A51" t="s">
        <v>103</v>
      </c>
      <c r="B51">
        <v>2019</v>
      </c>
      <c r="C51" t="s">
        <v>104</v>
      </c>
      <c r="D51" t="s">
        <v>105</v>
      </c>
      <c r="E51" t="s">
        <v>112</v>
      </c>
      <c r="F51" t="s">
        <v>200</v>
      </c>
      <c r="G51" t="b">
        <f t="shared" si="0"/>
        <v>1</v>
      </c>
      <c r="H51" t="str">
        <f>VLOOKUP(A51,ID_Lookup!A:A,1,FALSE)</f>
        <v>J549</v>
      </c>
    </row>
    <row r="52" spans="1:8" hidden="1" x14ac:dyDescent="0.35">
      <c r="A52" t="s">
        <v>106</v>
      </c>
      <c r="B52">
        <v>2019</v>
      </c>
      <c r="C52" t="s">
        <v>107</v>
      </c>
      <c r="D52" t="s">
        <v>160</v>
      </c>
      <c r="E52" t="s">
        <v>173</v>
      </c>
      <c r="F52" t="s">
        <v>211</v>
      </c>
      <c r="G52" t="b">
        <f t="shared" si="0"/>
        <v>0</v>
      </c>
      <c r="H52" t="e">
        <f>VLOOKUP(A52,ID_Lookup!A:A,1,FALSE)</f>
        <v>#N/A</v>
      </c>
    </row>
    <row r="53" spans="1:8" x14ac:dyDescent="0.35">
      <c r="A53" t="s">
        <v>224</v>
      </c>
      <c r="B53">
        <v>2019</v>
      </c>
      <c r="C53" t="s">
        <v>225</v>
      </c>
      <c r="D53" t="s">
        <v>226</v>
      </c>
      <c r="E53" t="s">
        <v>173</v>
      </c>
      <c r="F53" t="s">
        <v>204</v>
      </c>
      <c r="G53" t="b">
        <f t="shared" si="0"/>
        <v>0</v>
      </c>
      <c r="H53" t="str">
        <f>VLOOKUP(A53,ID_Lookup!A:A,1,FALSE)</f>
        <v>J551</v>
      </c>
    </row>
    <row r="54" spans="1:8" x14ac:dyDescent="0.35">
      <c r="A54" t="s">
        <v>228</v>
      </c>
      <c r="B54">
        <v>2019</v>
      </c>
      <c r="C54" t="s">
        <v>439</v>
      </c>
      <c r="D54" t="s">
        <v>440</v>
      </c>
      <c r="E54" t="s">
        <v>173</v>
      </c>
      <c r="F54" t="s">
        <v>204</v>
      </c>
      <c r="G54" t="b">
        <f t="shared" si="0"/>
        <v>0</v>
      </c>
      <c r="H54" t="str">
        <f>VLOOKUP(A54,ID_Lookup!A:A,1,FALSE)</f>
        <v>J552</v>
      </c>
    </row>
    <row r="55" spans="1:8" hidden="1" x14ac:dyDescent="0.35">
      <c r="A55" t="s">
        <v>441</v>
      </c>
      <c r="B55">
        <v>2019</v>
      </c>
      <c r="C55" t="s">
        <v>442</v>
      </c>
      <c r="D55" t="s">
        <v>443</v>
      </c>
      <c r="E55" t="s">
        <v>112</v>
      </c>
      <c r="F55" t="s">
        <v>200</v>
      </c>
      <c r="G55" t="b">
        <f t="shared" si="0"/>
        <v>1</v>
      </c>
      <c r="H55" t="e">
        <f>VLOOKUP(A55,ID_Lookup!A:A,1,FALSE)</f>
        <v>#N/A</v>
      </c>
    </row>
    <row r="56" spans="1:8" x14ac:dyDescent="0.35">
      <c r="A56" t="s">
        <v>444</v>
      </c>
      <c r="B56">
        <v>2019</v>
      </c>
      <c r="C56" t="s">
        <v>445</v>
      </c>
      <c r="D56" t="s">
        <v>446</v>
      </c>
      <c r="E56" t="s">
        <v>112</v>
      </c>
      <c r="F56" t="s">
        <v>206</v>
      </c>
      <c r="G56" t="b">
        <f t="shared" si="0"/>
        <v>1</v>
      </c>
      <c r="H56" t="str">
        <f>VLOOKUP(A56,ID_Lookup!A:A,1,FALSE)</f>
        <v>J554</v>
      </c>
    </row>
    <row r="57" spans="1:8" x14ac:dyDescent="0.35">
      <c r="A57" t="s">
        <v>447</v>
      </c>
      <c r="B57">
        <v>2019</v>
      </c>
      <c r="C57" t="s">
        <v>448</v>
      </c>
      <c r="D57" t="s">
        <v>449</v>
      </c>
      <c r="E57" t="s">
        <v>173</v>
      </c>
      <c r="F57" t="s">
        <v>204</v>
      </c>
      <c r="G57" t="b">
        <f t="shared" si="0"/>
        <v>0</v>
      </c>
      <c r="H57" t="str">
        <f>VLOOKUP(A57,ID_Lookup!A:A,1,FALSE)</f>
        <v>J555</v>
      </c>
    </row>
    <row r="58" spans="1:8" x14ac:dyDescent="0.35">
      <c r="A58" t="s">
        <v>450</v>
      </c>
      <c r="B58">
        <v>2019</v>
      </c>
      <c r="C58" t="s">
        <v>451</v>
      </c>
      <c r="D58" t="s">
        <v>452</v>
      </c>
      <c r="E58" t="s">
        <v>112</v>
      </c>
      <c r="F58" t="s">
        <v>200</v>
      </c>
      <c r="G58" t="b">
        <f t="shared" si="0"/>
        <v>1</v>
      </c>
      <c r="H58" t="str">
        <f>VLOOKUP(A58,ID_Lookup!A:A,1,FALSE)</f>
        <v>J556</v>
      </c>
    </row>
    <row r="59" spans="1:8" x14ac:dyDescent="0.35">
      <c r="A59" t="s">
        <v>231</v>
      </c>
      <c r="B59">
        <v>2019</v>
      </c>
      <c r="C59" t="s">
        <v>232</v>
      </c>
      <c r="D59" t="s">
        <v>453</v>
      </c>
      <c r="E59" t="s">
        <v>173</v>
      </c>
      <c r="F59" t="s">
        <v>204</v>
      </c>
      <c r="G59" t="b">
        <f t="shared" si="0"/>
        <v>0</v>
      </c>
      <c r="H59" t="str">
        <f>VLOOKUP(A59,ID_Lookup!A:A,1,FALSE)</f>
        <v>J557</v>
      </c>
    </row>
    <row r="60" spans="1:8" x14ac:dyDescent="0.35">
      <c r="A60" t="s">
        <v>234</v>
      </c>
      <c r="B60">
        <v>2019</v>
      </c>
      <c r="C60" t="s">
        <v>235</v>
      </c>
      <c r="D60" t="s">
        <v>454</v>
      </c>
      <c r="E60" t="s">
        <v>173</v>
      </c>
      <c r="F60" t="s">
        <v>204</v>
      </c>
      <c r="G60" t="b">
        <f t="shared" si="0"/>
        <v>0</v>
      </c>
      <c r="H60" t="str">
        <f>VLOOKUP(A60,ID_Lookup!A:A,1,FALSE)</f>
        <v>J558</v>
      </c>
    </row>
    <row r="61" spans="1:8" hidden="1" x14ac:dyDescent="0.35">
      <c r="A61" t="s">
        <v>455</v>
      </c>
      <c r="B61">
        <v>2019</v>
      </c>
      <c r="C61" t="s">
        <v>456</v>
      </c>
      <c r="D61" t="s">
        <v>457</v>
      </c>
      <c r="E61" t="s">
        <v>173</v>
      </c>
      <c r="F61" t="s">
        <v>204</v>
      </c>
      <c r="G61" t="b">
        <f t="shared" si="0"/>
        <v>0</v>
      </c>
      <c r="H61" t="e">
        <f>VLOOKUP(A61,ID_Lookup!A:A,1,FALSE)</f>
        <v>#N/A</v>
      </c>
    </row>
    <row r="62" spans="1:8" hidden="1" x14ac:dyDescent="0.35">
      <c r="A62" t="s">
        <v>458</v>
      </c>
      <c r="B62">
        <v>2019</v>
      </c>
      <c r="C62" t="s">
        <v>459</v>
      </c>
      <c r="D62" t="s">
        <v>460</v>
      </c>
      <c r="E62" t="s">
        <v>112</v>
      </c>
      <c r="F62" t="s">
        <v>205</v>
      </c>
      <c r="G62" t="b">
        <f t="shared" si="0"/>
        <v>1</v>
      </c>
      <c r="H62" t="e">
        <f>VLOOKUP(A62,ID_Lookup!A:A,1,FALSE)</f>
        <v>#N/A</v>
      </c>
    </row>
    <row r="63" spans="1:8" x14ac:dyDescent="0.35">
      <c r="A63" t="s">
        <v>237</v>
      </c>
      <c r="B63">
        <v>2019</v>
      </c>
      <c r="C63" t="s">
        <v>238</v>
      </c>
      <c r="D63" t="s">
        <v>461</v>
      </c>
      <c r="E63" t="s">
        <v>112</v>
      </c>
      <c r="F63" t="s">
        <v>200</v>
      </c>
      <c r="G63" t="b">
        <f t="shared" si="0"/>
        <v>1</v>
      </c>
      <c r="H63" t="str">
        <f>VLOOKUP(A63,ID_Lookup!A:A,1,FALSE)</f>
        <v>J561</v>
      </c>
    </row>
    <row r="64" spans="1:8" hidden="1" x14ac:dyDescent="0.35">
      <c r="A64" t="s">
        <v>462</v>
      </c>
      <c r="B64">
        <v>2019</v>
      </c>
      <c r="C64" t="s">
        <v>463</v>
      </c>
      <c r="D64" t="s">
        <v>464</v>
      </c>
      <c r="E64" t="s">
        <v>112</v>
      </c>
      <c r="F64" t="s">
        <v>749</v>
      </c>
      <c r="G64" t="b">
        <f t="shared" si="0"/>
        <v>1</v>
      </c>
      <c r="H64" t="e">
        <f>VLOOKUP(A64,ID_Lookup!A:A,1,FALSE)</f>
        <v>#N/A</v>
      </c>
    </row>
    <row r="65" spans="1:8" hidden="1" x14ac:dyDescent="0.35">
      <c r="A65" t="s">
        <v>465</v>
      </c>
      <c r="B65">
        <v>2019</v>
      </c>
      <c r="C65" t="s">
        <v>466</v>
      </c>
      <c r="D65" t="s">
        <v>467</v>
      </c>
      <c r="E65" t="s">
        <v>173</v>
      </c>
      <c r="F65" t="s">
        <v>750</v>
      </c>
      <c r="G65" t="b">
        <f t="shared" si="0"/>
        <v>0</v>
      </c>
      <c r="H65" t="e">
        <f>VLOOKUP(A65,ID_Lookup!A:A,1,FALSE)</f>
        <v>#N/A</v>
      </c>
    </row>
    <row r="66" spans="1:8" hidden="1" x14ac:dyDescent="0.35">
      <c r="A66" t="s">
        <v>468</v>
      </c>
      <c r="B66">
        <v>2019</v>
      </c>
      <c r="C66" t="s">
        <v>469</v>
      </c>
      <c r="D66" t="s">
        <v>470</v>
      </c>
      <c r="E66" t="s">
        <v>112</v>
      </c>
      <c r="F66" t="s">
        <v>200</v>
      </c>
      <c r="G66" t="b">
        <f t="shared" si="0"/>
        <v>1</v>
      </c>
      <c r="H66" t="e">
        <f>VLOOKUP(A66,ID_Lookup!A:A,1,FALSE)</f>
        <v>#N/A</v>
      </c>
    </row>
    <row r="67" spans="1:8" hidden="1" x14ac:dyDescent="0.35">
      <c r="A67" t="s">
        <v>471</v>
      </c>
      <c r="B67">
        <v>2019</v>
      </c>
      <c r="C67" t="s">
        <v>472</v>
      </c>
      <c r="D67" t="s">
        <v>473</v>
      </c>
      <c r="E67" t="s">
        <v>112</v>
      </c>
      <c r="F67" t="s">
        <v>751</v>
      </c>
      <c r="G67" t="b">
        <f t="shared" ref="G67:G130" si="1">IF(E67="Include", TRUE, FALSE)</f>
        <v>1</v>
      </c>
      <c r="H67" t="e">
        <f>VLOOKUP(A67,ID_Lookup!A:A,1,FALSE)</f>
        <v>#N/A</v>
      </c>
    </row>
    <row r="68" spans="1:8" x14ac:dyDescent="0.35">
      <c r="A68" t="s">
        <v>474</v>
      </c>
      <c r="B68">
        <v>2019</v>
      </c>
      <c r="C68" t="s">
        <v>475</v>
      </c>
      <c r="D68" t="s">
        <v>476</v>
      </c>
      <c r="E68" t="s">
        <v>112</v>
      </c>
      <c r="F68" t="s">
        <v>752</v>
      </c>
      <c r="G68" t="b">
        <f t="shared" si="1"/>
        <v>1</v>
      </c>
      <c r="H68" t="str">
        <f>VLOOKUP(A68,ID_Lookup!A:A,1,FALSE)</f>
        <v>J566</v>
      </c>
    </row>
    <row r="69" spans="1:8" x14ac:dyDescent="0.35">
      <c r="A69" t="s">
        <v>240</v>
      </c>
      <c r="B69">
        <v>2019</v>
      </c>
      <c r="C69" t="s">
        <v>477</v>
      </c>
      <c r="D69" t="s">
        <v>478</v>
      </c>
      <c r="E69" t="s">
        <v>173</v>
      </c>
      <c r="F69" t="s">
        <v>204</v>
      </c>
      <c r="G69" t="b">
        <f t="shared" si="1"/>
        <v>0</v>
      </c>
      <c r="H69" t="str">
        <f>VLOOKUP(A69,ID_Lookup!A:A,1,FALSE)</f>
        <v>J567</v>
      </c>
    </row>
    <row r="70" spans="1:8" hidden="1" x14ac:dyDescent="0.35">
      <c r="A70" t="s">
        <v>479</v>
      </c>
      <c r="B70">
        <v>2019</v>
      </c>
      <c r="C70" t="s">
        <v>480</v>
      </c>
      <c r="D70" t="s">
        <v>481</v>
      </c>
      <c r="E70" t="s">
        <v>173</v>
      </c>
      <c r="F70" t="s">
        <v>204</v>
      </c>
      <c r="G70" t="b">
        <f t="shared" si="1"/>
        <v>0</v>
      </c>
      <c r="H70" t="e">
        <f>VLOOKUP(A70,ID_Lookup!A:A,1,FALSE)</f>
        <v>#N/A</v>
      </c>
    </row>
    <row r="71" spans="1:8" ht="409.5" hidden="1" x14ac:dyDescent="0.35">
      <c r="A71" t="s">
        <v>482</v>
      </c>
      <c r="B71">
        <v>2019</v>
      </c>
      <c r="C71" t="s">
        <v>483</v>
      </c>
      <c r="D71" s="1" t="s">
        <v>484</v>
      </c>
      <c r="E71" t="s">
        <v>173</v>
      </c>
      <c r="F71" t="s">
        <v>204</v>
      </c>
      <c r="G71" t="b">
        <f t="shared" si="1"/>
        <v>0</v>
      </c>
      <c r="H71" t="e">
        <f>VLOOKUP(A71,ID_Lookup!A:A,1,FALSE)</f>
        <v>#N/A</v>
      </c>
    </row>
    <row r="72" spans="1:8" x14ac:dyDescent="0.35">
      <c r="A72" t="s">
        <v>244</v>
      </c>
      <c r="B72">
        <v>2019</v>
      </c>
      <c r="C72" t="s">
        <v>485</v>
      </c>
      <c r="D72" t="s">
        <v>486</v>
      </c>
      <c r="E72" t="s">
        <v>173</v>
      </c>
      <c r="F72" t="s">
        <v>753</v>
      </c>
      <c r="G72" t="b">
        <f t="shared" si="1"/>
        <v>0</v>
      </c>
      <c r="H72" t="str">
        <f>VLOOKUP(A72,ID_Lookup!A:A,1,FALSE)</f>
        <v>J570</v>
      </c>
    </row>
    <row r="73" spans="1:8" ht="409.5" x14ac:dyDescent="0.35">
      <c r="A73" t="s">
        <v>247</v>
      </c>
      <c r="B73">
        <v>2019</v>
      </c>
      <c r="C73" t="s">
        <v>248</v>
      </c>
      <c r="D73" s="1" t="s">
        <v>249</v>
      </c>
      <c r="E73" t="s">
        <v>112</v>
      </c>
      <c r="F73" t="s">
        <v>206</v>
      </c>
      <c r="G73" t="b">
        <f t="shared" si="1"/>
        <v>1</v>
      </c>
      <c r="H73" t="str">
        <f>VLOOKUP(A73,ID_Lookup!A:A,1,FALSE)</f>
        <v>J571</v>
      </c>
    </row>
    <row r="74" spans="1:8" hidden="1" x14ac:dyDescent="0.35">
      <c r="A74" t="s">
        <v>487</v>
      </c>
      <c r="B74">
        <v>2019</v>
      </c>
      <c r="C74" t="s">
        <v>488</v>
      </c>
      <c r="D74" t="s">
        <v>489</v>
      </c>
      <c r="E74" t="s">
        <v>173</v>
      </c>
      <c r="F74" t="s">
        <v>204</v>
      </c>
      <c r="G74" t="b">
        <f t="shared" si="1"/>
        <v>0</v>
      </c>
      <c r="H74" t="e">
        <f>VLOOKUP(A74,ID_Lookup!A:A,1,FALSE)</f>
        <v>#N/A</v>
      </c>
    </row>
    <row r="75" spans="1:8" hidden="1" x14ac:dyDescent="0.35">
      <c r="A75" t="s">
        <v>490</v>
      </c>
      <c r="B75">
        <v>2019</v>
      </c>
      <c r="C75" t="s">
        <v>491</v>
      </c>
      <c r="D75" t="s">
        <v>492</v>
      </c>
      <c r="E75" t="s">
        <v>112</v>
      </c>
      <c r="F75" t="s">
        <v>207</v>
      </c>
      <c r="G75" t="b">
        <f t="shared" si="1"/>
        <v>1</v>
      </c>
      <c r="H75" t="e">
        <f>VLOOKUP(A75,ID_Lookup!A:A,1,FALSE)</f>
        <v>#N/A</v>
      </c>
    </row>
    <row r="76" spans="1:8" x14ac:dyDescent="0.35">
      <c r="A76" t="s">
        <v>251</v>
      </c>
      <c r="B76">
        <v>2019</v>
      </c>
      <c r="C76" t="s">
        <v>252</v>
      </c>
      <c r="D76" t="s">
        <v>253</v>
      </c>
      <c r="E76" t="s">
        <v>173</v>
      </c>
      <c r="F76" t="s">
        <v>204</v>
      </c>
      <c r="G76" t="b">
        <f t="shared" si="1"/>
        <v>0</v>
      </c>
      <c r="H76" t="str">
        <f>VLOOKUP(A76,ID_Lookup!A:A,1,FALSE)</f>
        <v>J574</v>
      </c>
    </row>
    <row r="77" spans="1:8" x14ac:dyDescent="0.35">
      <c r="A77" t="s">
        <v>255</v>
      </c>
      <c r="B77">
        <v>2019</v>
      </c>
      <c r="C77" t="s">
        <v>256</v>
      </c>
      <c r="D77" t="s">
        <v>493</v>
      </c>
      <c r="E77" t="s">
        <v>173</v>
      </c>
      <c r="F77" t="s">
        <v>204</v>
      </c>
      <c r="G77" t="b">
        <f t="shared" si="1"/>
        <v>0</v>
      </c>
      <c r="H77" t="str">
        <f>VLOOKUP(A77,ID_Lookup!A:A,1,FALSE)</f>
        <v>J575</v>
      </c>
    </row>
    <row r="78" spans="1:8" hidden="1" x14ac:dyDescent="0.35">
      <c r="A78" t="s">
        <v>494</v>
      </c>
      <c r="B78">
        <v>2019</v>
      </c>
      <c r="C78" t="s">
        <v>495</v>
      </c>
      <c r="D78" t="s">
        <v>496</v>
      </c>
      <c r="E78" t="s">
        <v>173</v>
      </c>
      <c r="F78" t="s">
        <v>204</v>
      </c>
      <c r="G78" t="b">
        <f t="shared" si="1"/>
        <v>0</v>
      </c>
      <c r="H78" t="e">
        <f>VLOOKUP(A78,ID_Lookup!A:A,1,FALSE)</f>
        <v>#N/A</v>
      </c>
    </row>
    <row r="79" spans="1:8" hidden="1" x14ac:dyDescent="0.35">
      <c r="A79" t="s">
        <v>497</v>
      </c>
      <c r="B79">
        <v>2019</v>
      </c>
      <c r="C79" t="s">
        <v>498</v>
      </c>
      <c r="D79" t="s">
        <v>499</v>
      </c>
      <c r="E79" t="s">
        <v>173</v>
      </c>
      <c r="F79" t="s">
        <v>204</v>
      </c>
      <c r="G79" t="b">
        <f t="shared" si="1"/>
        <v>0</v>
      </c>
      <c r="H79" t="e">
        <f>VLOOKUP(A79,ID_Lookup!A:A,1,FALSE)</f>
        <v>#N/A</v>
      </c>
    </row>
    <row r="80" spans="1:8" hidden="1" x14ac:dyDescent="0.35">
      <c r="A80" t="s">
        <v>500</v>
      </c>
      <c r="B80">
        <v>2019</v>
      </c>
      <c r="C80" t="s">
        <v>501</v>
      </c>
      <c r="D80" t="s">
        <v>502</v>
      </c>
      <c r="E80" t="s">
        <v>112</v>
      </c>
      <c r="F80" t="s">
        <v>200</v>
      </c>
      <c r="G80" t="b">
        <f t="shared" si="1"/>
        <v>1</v>
      </c>
      <c r="H80" t="e">
        <f>VLOOKUP(A80,ID_Lookup!A:A,1,FALSE)</f>
        <v>#N/A</v>
      </c>
    </row>
    <row r="81" spans="1:8" hidden="1" x14ac:dyDescent="0.35">
      <c r="A81" t="s">
        <v>503</v>
      </c>
      <c r="B81">
        <v>2019</v>
      </c>
      <c r="C81" s="7" t="s">
        <v>504</v>
      </c>
      <c r="D81" t="s">
        <v>505</v>
      </c>
      <c r="E81" t="s">
        <v>173</v>
      </c>
      <c r="F81" t="s">
        <v>754</v>
      </c>
      <c r="G81" t="b">
        <f t="shared" si="1"/>
        <v>0</v>
      </c>
      <c r="H81" t="e">
        <f>VLOOKUP(A81,ID_Lookup!A:A,1,FALSE)</f>
        <v>#N/A</v>
      </c>
    </row>
    <row r="82" spans="1:8" hidden="1" x14ac:dyDescent="0.35">
      <c r="A82" s="6" t="s">
        <v>506</v>
      </c>
      <c r="B82" s="6">
        <v>2019</v>
      </c>
      <c r="C82" s="6" t="s">
        <v>507</v>
      </c>
      <c r="D82" s="6" t="s">
        <v>508</v>
      </c>
      <c r="E82" t="s">
        <v>173</v>
      </c>
      <c r="F82" t="s">
        <v>754</v>
      </c>
      <c r="G82" t="b">
        <f t="shared" si="1"/>
        <v>0</v>
      </c>
      <c r="H82" t="e">
        <f>VLOOKUP(A82,ID_Lookup!A:A,1,FALSE)</f>
        <v>#N/A</v>
      </c>
    </row>
    <row r="83" spans="1:8" hidden="1" x14ac:dyDescent="0.35">
      <c r="A83" t="s">
        <v>509</v>
      </c>
      <c r="B83">
        <v>2019</v>
      </c>
      <c r="C83" t="s">
        <v>510</v>
      </c>
      <c r="D83" t="s">
        <v>511</v>
      </c>
      <c r="E83" t="s">
        <v>112</v>
      </c>
      <c r="F83" t="s">
        <v>200</v>
      </c>
      <c r="G83" t="b">
        <f t="shared" si="1"/>
        <v>1</v>
      </c>
      <c r="H83" t="e">
        <f>VLOOKUP(A83,ID_Lookup!A:A,1,FALSE)</f>
        <v>#N/A</v>
      </c>
    </row>
    <row r="84" spans="1:8" hidden="1" x14ac:dyDescent="0.35">
      <c r="A84" t="s">
        <v>512</v>
      </c>
      <c r="B84">
        <v>2019</v>
      </c>
      <c r="C84" t="s">
        <v>513</v>
      </c>
      <c r="D84" t="s">
        <v>514</v>
      </c>
      <c r="E84" t="s">
        <v>173</v>
      </c>
      <c r="F84" t="s">
        <v>204</v>
      </c>
      <c r="G84" t="b">
        <f t="shared" si="1"/>
        <v>0</v>
      </c>
      <c r="H84" t="e">
        <f>VLOOKUP(A84,ID_Lookup!A:A,1,FALSE)</f>
        <v>#N/A</v>
      </c>
    </row>
    <row r="85" spans="1:8" x14ac:dyDescent="0.35">
      <c r="A85" t="s">
        <v>258</v>
      </c>
      <c r="B85">
        <v>2019</v>
      </c>
      <c r="C85" t="s">
        <v>259</v>
      </c>
      <c r="D85" t="s">
        <v>515</v>
      </c>
      <c r="E85" t="s">
        <v>112</v>
      </c>
      <c r="F85" t="s">
        <v>200</v>
      </c>
      <c r="G85" t="b">
        <f t="shared" si="1"/>
        <v>1</v>
      </c>
      <c r="H85" t="str">
        <f>VLOOKUP(A85,ID_Lookup!A:A,1,FALSE)</f>
        <v>J583</v>
      </c>
    </row>
    <row r="86" spans="1:8" hidden="1" x14ac:dyDescent="0.35">
      <c r="A86" t="s">
        <v>516</v>
      </c>
      <c r="B86">
        <v>2019</v>
      </c>
      <c r="C86" t="s">
        <v>517</v>
      </c>
      <c r="D86" t="s">
        <v>518</v>
      </c>
      <c r="E86" t="s">
        <v>112</v>
      </c>
      <c r="F86" t="s">
        <v>755</v>
      </c>
      <c r="G86" t="b">
        <f t="shared" si="1"/>
        <v>1</v>
      </c>
      <c r="H86" t="e">
        <f>VLOOKUP(A86,ID_Lookup!A:A,1,FALSE)</f>
        <v>#N/A</v>
      </c>
    </row>
    <row r="87" spans="1:8" hidden="1" x14ac:dyDescent="0.35">
      <c r="A87" t="s">
        <v>519</v>
      </c>
      <c r="B87">
        <v>2019</v>
      </c>
      <c r="C87" t="s">
        <v>520</v>
      </c>
      <c r="D87" t="s">
        <v>521</v>
      </c>
      <c r="E87" t="s">
        <v>112</v>
      </c>
      <c r="F87" t="s">
        <v>200</v>
      </c>
      <c r="G87" t="b">
        <f t="shared" si="1"/>
        <v>1</v>
      </c>
      <c r="H87" t="e">
        <f>VLOOKUP(A87,ID_Lookup!A:A,1,FALSE)</f>
        <v>#N/A</v>
      </c>
    </row>
    <row r="88" spans="1:8" x14ac:dyDescent="0.35">
      <c r="A88" t="s">
        <v>263</v>
      </c>
      <c r="B88">
        <v>2019</v>
      </c>
      <c r="C88" t="s">
        <v>264</v>
      </c>
      <c r="D88" t="s">
        <v>522</v>
      </c>
      <c r="E88" t="s">
        <v>173</v>
      </c>
      <c r="F88" t="s">
        <v>204</v>
      </c>
      <c r="G88" t="b">
        <f t="shared" si="1"/>
        <v>0</v>
      </c>
      <c r="H88" t="str">
        <f>VLOOKUP(A88,ID_Lookup!A:A,1,FALSE)</f>
        <v>J586</v>
      </c>
    </row>
    <row r="89" spans="1:8" ht="409.5" hidden="1" x14ac:dyDescent="0.35">
      <c r="A89" t="s">
        <v>523</v>
      </c>
      <c r="B89">
        <v>2019</v>
      </c>
      <c r="C89" t="s">
        <v>524</v>
      </c>
      <c r="D89" s="1" t="s">
        <v>525</v>
      </c>
      <c r="E89" t="s">
        <v>112</v>
      </c>
      <c r="F89" t="s">
        <v>207</v>
      </c>
      <c r="G89" t="b">
        <f t="shared" si="1"/>
        <v>1</v>
      </c>
      <c r="H89" t="e">
        <f>VLOOKUP(A89,ID_Lookup!A:A,1,FALSE)</f>
        <v>#N/A</v>
      </c>
    </row>
    <row r="90" spans="1:8" ht="409.5" hidden="1" x14ac:dyDescent="0.35">
      <c r="A90" t="s">
        <v>526</v>
      </c>
      <c r="B90">
        <v>2019</v>
      </c>
      <c r="C90" t="s">
        <v>527</v>
      </c>
      <c r="D90" s="1" t="s">
        <v>528</v>
      </c>
      <c r="E90" t="s">
        <v>173</v>
      </c>
      <c r="F90" t="s">
        <v>204</v>
      </c>
      <c r="G90" t="b">
        <f t="shared" si="1"/>
        <v>0</v>
      </c>
      <c r="H90" t="e">
        <f>VLOOKUP(A90,ID_Lookup!A:A,1,FALSE)</f>
        <v>#N/A</v>
      </c>
    </row>
    <row r="91" spans="1:8" hidden="1" x14ac:dyDescent="0.35">
      <c r="A91" t="s">
        <v>529</v>
      </c>
      <c r="B91">
        <v>2019</v>
      </c>
      <c r="C91" t="s">
        <v>530</v>
      </c>
      <c r="D91" t="s">
        <v>531</v>
      </c>
      <c r="E91" t="s">
        <v>173</v>
      </c>
      <c r="F91" t="s">
        <v>204</v>
      </c>
      <c r="G91" t="b">
        <f t="shared" si="1"/>
        <v>0</v>
      </c>
      <c r="H91" t="e">
        <f>VLOOKUP(A91,ID_Lookup!A:A,1,FALSE)</f>
        <v>#N/A</v>
      </c>
    </row>
    <row r="92" spans="1:8" x14ac:dyDescent="0.35">
      <c r="A92" t="s">
        <v>266</v>
      </c>
      <c r="B92">
        <v>2019</v>
      </c>
      <c r="C92" t="s">
        <v>267</v>
      </c>
      <c r="D92" t="s">
        <v>532</v>
      </c>
      <c r="E92" t="s">
        <v>112</v>
      </c>
      <c r="F92" t="s">
        <v>200</v>
      </c>
      <c r="G92" t="b">
        <f t="shared" si="1"/>
        <v>1</v>
      </c>
      <c r="H92" t="str">
        <f>VLOOKUP(A92,ID_Lookup!A:A,1,FALSE)</f>
        <v>J590</v>
      </c>
    </row>
    <row r="93" spans="1:8" hidden="1" x14ac:dyDescent="0.35">
      <c r="A93" t="s">
        <v>533</v>
      </c>
      <c r="B93">
        <v>2019</v>
      </c>
      <c r="C93" t="s">
        <v>534</v>
      </c>
      <c r="D93" t="s">
        <v>535</v>
      </c>
      <c r="E93" t="s">
        <v>173</v>
      </c>
      <c r="F93" t="s">
        <v>204</v>
      </c>
      <c r="G93" t="b">
        <f t="shared" si="1"/>
        <v>0</v>
      </c>
      <c r="H93" t="e">
        <f>VLOOKUP(A93,ID_Lookup!A:A,1,FALSE)</f>
        <v>#N/A</v>
      </c>
    </row>
    <row r="94" spans="1:8" hidden="1" x14ac:dyDescent="0.35">
      <c r="A94" t="s">
        <v>536</v>
      </c>
      <c r="B94">
        <v>2019</v>
      </c>
      <c r="C94" t="s">
        <v>537</v>
      </c>
      <c r="D94" t="s">
        <v>538</v>
      </c>
      <c r="E94" t="s">
        <v>112</v>
      </c>
      <c r="F94" t="s">
        <v>207</v>
      </c>
      <c r="G94" t="b">
        <f t="shared" si="1"/>
        <v>1</v>
      </c>
      <c r="H94" t="e">
        <f>VLOOKUP(A94,ID_Lookup!A:A,1,FALSE)</f>
        <v>#N/A</v>
      </c>
    </row>
    <row r="95" spans="1:8" hidden="1" x14ac:dyDescent="0.35">
      <c r="A95" t="s">
        <v>539</v>
      </c>
      <c r="B95">
        <v>2019</v>
      </c>
      <c r="C95" t="s">
        <v>540</v>
      </c>
      <c r="D95" t="s">
        <v>541</v>
      </c>
      <c r="E95" t="s">
        <v>173</v>
      </c>
      <c r="F95" t="s">
        <v>204</v>
      </c>
      <c r="G95" t="b">
        <f t="shared" si="1"/>
        <v>0</v>
      </c>
      <c r="H95" t="e">
        <f>VLOOKUP(A95,ID_Lookup!A:A,1,FALSE)</f>
        <v>#N/A</v>
      </c>
    </row>
    <row r="96" spans="1:8" x14ac:dyDescent="0.35">
      <c r="A96" t="s">
        <v>269</v>
      </c>
      <c r="B96">
        <v>2019</v>
      </c>
      <c r="C96" t="s">
        <v>270</v>
      </c>
      <c r="D96" t="s">
        <v>271</v>
      </c>
      <c r="E96" t="s">
        <v>173</v>
      </c>
      <c r="F96" t="s">
        <v>204</v>
      </c>
      <c r="G96" t="b">
        <f t="shared" si="1"/>
        <v>0</v>
      </c>
      <c r="H96" t="str">
        <f>VLOOKUP(A96,ID_Lookup!A:A,1,FALSE)</f>
        <v>J594</v>
      </c>
    </row>
    <row r="97" spans="1:8" x14ac:dyDescent="0.35">
      <c r="A97" t="s">
        <v>272</v>
      </c>
      <c r="B97">
        <v>2019</v>
      </c>
      <c r="C97" t="s">
        <v>273</v>
      </c>
      <c r="D97" t="s">
        <v>542</v>
      </c>
      <c r="E97" t="s">
        <v>173</v>
      </c>
      <c r="F97" t="s">
        <v>210</v>
      </c>
      <c r="G97" t="b">
        <f t="shared" si="1"/>
        <v>0</v>
      </c>
      <c r="H97" t="str">
        <f>VLOOKUP(A97,ID_Lookup!A:A,1,FALSE)</f>
        <v>J595</v>
      </c>
    </row>
    <row r="98" spans="1:8" hidden="1" x14ac:dyDescent="0.35">
      <c r="A98" t="s">
        <v>543</v>
      </c>
      <c r="B98">
        <v>2019</v>
      </c>
      <c r="C98" t="s">
        <v>544</v>
      </c>
      <c r="D98" t="s">
        <v>545</v>
      </c>
      <c r="E98" t="s">
        <v>173</v>
      </c>
      <c r="F98" t="s">
        <v>204</v>
      </c>
      <c r="G98" t="b">
        <f t="shared" si="1"/>
        <v>0</v>
      </c>
      <c r="H98" t="e">
        <f>VLOOKUP(A98,ID_Lookup!A:A,1,FALSE)</f>
        <v>#N/A</v>
      </c>
    </row>
    <row r="99" spans="1:8" hidden="1" x14ac:dyDescent="0.35">
      <c r="A99" t="s">
        <v>546</v>
      </c>
      <c r="B99">
        <v>2019</v>
      </c>
      <c r="C99" t="s">
        <v>547</v>
      </c>
      <c r="D99" t="s">
        <v>548</v>
      </c>
      <c r="E99" t="s">
        <v>173</v>
      </c>
      <c r="F99" t="s">
        <v>204</v>
      </c>
      <c r="G99" t="b">
        <f t="shared" si="1"/>
        <v>0</v>
      </c>
      <c r="H99" t="e">
        <f>VLOOKUP(A99,ID_Lookup!A:A,1,FALSE)</f>
        <v>#N/A</v>
      </c>
    </row>
    <row r="100" spans="1:8" x14ac:dyDescent="0.35">
      <c r="A100" t="s">
        <v>275</v>
      </c>
      <c r="B100">
        <v>2019</v>
      </c>
      <c r="C100" t="s">
        <v>276</v>
      </c>
      <c r="D100" t="s">
        <v>549</v>
      </c>
      <c r="E100" t="s">
        <v>112</v>
      </c>
      <c r="F100" t="s">
        <v>205</v>
      </c>
      <c r="G100" t="b">
        <f t="shared" si="1"/>
        <v>1</v>
      </c>
      <c r="H100" t="str">
        <f>VLOOKUP(A100,ID_Lookup!A:A,1,FALSE)</f>
        <v>J598</v>
      </c>
    </row>
    <row r="101" spans="1:8" x14ac:dyDescent="0.35">
      <c r="A101" t="s">
        <v>279</v>
      </c>
      <c r="B101">
        <v>2019</v>
      </c>
      <c r="C101" t="s">
        <v>280</v>
      </c>
      <c r="D101" t="s">
        <v>550</v>
      </c>
      <c r="E101" t="s">
        <v>112</v>
      </c>
      <c r="F101" t="s">
        <v>200</v>
      </c>
      <c r="G101" t="b">
        <f t="shared" si="1"/>
        <v>1</v>
      </c>
      <c r="H101" t="str">
        <f>VLOOKUP(A101,ID_Lookup!A:A,1,FALSE)</f>
        <v>J599</v>
      </c>
    </row>
    <row r="102" spans="1:8" x14ac:dyDescent="0.35">
      <c r="A102" t="s">
        <v>282</v>
      </c>
      <c r="B102">
        <v>2021</v>
      </c>
      <c r="C102" t="s">
        <v>283</v>
      </c>
      <c r="D102" t="s">
        <v>551</v>
      </c>
      <c r="E102" t="s">
        <v>173</v>
      </c>
      <c r="F102" t="s">
        <v>204</v>
      </c>
      <c r="G102" t="b">
        <f t="shared" si="1"/>
        <v>0</v>
      </c>
      <c r="H102" t="str">
        <f>VLOOKUP(A102,ID_Lookup!A:A,1,FALSE)</f>
        <v>J2830</v>
      </c>
    </row>
    <row r="103" spans="1:8" hidden="1" x14ac:dyDescent="0.35">
      <c r="A103" t="s">
        <v>552</v>
      </c>
      <c r="B103">
        <v>2021</v>
      </c>
      <c r="C103" t="s">
        <v>553</v>
      </c>
      <c r="D103" t="s">
        <v>554</v>
      </c>
      <c r="E103" t="s">
        <v>173</v>
      </c>
      <c r="F103" t="s">
        <v>200</v>
      </c>
      <c r="G103" t="b">
        <f t="shared" si="1"/>
        <v>0</v>
      </c>
      <c r="H103" t="e">
        <f>VLOOKUP(A103,ID_Lookup!A:A,1,FALSE)</f>
        <v>#N/A</v>
      </c>
    </row>
    <row r="104" spans="1:8" hidden="1" x14ac:dyDescent="0.35">
      <c r="A104" t="s">
        <v>555</v>
      </c>
      <c r="B104">
        <v>2021</v>
      </c>
      <c r="C104" t="s">
        <v>556</v>
      </c>
      <c r="D104" t="s">
        <v>557</v>
      </c>
      <c r="E104" t="s">
        <v>112</v>
      </c>
      <c r="F104" t="s">
        <v>206</v>
      </c>
      <c r="G104" t="b">
        <f t="shared" si="1"/>
        <v>1</v>
      </c>
      <c r="H104" t="e">
        <f>VLOOKUP(A104,ID_Lookup!A:A,1,FALSE)</f>
        <v>#N/A</v>
      </c>
    </row>
    <row r="105" spans="1:8" x14ac:dyDescent="0.35">
      <c r="A105" t="s">
        <v>285</v>
      </c>
      <c r="B105">
        <v>2021</v>
      </c>
      <c r="C105" t="s">
        <v>558</v>
      </c>
      <c r="D105" t="s">
        <v>559</v>
      </c>
      <c r="E105" t="s">
        <v>112</v>
      </c>
      <c r="F105" t="s">
        <v>206</v>
      </c>
      <c r="G105" t="b">
        <f t="shared" si="1"/>
        <v>1</v>
      </c>
      <c r="H105" t="str">
        <f>VLOOKUP(A105,ID_Lookup!A:A,1,FALSE)</f>
        <v>J2833</v>
      </c>
    </row>
    <row r="106" spans="1:8" ht="409.5" hidden="1" x14ac:dyDescent="0.35">
      <c r="A106" t="s">
        <v>560</v>
      </c>
      <c r="B106">
        <v>2021</v>
      </c>
      <c r="C106" t="s">
        <v>561</v>
      </c>
      <c r="D106" s="1" t="s">
        <v>562</v>
      </c>
      <c r="E106" t="s">
        <v>112</v>
      </c>
      <c r="F106" t="s">
        <v>206</v>
      </c>
      <c r="G106" t="b">
        <f t="shared" si="1"/>
        <v>1</v>
      </c>
      <c r="H106" t="e">
        <f>VLOOKUP(A106,ID_Lookup!A:A,1,FALSE)</f>
        <v>#N/A</v>
      </c>
    </row>
    <row r="107" spans="1:8" x14ac:dyDescent="0.35">
      <c r="A107" t="s">
        <v>290</v>
      </c>
      <c r="B107">
        <v>2021</v>
      </c>
      <c r="C107" t="s">
        <v>563</v>
      </c>
      <c r="D107" t="s">
        <v>564</v>
      </c>
      <c r="E107" t="s">
        <v>173</v>
      </c>
      <c r="F107" t="s">
        <v>204</v>
      </c>
      <c r="G107" t="b">
        <f t="shared" si="1"/>
        <v>0</v>
      </c>
      <c r="H107" t="str">
        <f>VLOOKUP(A107,ID_Lookup!A:A,1,FALSE)</f>
        <v>J2835</v>
      </c>
    </row>
    <row r="108" spans="1:8" hidden="1" x14ac:dyDescent="0.35">
      <c r="A108" t="s">
        <v>565</v>
      </c>
      <c r="B108">
        <v>2021</v>
      </c>
      <c r="C108" t="s">
        <v>566</v>
      </c>
      <c r="D108" t="s">
        <v>567</v>
      </c>
      <c r="E108" t="s">
        <v>173</v>
      </c>
      <c r="F108" t="s">
        <v>204</v>
      </c>
      <c r="G108" t="b">
        <f t="shared" si="1"/>
        <v>0</v>
      </c>
      <c r="H108" t="e">
        <f>VLOOKUP(A108,ID_Lookup!A:A,1,FALSE)</f>
        <v>#N/A</v>
      </c>
    </row>
    <row r="109" spans="1:8" hidden="1" x14ac:dyDescent="0.35">
      <c r="A109" t="s">
        <v>568</v>
      </c>
      <c r="B109">
        <v>2021</v>
      </c>
      <c r="C109" t="s">
        <v>569</v>
      </c>
      <c r="D109" t="s">
        <v>570</v>
      </c>
      <c r="E109" t="s">
        <v>112</v>
      </c>
      <c r="F109" t="s">
        <v>200</v>
      </c>
      <c r="G109" t="b">
        <f t="shared" si="1"/>
        <v>1</v>
      </c>
      <c r="H109" t="e">
        <f>VLOOKUP(A109,ID_Lookup!A:A,1,FALSE)</f>
        <v>#N/A</v>
      </c>
    </row>
    <row r="110" spans="1:8" hidden="1" x14ac:dyDescent="0.35">
      <c r="A110" t="s">
        <v>571</v>
      </c>
      <c r="B110">
        <v>2021</v>
      </c>
      <c r="C110" t="s">
        <v>572</v>
      </c>
      <c r="D110" t="s">
        <v>573</v>
      </c>
      <c r="E110" t="s">
        <v>173</v>
      </c>
      <c r="F110" t="s">
        <v>204</v>
      </c>
      <c r="G110" t="b">
        <f t="shared" si="1"/>
        <v>0</v>
      </c>
      <c r="H110" t="e">
        <f>VLOOKUP(A110,ID_Lookup!A:A,1,FALSE)</f>
        <v>#N/A</v>
      </c>
    </row>
    <row r="111" spans="1:8" hidden="1" x14ac:dyDescent="0.35">
      <c r="A111" t="s">
        <v>574</v>
      </c>
      <c r="B111">
        <v>2021</v>
      </c>
      <c r="C111" t="s">
        <v>575</v>
      </c>
      <c r="D111" t="s">
        <v>576</v>
      </c>
      <c r="E111" t="s">
        <v>173</v>
      </c>
      <c r="F111" t="s">
        <v>204</v>
      </c>
      <c r="G111" t="b">
        <f t="shared" si="1"/>
        <v>0</v>
      </c>
      <c r="H111" t="e">
        <f>VLOOKUP(A111,ID_Lookup!A:A,1,FALSE)</f>
        <v>#N/A</v>
      </c>
    </row>
    <row r="112" spans="1:8" hidden="1" x14ac:dyDescent="0.35">
      <c r="A112" t="s">
        <v>577</v>
      </c>
      <c r="B112">
        <v>2021</v>
      </c>
      <c r="C112" t="s">
        <v>578</v>
      </c>
      <c r="D112" t="s">
        <v>579</v>
      </c>
      <c r="E112" t="s">
        <v>112</v>
      </c>
      <c r="F112" t="s">
        <v>756</v>
      </c>
      <c r="G112" t="b">
        <f t="shared" si="1"/>
        <v>1</v>
      </c>
      <c r="H112" t="e">
        <f>VLOOKUP(A112,ID_Lookup!A:A,1,FALSE)</f>
        <v>#N/A</v>
      </c>
    </row>
    <row r="113" spans="1:8" x14ac:dyDescent="0.35">
      <c r="A113" t="s">
        <v>293</v>
      </c>
      <c r="B113">
        <v>2021</v>
      </c>
      <c r="C113" t="s">
        <v>294</v>
      </c>
      <c r="D113" t="s">
        <v>580</v>
      </c>
      <c r="E113" t="s">
        <v>112</v>
      </c>
      <c r="F113" t="s">
        <v>756</v>
      </c>
      <c r="G113" t="b">
        <f t="shared" si="1"/>
        <v>1</v>
      </c>
      <c r="H113" t="str">
        <f>VLOOKUP(A113,ID_Lookup!A:A,1,FALSE)</f>
        <v>J2841</v>
      </c>
    </row>
    <row r="114" spans="1:8" x14ac:dyDescent="0.35">
      <c r="A114" t="s">
        <v>296</v>
      </c>
      <c r="B114">
        <v>2021</v>
      </c>
      <c r="C114" t="s">
        <v>297</v>
      </c>
      <c r="D114" t="s">
        <v>581</v>
      </c>
      <c r="E114" t="s">
        <v>112</v>
      </c>
      <c r="F114" t="s">
        <v>756</v>
      </c>
      <c r="G114" t="b">
        <f t="shared" si="1"/>
        <v>1</v>
      </c>
      <c r="H114" t="str">
        <f>VLOOKUP(A114,ID_Lookup!A:A,1,FALSE)</f>
        <v>J2842</v>
      </c>
    </row>
    <row r="115" spans="1:8" x14ac:dyDescent="0.35">
      <c r="A115" t="s">
        <v>300</v>
      </c>
      <c r="B115">
        <v>2021</v>
      </c>
      <c r="C115" t="s">
        <v>301</v>
      </c>
      <c r="D115" t="s">
        <v>582</v>
      </c>
      <c r="E115" t="s">
        <v>173</v>
      </c>
      <c r="F115" t="s">
        <v>204</v>
      </c>
      <c r="G115" t="b">
        <f t="shared" si="1"/>
        <v>0</v>
      </c>
      <c r="H115" t="str">
        <f>VLOOKUP(A115,ID_Lookup!A:A,1,FALSE)</f>
        <v>J2843</v>
      </c>
    </row>
    <row r="116" spans="1:8" x14ac:dyDescent="0.35">
      <c r="A116" t="s">
        <v>303</v>
      </c>
      <c r="B116">
        <v>2021</v>
      </c>
      <c r="C116" t="s">
        <v>304</v>
      </c>
      <c r="D116" t="s">
        <v>583</v>
      </c>
      <c r="E116" t="s">
        <v>173</v>
      </c>
      <c r="F116" t="s">
        <v>204</v>
      </c>
      <c r="G116" t="b">
        <f t="shared" si="1"/>
        <v>0</v>
      </c>
      <c r="H116" t="str">
        <f>VLOOKUP(A116,ID_Lookup!A:A,1,FALSE)</f>
        <v>J2844</v>
      </c>
    </row>
    <row r="117" spans="1:8" hidden="1" x14ac:dyDescent="0.35">
      <c r="A117" t="s">
        <v>584</v>
      </c>
      <c r="B117">
        <v>2021</v>
      </c>
      <c r="C117" t="s">
        <v>585</v>
      </c>
      <c r="D117" t="s">
        <v>586</v>
      </c>
      <c r="E117" t="s">
        <v>173</v>
      </c>
      <c r="F117" t="s">
        <v>204</v>
      </c>
      <c r="G117" t="b">
        <f t="shared" si="1"/>
        <v>0</v>
      </c>
      <c r="H117" t="e">
        <f>VLOOKUP(A117,ID_Lookup!A:A,1,FALSE)</f>
        <v>#N/A</v>
      </c>
    </row>
    <row r="118" spans="1:8" hidden="1" x14ac:dyDescent="0.35">
      <c r="A118" t="s">
        <v>587</v>
      </c>
      <c r="B118">
        <v>2021</v>
      </c>
      <c r="C118" t="s">
        <v>588</v>
      </c>
      <c r="D118" t="s">
        <v>589</v>
      </c>
      <c r="E118" t="s">
        <v>173</v>
      </c>
      <c r="F118" t="s">
        <v>204</v>
      </c>
      <c r="G118" t="b">
        <f t="shared" si="1"/>
        <v>0</v>
      </c>
      <c r="H118" t="e">
        <f>VLOOKUP(A118,ID_Lookup!A:A,1,FALSE)</f>
        <v>#N/A</v>
      </c>
    </row>
    <row r="119" spans="1:8" hidden="1" x14ac:dyDescent="0.35">
      <c r="A119" t="s">
        <v>590</v>
      </c>
      <c r="B119">
        <v>2021</v>
      </c>
      <c r="C119" t="s">
        <v>591</v>
      </c>
      <c r="D119" t="s">
        <v>592</v>
      </c>
      <c r="E119" t="s">
        <v>112</v>
      </c>
      <c r="F119" t="s">
        <v>206</v>
      </c>
      <c r="G119" t="b">
        <f t="shared" si="1"/>
        <v>1</v>
      </c>
      <c r="H119" t="e">
        <f>VLOOKUP(A119,ID_Lookup!A:A,1,FALSE)</f>
        <v>#N/A</v>
      </c>
    </row>
    <row r="120" spans="1:8" x14ac:dyDescent="0.35">
      <c r="A120" t="s">
        <v>307</v>
      </c>
      <c r="B120">
        <v>2021</v>
      </c>
      <c r="C120" t="s">
        <v>308</v>
      </c>
      <c r="D120" t="s">
        <v>593</v>
      </c>
      <c r="E120" t="s">
        <v>173</v>
      </c>
      <c r="F120" t="s">
        <v>204</v>
      </c>
      <c r="G120" t="b">
        <f t="shared" si="1"/>
        <v>0</v>
      </c>
      <c r="H120" t="str">
        <f>VLOOKUP(A120,ID_Lookup!A:A,1,FALSE)</f>
        <v>J2848</v>
      </c>
    </row>
    <row r="121" spans="1:8" x14ac:dyDescent="0.35">
      <c r="A121" t="s">
        <v>310</v>
      </c>
      <c r="B121">
        <v>2021</v>
      </c>
      <c r="C121" t="s">
        <v>311</v>
      </c>
      <c r="D121" t="s">
        <v>594</v>
      </c>
      <c r="E121" t="s">
        <v>173</v>
      </c>
      <c r="F121" t="s">
        <v>204</v>
      </c>
      <c r="G121" t="b">
        <f t="shared" si="1"/>
        <v>0</v>
      </c>
      <c r="H121" t="str">
        <f>VLOOKUP(A121,ID_Lookup!A:A,1,FALSE)</f>
        <v>J2849</v>
      </c>
    </row>
    <row r="122" spans="1:8" ht="409.5" x14ac:dyDescent="0.35">
      <c r="A122" t="s">
        <v>313</v>
      </c>
      <c r="B122">
        <v>2021</v>
      </c>
      <c r="C122" t="s">
        <v>314</v>
      </c>
      <c r="D122" s="1" t="s">
        <v>315</v>
      </c>
      <c r="E122" t="s">
        <v>173</v>
      </c>
      <c r="F122" t="s">
        <v>204</v>
      </c>
      <c r="G122" t="b">
        <f t="shared" si="1"/>
        <v>0</v>
      </c>
      <c r="H122" t="str">
        <f>VLOOKUP(A122,ID_Lookup!A:A,1,FALSE)</f>
        <v>J2850</v>
      </c>
    </row>
    <row r="123" spans="1:8" x14ac:dyDescent="0.35">
      <c r="A123" t="s">
        <v>316</v>
      </c>
      <c r="B123">
        <v>2021</v>
      </c>
      <c r="C123" t="s">
        <v>317</v>
      </c>
      <c r="D123" t="s">
        <v>318</v>
      </c>
      <c r="E123" t="s">
        <v>173</v>
      </c>
      <c r="F123" t="s">
        <v>204</v>
      </c>
      <c r="G123" t="b">
        <f t="shared" si="1"/>
        <v>0</v>
      </c>
      <c r="H123" t="str">
        <f>VLOOKUP(A123,ID_Lookup!A:A,1,FALSE)</f>
        <v>J2851</v>
      </c>
    </row>
    <row r="124" spans="1:8" x14ac:dyDescent="0.35">
      <c r="A124" s="6" t="s">
        <v>319</v>
      </c>
      <c r="B124" s="6">
        <v>2021</v>
      </c>
      <c r="C124" s="6" t="s">
        <v>320</v>
      </c>
      <c r="D124" s="6" t="s">
        <v>595</v>
      </c>
      <c r="E124" t="s">
        <v>173</v>
      </c>
      <c r="F124" t="s">
        <v>204</v>
      </c>
      <c r="G124" t="b">
        <f t="shared" si="1"/>
        <v>0</v>
      </c>
      <c r="H124" t="str">
        <f>VLOOKUP(A124,ID_Lookup!A:A,1,FALSE)</f>
        <v>J2852</v>
      </c>
    </row>
    <row r="125" spans="1:8" x14ac:dyDescent="0.35">
      <c r="A125" t="s">
        <v>323</v>
      </c>
      <c r="B125">
        <v>2021</v>
      </c>
      <c r="C125" t="s">
        <v>324</v>
      </c>
      <c r="D125" t="s">
        <v>596</v>
      </c>
      <c r="E125" t="s">
        <v>173</v>
      </c>
      <c r="F125" t="s">
        <v>204</v>
      </c>
      <c r="G125" t="b">
        <f t="shared" si="1"/>
        <v>0</v>
      </c>
      <c r="H125" t="str">
        <f>VLOOKUP(A125,ID_Lookup!A:A,1,FALSE)</f>
        <v>J2853</v>
      </c>
    </row>
    <row r="126" spans="1:8" hidden="1" x14ac:dyDescent="0.35">
      <c r="A126" t="s">
        <v>597</v>
      </c>
      <c r="B126">
        <v>2021</v>
      </c>
      <c r="C126" t="s">
        <v>598</v>
      </c>
      <c r="D126" t="s">
        <v>599</v>
      </c>
      <c r="E126" t="s">
        <v>173</v>
      </c>
      <c r="F126" t="s">
        <v>204</v>
      </c>
      <c r="G126" t="b">
        <f t="shared" si="1"/>
        <v>0</v>
      </c>
      <c r="H126" t="e">
        <f>VLOOKUP(A126,ID_Lookup!A:A,1,FALSE)</f>
        <v>#N/A</v>
      </c>
    </row>
    <row r="127" spans="1:8" x14ac:dyDescent="0.35">
      <c r="A127" t="s">
        <v>326</v>
      </c>
      <c r="B127">
        <v>2021</v>
      </c>
      <c r="C127" t="s">
        <v>327</v>
      </c>
      <c r="D127" t="s">
        <v>600</v>
      </c>
      <c r="E127" t="s">
        <v>173</v>
      </c>
      <c r="F127" t="s">
        <v>204</v>
      </c>
      <c r="G127" t="b">
        <f t="shared" si="1"/>
        <v>0</v>
      </c>
      <c r="H127" t="str">
        <f>VLOOKUP(A127,ID_Lookup!A:A,1,FALSE)</f>
        <v>J2855</v>
      </c>
    </row>
    <row r="128" spans="1:8" x14ac:dyDescent="0.35">
      <c r="A128" t="s">
        <v>329</v>
      </c>
      <c r="B128">
        <v>2021</v>
      </c>
      <c r="C128" t="s">
        <v>330</v>
      </c>
      <c r="D128" t="s">
        <v>331</v>
      </c>
      <c r="E128" t="s">
        <v>112</v>
      </c>
      <c r="F128" t="s">
        <v>757</v>
      </c>
      <c r="G128" t="b">
        <f t="shared" si="1"/>
        <v>1</v>
      </c>
      <c r="H128" t="str">
        <f>VLOOKUP(A128,ID_Lookup!A:A,1,FALSE)</f>
        <v>J2856</v>
      </c>
    </row>
    <row r="129" spans="1:8" x14ac:dyDescent="0.35">
      <c r="A129" t="s">
        <v>333</v>
      </c>
      <c r="B129">
        <v>2021</v>
      </c>
      <c r="C129" t="s">
        <v>601</v>
      </c>
      <c r="D129" t="s">
        <v>602</v>
      </c>
      <c r="E129" t="s">
        <v>112</v>
      </c>
      <c r="F129" t="s">
        <v>200</v>
      </c>
      <c r="G129" t="b">
        <f t="shared" si="1"/>
        <v>1</v>
      </c>
      <c r="H129" t="str">
        <f>VLOOKUP(A129,ID_Lookup!A:A,1,FALSE)</f>
        <v>J2857</v>
      </c>
    </row>
    <row r="130" spans="1:8" x14ac:dyDescent="0.35">
      <c r="A130" t="s">
        <v>336</v>
      </c>
      <c r="B130">
        <v>2021</v>
      </c>
      <c r="C130" t="s">
        <v>603</v>
      </c>
      <c r="D130" t="s">
        <v>604</v>
      </c>
      <c r="E130" t="s">
        <v>112</v>
      </c>
      <c r="F130" t="s">
        <v>200</v>
      </c>
      <c r="G130" t="b">
        <f t="shared" si="1"/>
        <v>1</v>
      </c>
      <c r="H130" t="str">
        <f>VLOOKUP(A130,ID_Lookup!A:A,1,FALSE)</f>
        <v>J2858</v>
      </c>
    </row>
    <row r="131" spans="1:8" hidden="1" x14ac:dyDescent="0.35">
      <c r="A131" t="s">
        <v>605</v>
      </c>
      <c r="B131">
        <v>2021</v>
      </c>
      <c r="C131" t="s">
        <v>606</v>
      </c>
      <c r="D131" t="s">
        <v>607</v>
      </c>
      <c r="E131" t="s">
        <v>112</v>
      </c>
      <c r="F131" t="s">
        <v>206</v>
      </c>
      <c r="G131" t="b">
        <f t="shared" ref="G131:G194" si="2">IF(E131="Include", TRUE, FALSE)</f>
        <v>1</v>
      </c>
      <c r="H131" t="e">
        <f>VLOOKUP(A131,ID_Lookup!A:A,1,FALSE)</f>
        <v>#N/A</v>
      </c>
    </row>
    <row r="132" spans="1:8" hidden="1" x14ac:dyDescent="0.35">
      <c r="A132" t="s">
        <v>608</v>
      </c>
      <c r="B132">
        <v>2021</v>
      </c>
      <c r="C132" t="s">
        <v>609</v>
      </c>
      <c r="D132" t="s">
        <v>610</v>
      </c>
      <c r="E132" t="s">
        <v>112</v>
      </c>
      <c r="F132" t="s">
        <v>206</v>
      </c>
      <c r="G132" t="b">
        <f t="shared" si="2"/>
        <v>1</v>
      </c>
      <c r="H132" t="e">
        <f>VLOOKUP(A132,ID_Lookup!A:A,1,FALSE)</f>
        <v>#N/A</v>
      </c>
    </row>
    <row r="133" spans="1:8" x14ac:dyDescent="0.35">
      <c r="A133" t="s">
        <v>340</v>
      </c>
      <c r="B133">
        <v>2021</v>
      </c>
      <c r="C133" t="s">
        <v>341</v>
      </c>
      <c r="D133" t="s">
        <v>611</v>
      </c>
      <c r="E133" t="s">
        <v>112</v>
      </c>
      <c r="F133" t="s">
        <v>205</v>
      </c>
      <c r="G133" t="b">
        <f t="shared" si="2"/>
        <v>1</v>
      </c>
      <c r="H133" t="str">
        <f>VLOOKUP(A133,ID_Lookup!A:A,1,FALSE)</f>
        <v>J2861</v>
      </c>
    </row>
    <row r="134" spans="1:8" hidden="1" x14ac:dyDescent="0.35">
      <c r="A134" t="s">
        <v>612</v>
      </c>
      <c r="B134">
        <v>2021</v>
      </c>
      <c r="C134" t="s">
        <v>613</v>
      </c>
      <c r="D134" t="s">
        <v>614</v>
      </c>
      <c r="E134" t="s">
        <v>112</v>
      </c>
      <c r="F134" t="s">
        <v>200</v>
      </c>
      <c r="G134" t="b">
        <f t="shared" si="2"/>
        <v>1</v>
      </c>
      <c r="H134" t="e">
        <f>VLOOKUP(A134,ID_Lookup!A:A,1,FALSE)</f>
        <v>#N/A</v>
      </c>
    </row>
    <row r="135" spans="1:8" ht="409.5" x14ac:dyDescent="0.35">
      <c r="A135" t="s">
        <v>343</v>
      </c>
      <c r="B135">
        <v>2021</v>
      </c>
      <c r="C135" t="s">
        <v>344</v>
      </c>
      <c r="D135" s="1" t="s">
        <v>345</v>
      </c>
      <c r="E135" t="s">
        <v>173</v>
      </c>
      <c r="F135" t="s">
        <v>204</v>
      </c>
      <c r="G135" t="b">
        <f t="shared" si="2"/>
        <v>0</v>
      </c>
      <c r="H135" t="str">
        <f>VLOOKUP(A135,ID_Lookup!A:A,1,FALSE)</f>
        <v>J2863</v>
      </c>
    </row>
    <row r="136" spans="1:8" hidden="1" x14ac:dyDescent="0.35">
      <c r="A136" t="s">
        <v>615</v>
      </c>
      <c r="B136">
        <v>2021</v>
      </c>
      <c r="C136" t="s">
        <v>616</v>
      </c>
      <c r="D136" t="s">
        <v>617</v>
      </c>
      <c r="E136" t="s">
        <v>112</v>
      </c>
      <c r="F136" t="s">
        <v>206</v>
      </c>
      <c r="G136" t="b">
        <f t="shared" si="2"/>
        <v>1</v>
      </c>
      <c r="H136" t="e">
        <f>VLOOKUP(A136,ID_Lookup!A:A,1,FALSE)</f>
        <v>#N/A</v>
      </c>
    </row>
    <row r="137" spans="1:8" x14ac:dyDescent="0.35">
      <c r="A137" t="s">
        <v>346</v>
      </c>
      <c r="B137">
        <v>2021</v>
      </c>
      <c r="C137" t="s">
        <v>618</v>
      </c>
      <c r="D137" t="s">
        <v>619</v>
      </c>
      <c r="E137" t="s">
        <v>173</v>
      </c>
      <c r="F137" t="s">
        <v>204</v>
      </c>
      <c r="G137" t="b">
        <f t="shared" si="2"/>
        <v>0</v>
      </c>
      <c r="H137" t="str">
        <f>VLOOKUP(A137,ID_Lookup!A:A,1,FALSE)</f>
        <v>J2865</v>
      </c>
    </row>
    <row r="138" spans="1:8" hidden="1" x14ac:dyDescent="0.35">
      <c r="A138" t="s">
        <v>620</v>
      </c>
      <c r="B138">
        <v>2021</v>
      </c>
      <c r="C138" t="s">
        <v>621</v>
      </c>
      <c r="D138" t="s">
        <v>622</v>
      </c>
      <c r="E138" t="s">
        <v>173</v>
      </c>
      <c r="F138" t="s">
        <v>204</v>
      </c>
      <c r="G138" t="b">
        <f t="shared" si="2"/>
        <v>0</v>
      </c>
      <c r="H138" t="e">
        <f>VLOOKUP(A138,ID_Lookup!A:A,1,FALSE)</f>
        <v>#N/A</v>
      </c>
    </row>
    <row r="139" spans="1:8" hidden="1" x14ac:dyDescent="0.35">
      <c r="A139" t="s">
        <v>623</v>
      </c>
      <c r="B139">
        <v>2021</v>
      </c>
      <c r="C139" t="s">
        <v>624</v>
      </c>
      <c r="D139" t="s">
        <v>625</v>
      </c>
      <c r="E139" t="s">
        <v>173</v>
      </c>
      <c r="F139" t="s">
        <v>204</v>
      </c>
      <c r="G139" t="b">
        <f t="shared" si="2"/>
        <v>0</v>
      </c>
      <c r="H139" t="e">
        <f>VLOOKUP(A139,ID_Lookup!A:A,1,FALSE)</f>
        <v>#N/A</v>
      </c>
    </row>
    <row r="140" spans="1:8" hidden="1" x14ac:dyDescent="0.35">
      <c r="A140" t="s">
        <v>626</v>
      </c>
      <c r="B140">
        <v>2021</v>
      </c>
      <c r="C140" t="s">
        <v>627</v>
      </c>
      <c r="D140" t="s">
        <v>628</v>
      </c>
      <c r="E140" t="s">
        <v>112</v>
      </c>
      <c r="F140" t="s">
        <v>206</v>
      </c>
      <c r="G140" t="b">
        <f t="shared" si="2"/>
        <v>1</v>
      </c>
      <c r="H140" t="e">
        <f>VLOOKUP(A140,ID_Lookup!A:A,1,FALSE)</f>
        <v>#N/A</v>
      </c>
    </row>
    <row r="141" spans="1:8" x14ac:dyDescent="0.35">
      <c r="A141" t="s">
        <v>349</v>
      </c>
      <c r="B141">
        <v>2021</v>
      </c>
      <c r="C141" t="s">
        <v>350</v>
      </c>
      <c r="D141" t="s">
        <v>351</v>
      </c>
      <c r="E141" t="s">
        <v>112</v>
      </c>
      <c r="F141" t="s">
        <v>207</v>
      </c>
      <c r="G141" t="b">
        <f t="shared" si="2"/>
        <v>1</v>
      </c>
      <c r="H141" t="str">
        <f>VLOOKUP(A141,ID_Lookup!A:A,1,FALSE)</f>
        <v>J2869</v>
      </c>
    </row>
    <row r="142" spans="1:8" x14ac:dyDescent="0.35">
      <c r="A142" t="s">
        <v>352</v>
      </c>
      <c r="B142">
        <v>2021</v>
      </c>
      <c r="C142" t="s">
        <v>353</v>
      </c>
      <c r="D142" t="s">
        <v>629</v>
      </c>
      <c r="E142" t="s">
        <v>173</v>
      </c>
      <c r="F142" t="s">
        <v>204</v>
      </c>
      <c r="G142" t="b">
        <f t="shared" si="2"/>
        <v>0</v>
      </c>
      <c r="H142" t="str">
        <f>VLOOKUP(A142,ID_Lookup!A:A,1,FALSE)</f>
        <v>J2870</v>
      </c>
    </row>
    <row r="143" spans="1:8" x14ac:dyDescent="0.35">
      <c r="A143" t="s">
        <v>356</v>
      </c>
      <c r="B143">
        <v>2021</v>
      </c>
      <c r="C143" t="s">
        <v>357</v>
      </c>
      <c r="D143" t="s">
        <v>358</v>
      </c>
      <c r="E143" t="s">
        <v>173</v>
      </c>
      <c r="F143" t="s">
        <v>204</v>
      </c>
      <c r="G143" t="b">
        <f t="shared" si="2"/>
        <v>0</v>
      </c>
      <c r="H143" t="str">
        <f>VLOOKUP(A143,ID_Lookup!A:A,1,FALSE)</f>
        <v>J2871</v>
      </c>
    </row>
    <row r="144" spans="1:8" hidden="1" x14ac:dyDescent="0.35">
      <c r="A144" t="s">
        <v>630</v>
      </c>
      <c r="B144">
        <v>2021</v>
      </c>
      <c r="C144" t="s">
        <v>631</v>
      </c>
      <c r="D144" t="s">
        <v>632</v>
      </c>
      <c r="E144" t="s">
        <v>112</v>
      </c>
      <c r="F144" t="s">
        <v>200</v>
      </c>
      <c r="G144" t="b">
        <f t="shared" si="2"/>
        <v>1</v>
      </c>
      <c r="H144" t="e">
        <f>VLOOKUP(A144,ID_Lookup!A:A,1,FALSE)</f>
        <v>#N/A</v>
      </c>
    </row>
    <row r="145" spans="1:8" hidden="1" x14ac:dyDescent="0.35">
      <c r="A145" t="s">
        <v>633</v>
      </c>
      <c r="B145">
        <v>2021</v>
      </c>
      <c r="C145" t="s">
        <v>634</v>
      </c>
      <c r="D145" t="s">
        <v>635</v>
      </c>
      <c r="E145" t="s">
        <v>173</v>
      </c>
      <c r="F145" t="s">
        <v>204</v>
      </c>
      <c r="G145" t="b">
        <f t="shared" si="2"/>
        <v>0</v>
      </c>
      <c r="H145" t="e">
        <f>VLOOKUP(A145,ID_Lookup!A:A,1,FALSE)</f>
        <v>#N/A</v>
      </c>
    </row>
    <row r="146" spans="1:8" hidden="1" x14ac:dyDescent="0.35">
      <c r="A146" t="s">
        <v>636</v>
      </c>
      <c r="B146">
        <v>2021</v>
      </c>
      <c r="C146" t="s">
        <v>637</v>
      </c>
      <c r="D146" t="s">
        <v>638</v>
      </c>
      <c r="E146" t="s">
        <v>173</v>
      </c>
      <c r="F146" t="s">
        <v>204</v>
      </c>
      <c r="G146" t="b">
        <f t="shared" si="2"/>
        <v>0</v>
      </c>
      <c r="H146" t="e">
        <f>VLOOKUP(A146,ID_Lookup!A:A,1,FALSE)</f>
        <v>#N/A</v>
      </c>
    </row>
    <row r="147" spans="1:8" hidden="1" x14ac:dyDescent="0.35">
      <c r="A147" t="s">
        <v>639</v>
      </c>
      <c r="B147">
        <v>2021</v>
      </c>
      <c r="C147" t="s">
        <v>640</v>
      </c>
      <c r="D147" t="s">
        <v>641</v>
      </c>
      <c r="E147" t="s">
        <v>112</v>
      </c>
      <c r="F147" t="s">
        <v>200</v>
      </c>
      <c r="G147" t="b">
        <f t="shared" si="2"/>
        <v>1</v>
      </c>
      <c r="H147" t="e">
        <f>VLOOKUP(A147,ID_Lookup!A:A,1,FALSE)</f>
        <v>#N/A</v>
      </c>
    </row>
    <row r="148" spans="1:8" x14ac:dyDescent="0.35">
      <c r="A148" t="s">
        <v>360</v>
      </c>
      <c r="B148">
        <v>2021</v>
      </c>
      <c r="C148" t="s">
        <v>361</v>
      </c>
      <c r="D148" t="s">
        <v>642</v>
      </c>
      <c r="E148" t="s">
        <v>112</v>
      </c>
      <c r="F148" t="s">
        <v>200</v>
      </c>
      <c r="G148" t="b">
        <f t="shared" si="2"/>
        <v>1</v>
      </c>
      <c r="H148" t="str">
        <f>VLOOKUP(A148,ID_Lookup!A:A,1,FALSE)</f>
        <v>J2876</v>
      </c>
    </row>
    <row r="149" spans="1:8" hidden="1" x14ac:dyDescent="0.35">
      <c r="A149" t="s">
        <v>643</v>
      </c>
      <c r="B149">
        <v>2021</v>
      </c>
      <c r="C149" t="s">
        <v>644</v>
      </c>
      <c r="D149" t="s">
        <v>645</v>
      </c>
      <c r="E149" t="s">
        <v>173</v>
      </c>
      <c r="F149" t="s">
        <v>204</v>
      </c>
      <c r="G149" t="b">
        <f t="shared" si="2"/>
        <v>0</v>
      </c>
      <c r="H149" t="e">
        <f>VLOOKUP(A149,ID_Lookup!A:A,1,FALSE)</f>
        <v>#N/A</v>
      </c>
    </row>
    <row r="150" spans="1:8" x14ac:dyDescent="0.35">
      <c r="A150" t="s">
        <v>363</v>
      </c>
      <c r="B150">
        <v>2021</v>
      </c>
      <c r="C150" t="s">
        <v>646</v>
      </c>
      <c r="D150" t="s">
        <v>647</v>
      </c>
      <c r="E150" t="s">
        <v>112</v>
      </c>
      <c r="F150" t="s">
        <v>206</v>
      </c>
      <c r="G150" t="b">
        <f t="shared" si="2"/>
        <v>1</v>
      </c>
      <c r="H150" t="str">
        <f>VLOOKUP(A150,ID_Lookup!A:A,1,FALSE)</f>
        <v>J2878</v>
      </c>
    </row>
    <row r="151" spans="1:8" x14ac:dyDescent="0.35">
      <c r="A151" t="s">
        <v>366</v>
      </c>
      <c r="B151">
        <v>2021</v>
      </c>
      <c r="C151" t="s">
        <v>367</v>
      </c>
      <c r="D151" t="s">
        <v>368</v>
      </c>
      <c r="E151" t="s">
        <v>173</v>
      </c>
      <c r="F151" t="s">
        <v>204</v>
      </c>
      <c r="G151" t="b">
        <f t="shared" si="2"/>
        <v>0</v>
      </c>
      <c r="H151" t="str">
        <f>VLOOKUP(A151,ID_Lookup!A:A,1,FALSE)</f>
        <v>J2879</v>
      </c>
    </row>
    <row r="152" spans="1:8" hidden="1" x14ac:dyDescent="0.35">
      <c r="A152" t="s">
        <v>648</v>
      </c>
      <c r="B152">
        <v>2021</v>
      </c>
      <c r="C152" t="s">
        <v>649</v>
      </c>
      <c r="D152" t="s">
        <v>635</v>
      </c>
      <c r="E152" t="s">
        <v>173</v>
      </c>
      <c r="F152" t="s">
        <v>758</v>
      </c>
      <c r="G152" t="b">
        <f t="shared" si="2"/>
        <v>0</v>
      </c>
      <c r="H152" t="e">
        <f>VLOOKUP(A152,ID_Lookup!A:A,1,FALSE)</f>
        <v>#N/A</v>
      </c>
    </row>
    <row r="153" spans="1:8" x14ac:dyDescent="0.35">
      <c r="A153" t="s">
        <v>370</v>
      </c>
      <c r="B153">
        <v>2021</v>
      </c>
      <c r="C153" t="s">
        <v>371</v>
      </c>
      <c r="D153" t="s">
        <v>650</v>
      </c>
      <c r="E153" t="s">
        <v>112</v>
      </c>
      <c r="F153" t="s">
        <v>207</v>
      </c>
      <c r="G153" t="b">
        <f t="shared" si="2"/>
        <v>1</v>
      </c>
      <c r="H153" t="str">
        <f>VLOOKUP(A153,ID_Lookup!A:A,1,FALSE)</f>
        <v>J2881</v>
      </c>
    </row>
    <row r="154" spans="1:8" hidden="1" x14ac:dyDescent="0.35">
      <c r="A154" t="s">
        <v>651</v>
      </c>
      <c r="B154">
        <v>2021</v>
      </c>
      <c r="C154" t="s">
        <v>652</v>
      </c>
      <c r="D154" t="s">
        <v>653</v>
      </c>
      <c r="E154" t="s">
        <v>173</v>
      </c>
      <c r="F154" t="s">
        <v>759</v>
      </c>
      <c r="G154" t="b">
        <f t="shared" si="2"/>
        <v>0</v>
      </c>
      <c r="H154" t="e">
        <f>VLOOKUP(A154,ID_Lookup!A:A,1,FALSE)</f>
        <v>#N/A</v>
      </c>
    </row>
    <row r="155" spans="1:8" x14ac:dyDescent="0.35">
      <c r="A155" t="s">
        <v>654</v>
      </c>
      <c r="B155">
        <v>2021</v>
      </c>
      <c r="C155" t="s">
        <v>655</v>
      </c>
      <c r="D155" t="s">
        <v>656</v>
      </c>
      <c r="E155" t="s">
        <v>173</v>
      </c>
      <c r="F155" t="s">
        <v>204</v>
      </c>
      <c r="G155" t="b">
        <f t="shared" si="2"/>
        <v>0</v>
      </c>
      <c r="H155" t="str">
        <f>VLOOKUP(A155,ID_Lookup!A:A,1,FALSE)</f>
        <v>J2883</v>
      </c>
    </row>
    <row r="156" spans="1:8" hidden="1" x14ac:dyDescent="0.35">
      <c r="A156" t="s">
        <v>657</v>
      </c>
      <c r="B156">
        <v>2021</v>
      </c>
      <c r="C156" t="s">
        <v>658</v>
      </c>
      <c r="D156" t="s">
        <v>659</v>
      </c>
      <c r="E156" t="s">
        <v>112</v>
      </c>
      <c r="F156" t="s">
        <v>200</v>
      </c>
      <c r="G156" t="b">
        <f t="shared" si="2"/>
        <v>1</v>
      </c>
      <c r="H156" t="e">
        <f>VLOOKUP(A156,ID_Lookup!A:A,1,FALSE)</f>
        <v>#N/A</v>
      </c>
    </row>
    <row r="157" spans="1:8" hidden="1" x14ac:dyDescent="0.35">
      <c r="A157" t="s">
        <v>660</v>
      </c>
      <c r="B157">
        <v>2021</v>
      </c>
      <c r="C157" t="s">
        <v>661</v>
      </c>
      <c r="D157" t="s">
        <v>662</v>
      </c>
      <c r="E157" t="s">
        <v>173</v>
      </c>
      <c r="F157" t="s">
        <v>758</v>
      </c>
      <c r="G157" t="b">
        <f t="shared" si="2"/>
        <v>0</v>
      </c>
      <c r="H157" t="e">
        <f>VLOOKUP(A157,ID_Lookup!A:A,1,FALSE)</f>
        <v>#N/A</v>
      </c>
    </row>
    <row r="158" spans="1:8" x14ac:dyDescent="0.35">
      <c r="A158" t="s">
        <v>663</v>
      </c>
      <c r="B158">
        <v>2021</v>
      </c>
      <c r="C158" t="s">
        <v>664</v>
      </c>
      <c r="D158" t="s">
        <v>665</v>
      </c>
      <c r="E158" t="s">
        <v>112</v>
      </c>
      <c r="F158" t="s">
        <v>200</v>
      </c>
      <c r="G158" t="b">
        <f t="shared" si="2"/>
        <v>1</v>
      </c>
      <c r="H158" t="str">
        <f>VLOOKUP(A158,ID_Lookup!A:A,1,FALSE)</f>
        <v>J2886</v>
      </c>
    </row>
    <row r="159" spans="1:8" x14ac:dyDescent="0.35">
      <c r="A159" t="s">
        <v>373</v>
      </c>
      <c r="B159">
        <v>2021</v>
      </c>
      <c r="C159" t="s">
        <v>666</v>
      </c>
      <c r="D159" t="s">
        <v>667</v>
      </c>
      <c r="E159" t="s">
        <v>173</v>
      </c>
      <c r="F159" t="s">
        <v>758</v>
      </c>
      <c r="G159" t="b">
        <f t="shared" si="2"/>
        <v>0</v>
      </c>
      <c r="H159" t="str">
        <f>VLOOKUP(A159,ID_Lookup!A:A,1,FALSE)</f>
        <v>J2887</v>
      </c>
    </row>
    <row r="160" spans="1:8" x14ac:dyDescent="0.35">
      <c r="A160" t="s">
        <v>376</v>
      </c>
      <c r="B160">
        <v>2021</v>
      </c>
      <c r="C160" t="s">
        <v>668</v>
      </c>
      <c r="D160" t="s">
        <v>669</v>
      </c>
      <c r="E160" t="s">
        <v>173</v>
      </c>
      <c r="F160" t="s">
        <v>758</v>
      </c>
      <c r="G160" t="b">
        <f t="shared" si="2"/>
        <v>0</v>
      </c>
      <c r="H160" t="str">
        <f>VLOOKUP(A160,ID_Lookup!A:A,1,FALSE)</f>
        <v>J2888</v>
      </c>
    </row>
    <row r="161" spans="1:8" x14ac:dyDescent="0.35">
      <c r="A161" t="s">
        <v>379</v>
      </c>
      <c r="B161">
        <v>2021</v>
      </c>
      <c r="C161" t="s">
        <v>380</v>
      </c>
      <c r="D161" t="s">
        <v>670</v>
      </c>
      <c r="E161" t="s">
        <v>173</v>
      </c>
      <c r="F161" t="s">
        <v>760</v>
      </c>
      <c r="G161" t="b">
        <f t="shared" si="2"/>
        <v>0</v>
      </c>
      <c r="H161" t="str">
        <f>VLOOKUP(A161,ID_Lookup!A:A,1,FALSE)</f>
        <v>J2889</v>
      </c>
    </row>
    <row r="162" spans="1:8" ht="409.5" x14ac:dyDescent="0.35">
      <c r="A162" t="s">
        <v>382</v>
      </c>
      <c r="B162">
        <v>2021</v>
      </c>
      <c r="C162" t="s">
        <v>383</v>
      </c>
      <c r="D162" s="1" t="s">
        <v>384</v>
      </c>
      <c r="E162" t="s">
        <v>173</v>
      </c>
      <c r="F162" t="s">
        <v>758</v>
      </c>
      <c r="G162" t="b">
        <f t="shared" si="2"/>
        <v>0</v>
      </c>
      <c r="H162" t="str">
        <f>VLOOKUP(A162,ID_Lookup!A:A,1,FALSE)</f>
        <v>J2890</v>
      </c>
    </row>
    <row r="163" spans="1:8" hidden="1" x14ac:dyDescent="0.35">
      <c r="A163" t="s">
        <v>671</v>
      </c>
      <c r="B163">
        <v>2021</v>
      </c>
      <c r="C163" t="s">
        <v>672</v>
      </c>
      <c r="D163" t="s">
        <v>673</v>
      </c>
      <c r="E163" t="s">
        <v>173</v>
      </c>
      <c r="F163" t="s">
        <v>758</v>
      </c>
      <c r="G163" t="b">
        <f t="shared" si="2"/>
        <v>0</v>
      </c>
      <c r="H163" t="e">
        <f>VLOOKUP(A163,ID_Lookup!A:A,1,FALSE)</f>
        <v>#N/A</v>
      </c>
    </row>
    <row r="164" spans="1:8" x14ac:dyDescent="0.35">
      <c r="A164" t="s">
        <v>385</v>
      </c>
      <c r="B164">
        <v>2021</v>
      </c>
      <c r="C164" t="s">
        <v>386</v>
      </c>
      <c r="D164" t="s">
        <v>674</v>
      </c>
      <c r="E164" t="s">
        <v>112</v>
      </c>
      <c r="F164" t="s">
        <v>761</v>
      </c>
      <c r="G164" t="b">
        <f t="shared" si="2"/>
        <v>1</v>
      </c>
      <c r="H164" t="str">
        <f>VLOOKUP(A164,ID_Lookup!A:A,1,FALSE)</f>
        <v>J2892</v>
      </c>
    </row>
    <row r="165" spans="1:8" x14ac:dyDescent="0.35">
      <c r="A165" t="s">
        <v>388</v>
      </c>
      <c r="B165">
        <v>2021</v>
      </c>
      <c r="C165" t="s">
        <v>389</v>
      </c>
      <c r="D165" t="s">
        <v>390</v>
      </c>
      <c r="E165" t="s">
        <v>112</v>
      </c>
      <c r="F165" t="s">
        <v>762</v>
      </c>
      <c r="G165" t="b">
        <f t="shared" si="2"/>
        <v>1</v>
      </c>
      <c r="H165" t="str">
        <f>VLOOKUP(A165,ID_Lookup!A:A,1,FALSE)</f>
        <v>J2893</v>
      </c>
    </row>
    <row r="166" spans="1:8" x14ac:dyDescent="0.35">
      <c r="A166" t="s">
        <v>675</v>
      </c>
      <c r="B166">
        <v>2021</v>
      </c>
      <c r="C166" t="s">
        <v>676</v>
      </c>
      <c r="D166" t="s">
        <v>677</v>
      </c>
      <c r="E166" t="s">
        <v>173</v>
      </c>
      <c r="F166" t="s">
        <v>758</v>
      </c>
      <c r="G166" t="b">
        <f t="shared" si="2"/>
        <v>0</v>
      </c>
      <c r="H166" t="str">
        <f>VLOOKUP(A166,ID_Lookup!A:A,1,FALSE)</f>
        <v>J2894</v>
      </c>
    </row>
    <row r="167" spans="1:8" x14ac:dyDescent="0.35">
      <c r="A167" t="s">
        <v>392</v>
      </c>
      <c r="B167">
        <v>2021</v>
      </c>
      <c r="C167" t="s">
        <v>393</v>
      </c>
      <c r="D167" t="s">
        <v>394</v>
      </c>
      <c r="E167" t="s">
        <v>112</v>
      </c>
      <c r="F167" t="s">
        <v>200</v>
      </c>
      <c r="G167" t="b">
        <f t="shared" si="2"/>
        <v>1</v>
      </c>
      <c r="H167" t="str">
        <f>VLOOKUP(A167,ID_Lookup!A:A,1,FALSE)</f>
        <v>J2895</v>
      </c>
    </row>
    <row r="168" spans="1:8" hidden="1" x14ac:dyDescent="0.35">
      <c r="A168" t="s">
        <v>678</v>
      </c>
      <c r="B168">
        <v>2021</v>
      </c>
      <c r="C168" t="s">
        <v>679</v>
      </c>
      <c r="D168" t="s">
        <v>680</v>
      </c>
      <c r="E168" t="s">
        <v>112</v>
      </c>
      <c r="F168" t="s">
        <v>200</v>
      </c>
      <c r="G168" t="b">
        <f t="shared" si="2"/>
        <v>1</v>
      </c>
      <c r="H168" t="e">
        <f>VLOOKUP(A168,ID_Lookup!A:A,1,FALSE)</f>
        <v>#N/A</v>
      </c>
    </row>
    <row r="169" spans="1:8" hidden="1" x14ac:dyDescent="0.35">
      <c r="A169" t="s">
        <v>681</v>
      </c>
      <c r="B169">
        <v>2021</v>
      </c>
      <c r="C169" t="s">
        <v>682</v>
      </c>
      <c r="D169" t="s">
        <v>683</v>
      </c>
      <c r="E169" t="s">
        <v>112</v>
      </c>
      <c r="F169" t="s">
        <v>200</v>
      </c>
      <c r="G169" t="b">
        <f t="shared" si="2"/>
        <v>1</v>
      </c>
      <c r="H169" t="e">
        <f>VLOOKUP(A169,ID_Lookup!A:A,1,FALSE)</f>
        <v>#N/A</v>
      </c>
    </row>
    <row r="170" spans="1:8" ht="409.5" hidden="1" x14ac:dyDescent="0.35">
      <c r="A170" t="s">
        <v>395</v>
      </c>
      <c r="B170">
        <v>2021</v>
      </c>
      <c r="C170" t="s">
        <v>396</v>
      </c>
      <c r="D170" s="1" t="s">
        <v>397</v>
      </c>
      <c r="E170" t="s">
        <v>112</v>
      </c>
      <c r="F170" t="s">
        <v>205</v>
      </c>
      <c r="G170" t="b">
        <f t="shared" si="2"/>
        <v>1</v>
      </c>
      <c r="H170" t="e">
        <f>VLOOKUP(A170,ID_Lookup!A:A,1,FALSE)</f>
        <v>#N/A</v>
      </c>
    </row>
    <row r="171" spans="1:8" x14ac:dyDescent="0.35">
      <c r="A171" t="s">
        <v>398</v>
      </c>
      <c r="B171">
        <v>2021</v>
      </c>
      <c r="C171" t="s">
        <v>684</v>
      </c>
      <c r="D171" t="s">
        <v>685</v>
      </c>
      <c r="E171" t="s">
        <v>112</v>
      </c>
      <c r="F171" t="s">
        <v>200</v>
      </c>
      <c r="G171" t="b">
        <f t="shared" si="2"/>
        <v>1</v>
      </c>
      <c r="H171" t="str">
        <f>VLOOKUP(A171,ID_Lookup!A:A,1,FALSE)</f>
        <v>J2899</v>
      </c>
    </row>
    <row r="172" spans="1:8" hidden="1" x14ac:dyDescent="0.35">
      <c r="A172" t="s">
        <v>686</v>
      </c>
      <c r="B172">
        <v>2021</v>
      </c>
      <c r="C172" t="s">
        <v>687</v>
      </c>
      <c r="D172" t="s">
        <v>688</v>
      </c>
      <c r="E172" t="s">
        <v>173</v>
      </c>
      <c r="F172" t="s">
        <v>758</v>
      </c>
      <c r="G172" t="b">
        <f t="shared" si="2"/>
        <v>0</v>
      </c>
      <c r="H172" t="e">
        <f>VLOOKUP(A172,ID_Lookup!A:A,1,FALSE)</f>
        <v>#N/A</v>
      </c>
    </row>
    <row r="173" spans="1:8" hidden="1" x14ac:dyDescent="0.35">
      <c r="A173" t="s">
        <v>689</v>
      </c>
      <c r="B173">
        <v>2021</v>
      </c>
      <c r="C173" t="s">
        <v>690</v>
      </c>
      <c r="D173" t="s">
        <v>691</v>
      </c>
      <c r="E173" t="s">
        <v>173</v>
      </c>
      <c r="F173" t="s">
        <v>758</v>
      </c>
      <c r="G173" t="b">
        <f t="shared" si="2"/>
        <v>0</v>
      </c>
      <c r="H173" t="e">
        <f>VLOOKUP(A173,ID_Lookup!A:A,1,FALSE)</f>
        <v>#N/A</v>
      </c>
    </row>
    <row r="174" spans="1:8" hidden="1" x14ac:dyDescent="0.35">
      <c r="A174" t="s">
        <v>692</v>
      </c>
      <c r="B174">
        <v>2021</v>
      </c>
      <c r="C174" t="s">
        <v>693</v>
      </c>
      <c r="D174" t="s">
        <v>694</v>
      </c>
      <c r="E174" t="s">
        <v>173</v>
      </c>
      <c r="F174" t="s">
        <v>758</v>
      </c>
      <c r="G174" t="b">
        <f t="shared" si="2"/>
        <v>0</v>
      </c>
      <c r="H174" t="e">
        <f>VLOOKUP(A174,ID_Lookup!A:A,1,FALSE)</f>
        <v>#N/A</v>
      </c>
    </row>
    <row r="175" spans="1:8" hidden="1" x14ac:dyDescent="0.35">
      <c r="A175" t="s">
        <v>695</v>
      </c>
      <c r="B175">
        <v>2021</v>
      </c>
      <c r="C175" t="s">
        <v>696</v>
      </c>
      <c r="D175" t="s">
        <v>635</v>
      </c>
      <c r="E175" t="s">
        <v>112</v>
      </c>
      <c r="F175" t="s">
        <v>763</v>
      </c>
      <c r="G175" t="b">
        <f t="shared" si="2"/>
        <v>1</v>
      </c>
      <c r="H175" t="e">
        <f>VLOOKUP(A175,ID_Lookup!A:A,1,FALSE)</f>
        <v>#N/A</v>
      </c>
    </row>
    <row r="176" spans="1:8" x14ac:dyDescent="0.35">
      <c r="A176" t="s">
        <v>401</v>
      </c>
      <c r="B176">
        <v>2021</v>
      </c>
      <c r="C176" t="s">
        <v>402</v>
      </c>
      <c r="D176" t="s">
        <v>697</v>
      </c>
      <c r="E176" t="s">
        <v>173</v>
      </c>
      <c r="F176" t="s">
        <v>758</v>
      </c>
      <c r="G176" t="b">
        <f t="shared" si="2"/>
        <v>0</v>
      </c>
      <c r="H176" t="str">
        <f>VLOOKUP(A176,ID_Lookup!A:A,1,FALSE)</f>
        <v>J2904</v>
      </c>
    </row>
    <row r="177" spans="1:8" x14ac:dyDescent="0.35">
      <c r="A177" t="s">
        <v>404</v>
      </c>
      <c r="B177">
        <v>2021</v>
      </c>
      <c r="C177" t="s">
        <v>698</v>
      </c>
      <c r="D177" t="s">
        <v>699</v>
      </c>
      <c r="E177" t="s">
        <v>173</v>
      </c>
      <c r="F177" t="s">
        <v>758</v>
      </c>
      <c r="G177" t="b">
        <f t="shared" si="2"/>
        <v>0</v>
      </c>
      <c r="H177" t="str">
        <f>VLOOKUP(A177,ID_Lookup!A:A,1,FALSE)</f>
        <v>J2905</v>
      </c>
    </row>
    <row r="178" spans="1:8" x14ac:dyDescent="0.35">
      <c r="A178" t="s">
        <v>407</v>
      </c>
      <c r="B178">
        <v>2021</v>
      </c>
      <c r="C178" t="s">
        <v>408</v>
      </c>
      <c r="D178" t="s">
        <v>409</v>
      </c>
      <c r="E178" t="s">
        <v>173</v>
      </c>
      <c r="F178" t="s">
        <v>758</v>
      </c>
      <c r="G178" t="b">
        <f t="shared" si="2"/>
        <v>0</v>
      </c>
      <c r="H178" t="str">
        <f>VLOOKUP(A178,ID_Lookup!A:A,1,FALSE)</f>
        <v>J2906</v>
      </c>
    </row>
    <row r="179" spans="1:8" x14ac:dyDescent="0.35">
      <c r="A179" t="s">
        <v>410</v>
      </c>
      <c r="B179">
        <v>2021</v>
      </c>
      <c r="C179" t="s">
        <v>411</v>
      </c>
      <c r="D179" t="s">
        <v>700</v>
      </c>
      <c r="E179" t="s">
        <v>173</v>
      </c>
      <c r="F179" t="s">
        <v>758</v>
      </c>
      <c r="G179" t="b">
        <f t="shared" si="2"/>
        <v>0</v>
      </c>
      <c r="H179" t="str">
        <f>VLOOKUP(A179,ID_Lookup!A:A,1,FALSE)</f>
        <v>J2907</v>
      </c>
    </row>
    <row r="180" spans="1:8" hidden="1" x14ac:dyDescent="0.35">
      <c r="A180" t="s">
        <v>701</v>
      </c>
      <c r="B180">
        <v>2021</v>
      </c>
      <c r="C180" t="s">
        <v>702</v>
      </c>
      <c r="D180" t="s">
        <v>703</v>
      </c>
      <c r="E180" t="s">
        <v>112</v>
      </c>
      <c r="F180" t="s">
        <v>200</v>
      </c>
      <c r="G180" t="b">
        <f t="shared" si="2"/>
        <v>1</v>
      </c>
      <c r="H180" t="e">
        <f>VLOOKUP(A180,ID_Lookup!A:A,1,FALSE)</f>
        <v>#N/A</v>
      </c>
    </row>
    <row r="181" spans="1:8" ht="409.5" hidden="1" x14ac:dyDescent="0.35">
      <c r="A181" s="6" t="s">
        <v>704</v>
      </c>
      <c r="B181" s="6">
        <v>2021</v>
      </c>
      <c r="C181" s="6" t="s">
        <v>702</v>
      </c>
      <c r="D181" s="8" t="s">
        <v>705</v>
      </c>
      <c r="E181" t="s">
        <v>112</v>
      </c>
      <c r="F181" t="s">
        <v>200</v>
      </c>
      <c r="G181" t="b">
        <f t="shared" si="2"/>
        <v>1</v>
      </c>
      <c r="H181" t="e">
        <f>VLOOKUP(A181,ID_Lookup!A:A,1,FALSE)</f>
        <v>#N/A</v>
      </c>
    </row>
    <row r="182" spans="1:8" hidden="1" x14ac:dyDescent="0.35">
      <c r="A182" t="s">
        <v>706</v>
      </c>
      <c r="B182">
        <v>2021</v>
      </c>
      <c r="C182" t="s">
        <v>707</v>
      </c>
      <c r="D182" t="s">
        <v>708</v>
      </c>
      <c r="E182" t="s">
        <v>112</v>
      </c>
      <c r="F182" t="s">
        <v>749</v>
      </c>
      <c r="G182" t="b">
        <f t="shared" si="2"/>
        <v>1</v>
      </c>
      <c r="H182" t="e">
        <f>VLOOKUP(A182,ID_Lookup!A:A,1,FALSE)</f>
        <v>#N/A</v>
      </c>
    </row>
    <row r="183" spans="1:8" ht="409.5" x14ac:dyDescent="0.35">
      <c r="A183" t="s">
        <v>414</v>
      </c>
      <c r="B183">
        <v>2025</v>
      </c>
      <c r="C183" t="s">
        <v>415</v>
      </c>
      <c r="D183" s="1" t="s">
        <v>416</v>
      </c>
      <c r="E183" t="s">
        <v>173</v>
      </c>
      <c r="F183" t="s">
        <v>758</v>
      </c>
      <c r="G183" t="b">
        <f t="shared" si="2"/>
        <v>0</v>
      </c>
      <c r="H183" t="str">
        <f>VLOOKUP(A183,ID_Lookup!A:A,1,FALSE)</f>
        <v>J6200</v>
      </c>
    </row>
    <row r="184" spans="1:8" x14ac:dyDescent="0.35">
      <c r="A184" s="6" t="s">
        <v>417</v>
      </c>
      <c r="B184" s="6">
        <v>2025</v>
      </c>
      <c r="C184" s="6" t="s">
        <v>415</v>
      </c>
      <c r="D184" s="6" t="s">
        <v>709</v>
      </c>
      <c r="E184" t="s">
        <v>173</v>
      </c>
      <c r="F184" t="s">
        <v>758</v>
      </c>
      <c r="G184" t="b">
        <f t="shared" si="2"/>
        <v>0</v>
      </c>
      <c r="H184" t="str">
        <f>VLOOKUP(A184,ID_Lookup!A:A,1,FALSE)</f>
        <v>J6201</v>
      </c>
    </row>
    <row r="185" spans="1:8" hidden="1" x14ac:dyDescent="0.35">
      <c r="A185" t="s">
        <v>710</v>
      </c>
      <c r="B185">
        <v>2025</v>
      </c>
      <c r="C185" t="s">
        <v>711</v>
      </c>
      <c r="D185" t="s">
        <v>712</v>
      </c>
      <c r="E185" t="s">
        <v>112</v>
      </c>
      <c r="F185" t="s">
        <v>764</v>
      </c>
      <c r="G185" t="b">
        <f t="shared" si="2"/>
        <v>1</v>
      </c>
      <c r="H185" t="e">
        <f>VLOOKUP(A185,ID_Lookup!A:A,1,FALSE)</f>
        <v>#N/A</v>
      </c>
    </row>
    <row r="186" spans="1:8" hidden="1" x14ac:dyDescent="0.35">
      <c r="A186" t="s">
        <v>713</v>
      </c>
      <c r="B186">
        <v>2025</v>
      </c>
      <c r="C186" t="s">
        <v>714</v>
      </c>
      <c r="D186" t="s">
        <v>715</v>
      </c>
      <c r="E186" t="s">
        <v>173</v>
      </c>
      <c r="F186" t="s">
        <v>758</v>
      </c>
      <c r="G186" t="b">
        <f t="shared" si="2"/>
        <v>0</v>
      </c>
      <c r="H186" t="e">
        <f>VLOOKUP(A186,ID_Lookup!A:A,1,FALSE)</f>
        <v>#N/A</v>
      </c>
    </row>
    <row r="187" spans="1:8" hidden="1" x14ac:dyDescent="0.35">
      <c r="A187" t="s">
        <v>716</v>
      </c>
      <c r="B187">
        <v>2025</v>
      </c>
      <c r="C187" t="s">
        <v>717</v>
      </c>
      <c r="D187" t="s">
        <v>718</v>
      </c>
      <c r="E187" t="s">
        <v>173</v>
      </c>
      <c r="F187" t="s">
        <v>758</v>
      </c>
      <c r="G187" t="b">
        <f t="shared" si="2"/>
        <v>0</v>
      </c>
      <c r="H187" t="e">
        <f>VLOOKUP(A187,ID_Lookup!A:A,1,FALSE)</f>
        <v>#N/A</v>
      </c>
    </row>
    <row r="188" spans="1:8" x14ac:dyDescent="0.35">
      <c r="A188" t="s">
        <v>719</v>
      </c>
      <c r="B188">
        <v>2025</v>
      </c>
      <c r="C188" t="s">
        <v>720</v>
      </c>
      <c r="D188" t="s">
        <v>721</v>
      </c>
      <c r="E188" t="s">
        <v>112</v>
      </c>
      <c r="F188" t="s">
        <v>200</v>
      </c>
      <c r="G188" t="b">
        <f t="shared" si="2"/>
        <v>1</v>
      </c>
      <c r="H188" t="str">
        <f>VLOOKUP(A188,ID_Lookup!A:A,1,FALSE)</f>
        <v>J6205</v>
      </c>
    </row>
    <row r="189" spans="1:8" x14ac:dyDescent="0.35">
      <c r="A189" t="s">
        <v>419</v>
      </c>
      <c r="B189">
        <v>2025</v>
      </c>
      <c r="C189" t="s">
        <v>722</v>
      </c>
      <c r="D189" t="s">
        <v>723</v>
      </c>
      <c r="E189" t="s">
        <v>173</v>
      </c>
      <c r="F189" t="s">
        <v>758</v>
      </c>
      <c r="G189" t="b">
        <f t="shared" si="2"/>
        <v>0</v>
      </c>
      <c r="H189" t="str">
        <f>VLOOKUP(A189,ID_Lookup!A:A,1,FALSE)</f>
        <v>J6206</v>
      </c>
    </row>
    <row r="190" spans="1:8" x14ac:dyDescent="0.35">
      <c r="A190" t="s">
        <v>724</v>
      </c>
      <c r="B190">
        <v>2025</v>
      </c>
      <c r="C190" t="s">
        <v>725</v>
      </c>
      <c r="D190" t="s">
        <v>726</v>
      </c>
      <c r="E190" t="s">
        <v>112</v>
      </c>
      <c r="F190" t="s">
        <v>200</v>
      </c>
      <c r="G190" t="b">
        <f t="shared" si="2"/>
        <v>1</v>
      </c>
      <c r="H190" t="str">
        <f>VLOOKUP(A190,ID_Lookup!A:A,1,FALSE)</f>
        <v>J6207</v>
      </c>
    </row>
    <row r="191" spans="1:8" hidden="1" x14ac:dyDescent="0.35">
      <c r="A191" t="s">
        <v>727</v>
      </c>
      <c r="B191">
        <v>2025</v>
      </c>
      <c r="C191" t="s">
        <v>728</v>
      </c>
      <c r="D191" t="s">
        <v>729</v>
      </c>
      <c r="E191" t="s">
        <v>173</v>
      </c>
      <c r="F191" t="s">
        <v>758</v>
      </c>
      <c r="G191" t="b">
        <f t="shared" si="2"/>
        <v>0</v>
      </c>
      <c r="H191" t="e">
        <f>VLOOKUP(A191,ID_Lookup!A:A,1,FALSE)</f>
        <v>#N/A</v>
      </c>
    </row>
    <row r="192" spans="1:8" x14ac:dyDescent="0.35">
      <c r="A192" t="s">
        <v>422</v>
      </c>
      <c r="B192">
        <v>2025</v>
      </c>
      <c r="C192" t="s">
        <v>423</v>
      </c>
      <c r="D192" t="s">
        <v>730</v>
      </c>
      <c r="E192" t="s">
        <v>112</v>
      </c>
      <c r="F192" t="s">
        <v>200</v>
      </c>
      <c r="G192" t="b">
        <f t="shared" si="2"/>
        <v>1</v>
      </c>
      <c r="H192" t="str">
        <f>VLOOKUP(A192,ID_Lookup!A:A,1,FALSE)</f>
        <v>J6209</v>
      </c>
    </row>
    <row r="193" spans="1:8" hidden="1" x14ac:dyDescent="0.35">
      <c r="A193" t="s">
        <v>731</v>
      </c>
      <c r="B193">
        <v>2025</v>
      </c>
      <c r="C193" t="s">
        <v>732</v>
      </c>
      <c r="D193" t="s">
        <v>733</v>
      </c>
      <c r="E193" t="s">
        <v>112</v>
      </c>
      <c r="F193" t="s">
        <v>200</v>
      </c>
      <c r="G193" t="b">
        <f t="shared" si="2"/>
        <v>1</v>
      </c>
      <c r="H193" t="e">
        <f>VLOOKUP(A193,ID_Lookup!A:A,1,FALSE)</f>
        <v>#N/A</v>
      </c>
    </row>
    <row r="194" spans="1:8" x14ac:dyDescent="0.35">
      <c r="A194" t="s">
        <v>425</v>
      </c>
      <c r="B194">
        <v>2025</v>
      </c>
      <c r="C194" t="s">
        <v>426</v>
      </c>
      <c r="D194" t="s">
        <v>734</v>
      </c>
      <c r="E194" t="s">
        <v>173</v>
      </c>
      <c r="F194" t="s">
        <v>758</v>
      </c>
      <c r="G194" t="b">
        <f t="shared" si="2"/>
        <v>0</v>
      </c>
      <c r="H194" t="str">
        <f>VLOOKUP(A194,ID_Lookup!A:A,1,FALSE)</f>
        <v>J6211</v>
      </c>
    </row>
    <row r="195" spans="1:8" x14ac:dyDescent="0.35">
      <c r="A195" t="s">
        <v>429</v>
      </c>
      <c r="B195">
        <v>2025</v>
      </c>
      <c r="C195" t="s">
        <v>430</v>
      </c>
      <c r="D195" t="s">
        <v>431</v>
      </c>
      <c r="E195" t="s">
        <v>112</v>
      </c>
      <c r="F195" t="s">
        <v>207</v>
      </c>
      <c r="G195" t="b">
        <f t="shared" ref="G195:G201" si="3">IF(E195="Include", TRUE, FALSE)</f>
        <v>1</v>
      </c>
      <c r="H195" t="str">
        <f>VLOOKUP(A195,ID_Lookup!A:A,1,FALSE)</f>
        <v>J6212</v>
      </c>
    </row>
    <row r="196" spans="1:8" x14ac:dyDescent="0.35">
      <c r="A196" t="s">
        <v>432</v>
      </c>
      <c r="B196">
        <v>2025</v>
      </c>
      <c r="C196" t="s">
        <v>433</v>
      </c>
      <c r="D196" t="s">
        <v>735</v>
      </c>
      <c r="E196" t="s">
        <v>112</v>
      </c>
      <c r="F196" t="s">
        <v>206</v>
      </c>
      <c r="G196" t="b">
        <f t="shared" si="3"/>
        <v>1</v>
      </c>
      <c r="H196" t="str">
        <f>VLOOKUP(A196,ID_Lookup!A:A,1,FALSE)</f>
        <v>J6213</v>
      </c>
    </row>
    <row r="197" spans="1:8" hidden="1" x14ac:dyDescent="0.35">
      <c r="A197" t="s">
        <v>736</v>
      </c>
      <c r="B197">
        <v>2025</v>
      </c>
      <c r="C197" t="s">
        <v>737</v>
      </c>
      <c r="D197" t="s">
        <v>738</v>
      </c>
      <c r="E197" t="s">
        <v>173</v>
      </c>
      <c r="F197" t="s">
        <v>758</v>
      </c>
      <c r="G197" t="b">
        <f t="shared" si="3"/>
        <v>0</v>
      </c>
      <c r="H197" t="e">
        <f>VLOOKUP(A197,ID_Lookup!A:A,1,FALSE)</f>
        <v>#N/A</v>
      </c>
    </row>
    <row r="198" spans="1:8" ht="409.5" hidden="1" x14ac:dyDescent="0.35">
      <c r="A198" s="6" t="s">
        <v>739</v>
      </c>
      <c r="B198" s="6">
        <v>2025</v>
      </c>
      <c r="C198" s="6" t="s">
        <v>740</v>
      </c>
      <c r="D198" s="8" t="s">
        <v>741</v>
      </c>
      <c r="E198" t="s">
        <v>173</v>
      </c>
      <c r="F198" t="s">
        <v>758</v>
      </c>
      <c r="G198" t="b">
        <f t="shared" si="3"/>
        <v>0</v>
      </c>
      <c r="H198" t="e">
        <f>VLOOKUP(A198,ID_Lookup!A:A,1,FALSE)</f>
        <v>#N/A</v>
      </c>
    </row>
    <row r="199" spans="1:8" hidden="1" x14ac:dyDescent="0.35">
      <c r="A199" t="s">
        <v>742</v>
      </c>
      <c r="B199">
        <v>2025</v>
      </c>
      <c r="C199" t="s">
        <v>743</v>
      </c>
      <c r="D199" t="s">
        <v>744</v>
      </c>
      <c r="E199" t="s">
        <v>112</v>
      </c>
      <c r="F199" t="s">
        <v>206</v>
      </c>
      <c r="G199" t="b">
        <f t="shared" si="3"/>
        <v>1</v>
      </c>
      <c r="H199" t="e">
        <f>VLOOKUP(A199,ID_Lookup!A:A,1,FALSE)</f>
        <v>#N/A</v>
      </c>
    </row>
    <row r="200" spans="1:8" hidden="1" x14ac:dyDescent="0.35">
      <c r="A200" t="s">
        <v>745</v>
      </c>
      <c r="B200">
        <v>2025</v>
      </c>
      <c r="C200" t="s">
        <v>746</v>
      </c>
      <c r="D200" t="s">
        <v>747</v>
      </c>
      <c r="E200" t="s">
        <v>173</v>
      </c>
      <c r="F200" t="s">
        <v>758</v>
      </c>
      <c r="G200" t="b">
        <f t="shared" si="3"/>
        <v>0</v>
      </c>
      <c r="H200" t="e">
        <f>VLOOKUP(A200,ID_Lookup!A:A,1,FALSE)</f>
        <v>#N/A</v>
      </c>
    </row>
    <row r="201" spans="1:8" x14ac:dyDescent="0.35">
      <c r="A201" t="s">
        <v>436</v>
      </c>
      <c r="B201">
        <v>2025</v>
      </c>
      <c r="C201" t="s">
        <v>437</v>
      </c>
      <c r="D201" t="s">
        <v>748</v>
      </c>
      <c r="E201" t="s">
        <v>112</v>
      </c>
      <c r="F201" t="s">
        <v>200</v>
      </c>
      <c r="G201" t="b">
        <f t="shared" si="3"/>
        <v>1</v>
      </c>
      <c r="H201" t="str">
        <f>VLOOKUP(A201,ID_Lookup!A:A,1,FALSE)</f>
        <v>J6218</v>
      </c>
    </row>
  </sheetData>
  <autoFilter ref="A1:H201" xr:uid="{5D3E4052-2545-45A0-857B-B79114EE9774}">
    <filterColumn colId="7">
      <filters>
        <filter val="J2830"/>
        <filter val="J2833"/>
        <filter val="J2835"/>
        <filter val="J2841"/>
        <filter val="J2842"/>
        <filter val="J2843"/>
        <filter val="J2844"/>
        <filter val="J2848"/>
        <filter val="J2849"/>
        <filter val="J2850"/>
        <filter val="J2851"/>
        <filter val="J2852"/>
        <filter val="J2853"/>
        <filter val="J2855"/>
        <filter val="J2856"/>
        <filter val="J2857"/>
        <filter val="J2858"/>
        <filter val="J2861"/>
        <filter val="J2863"/>
        <filter val="J2865"/>
        <filter val="J2869"/>
        <filter val="J2870"/>
        <filter val="J2871"/>
        <filter val="J2876"/>
        <filter val="J2878"/>
        <filter val="J2879"/>
        <filter val="J2881"/>
        <filter val="J2883"/>
        <filter val="J2886"/>
        <filter val="J2887"/>
        <filter val="J2888"/>
        <filter val="J2889"/>
        <filter val="J2890"/>
        <filter val="J2892"/>
        <filter val="J2893"/>
        <filter val="J2894"/>
        <filter val="J2895"/>
        <filter val="J2899"/>
        <filter val="J2904"/>
        <filter val="J2905"/>
        <filter val="J2906"/>
        <filter val="J2907"/>
        <filter val="J502"/>
        <filter val="J503"/>
        <filter val="J504"/>
        <filter val="J505"/>
        <filter val="J506"/>
        <filter val="J508"/>
        <filter val="J509"/>
        <filter val="J510"/>
        <filter val="J511"/>
        <filter val="J512"/>
        <filter val="J513"/>
        <filter val="J514"/>
        <filter val="J515"/>
        <filter val="J520"/>
        <filter val="J521"/>
        <filter val="J522"/>
        <filter val="J523"/>
        <filter val="J524"/>
        <filter val="J527"/>
        <filter val="J529"/>
        <filter val="J530"/>
        <filter val="J535"/>
        <filter val="J536"/>
        <filter val="J537"/>
        <filter val="J540"/>
        <filter val="J541"/>
        <filter val="J544"/>
        <filter val="J545"/>
        <filter val="J547"/>
        <filter val="J549"/>
        <filter val="J551"/>
        <filter val="J552"/>
        <filter val="J554"/>
        <filter val="J555"/>
        <filter val="J556"/>
        <filter val="J557"/>
        <filter val="J558"/>
        <filter val="J561"/>
        <filter val="J566"/>
        <filter val="J567"/>
        <filter val="J570"/>
        <filter val="J571"/>
        <filter val="J574"/>
        <filter val="J575"/>
        <filter val="J583"/>
        <filter val="J586"/>
        <filter val="J590"/>
        <filter val="J594"/>
        <filter val="J595"/>
        <filter val="J598"/>
        <filter val="J599"/>
        <filter val="J6200"/>
        <filter val="J6201"/>
        <filter val="J6205"/>
        <filter val="J6206"/>
        <filter val="J6207"/>
        <filter val="J6209"/>
        <filter val="J6211"/>
        <filter val="J6212"/>
        <filter val="J6213"/>
        <filter val="J6218"/>
      </filters>
    </filterColumn>
  </autoFilter>
  <conditionalFormatting sqref="E1:E81 F49:F81">
    <cfRule type="containsText" dxfId="21" priority="4" operator="containsText" text="Include">
      <formula>NOT(ISERROR(SEARCH("Include",E1)))</formula>
    </cfRule>
  </conditionalFormatting>
  <conditionalFormatting sqref="E1:E201">
    <cfRule type="containsText" dxfId="20" priority="1" operator="containsText" text="Exclude">
      <formula>NOT(ISERROR(SEARCH("Exclude",E1)))</formula>
    </cfRule>
  </conditionalFormatting>
  <conditionalFormatting sqref="E82:F201">
    <cfRule type="containsText" dxfId="19" priority="2" operator="containsText" text="Include">
      <formula>NOT(ISERROR(SEARCH("Include",E82)))</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5A4A9-643F-403F-8F39-91437DA8F632}">
  <dimension ref="A1:M104"/>
  <sheetViews>
    <sheetView topLeftCell="A28" workbookViewId="0">
      <selection activeCell="M30" sqref="M30"/>
    </sheetView>
  </sheetViews>
  <sheetFormatPr defaultRowHeight="14.5" x14ac:dyDescent="0.35"/>
  <sheetData>
    <row r="1" spans="1:13" ht="15" thickBot="1" x14ac:dyDescent="0.4">
      <c r="A1" t="s">
        <v>0</v>
      </c>
      <c r="B1" t="s">
        <v>1</v>
      </c>
      <c r="C1" t="s">
        <v>2</v>
      </c>
      <c r="D1" t="s">
        <v>3</v>
      </c>
      <c r="E1" t="s">
        <v>192</v>
      </c>
      <c r="F1" t="s">
        <v>193</v>
      </c>
      <c r="G1" t="s">
        <v>194</v>
      </c>
      <c r="H1" t="s">
        <v>195</v>
      </c>
      <c r="I1" t="s">
        <v>196</v>
      </c>
      <c r="J1" s="9" t="s">
        <v>109</v>
      </c>
      <c r="K1" s="10" t="s">
        <v>110</v>
      </c>
      <c r="L1" t="s">
        <v>212</v>
      </c>
      <c r="M1" t="s">
        <v>174</v>
      </c>
    </row>
    <row r="2" spans="1:13" x14ac:dyDescent="0.35">
      <c r="A2" t="s">
        <v>8</v>
      </c>
      <c r="B2">
        <v>2019</v>
      </c>
      <c r="C2" t="s">
        <v>9</v>
      </c>
      <c r="D2" t="s">
        <v>175</v>
      </c>
      <c r="E2" t="b">
        <v>0</v>
      </c>
      <c r="F2" t="s">
        <v>197</v>
      </c>
      <c r="G2" t="s">
        <v>198</v>
      </c>
      <c r="I2">
        <v>0.9</v>
      </c>
      <c r="J2" t="s">
        <v>173</v>
      </c>
      <c r="K2" t="s">
        <v>204</v>
      </c>
      <c r="L2" t="b">
        <v>0</v>
      </c>
      <c r="M2" t="s">
        <v>8</v>
      </c>
    </row>
    <row r="3" spans="1:13" x14ac:dyDescent="0.35">
      <c r="A3" t="s">
        <v>10</v>
      </c>
      <c r="B3">
        <v>2019</v>
      </c>
      <c r="C3" t="s">
        <v>11</v>
      </c>
      <c r="D3" t="s">
        <v>180</v>
      </c>
      <c r="E3" t="b">
        <v>0</v>
      </c>
      <c r="F3" t="s">
        <v>213</v>
      </c>
      <c r="G3" t="s">
        <v>198</v>
      </c>
      <c r="I3">
        <v>0.9</v>
      </c>
      <c r="J3" t="s">
        <v>112</v>
      </c>
      <c r="K3" t="s">
        <v>200</v>
      </c>
      <c r="L3" t="b">
        <v>1</v>
      </c>
      <c r="M3" t="s">
        <v>10</v>
      </c>
    </row>
    <row r="4" spans="1:13" x14ac:dyDescent="0.35">
      <c r="A4" t="s">
        <v>12</v>
      </c>
      <c r="B4">
        <v>2019</v>
      </c>
      <c r="C4" t="s">
        <v>13</v>
      </c>
      <c r="D4" t="s">
        <v>176</v>
      </c>
      <c r="E4" t="b">
        <v>0</v>
      </c>
      <c r="F4" t="s">
        <v>766</v>
      </c>
      <c r="G4" t="s">
        <v>198</v>
      </c>
      <c r="I4">
        <v>0.9</v>
      </c>
      <c r="J4" t="s">
        <v>112</v>
      </c>
      <c r="K4" t="s">
        <v>205</v>
      </c>
      <c r="L4" t="b">
        <v>1</v>
      </c>
      <c r="M4" t="s">
        <v>12</v>
      </c>
    </row>
    <row r="5" spans="1:13" x14ac:dyDescent="0.35">
      <c r="A5" t="s">
        <v>14</v>
      </c>
      <c r="B5">
        <v>2019</v>
      </c>
      <c r="C5" t="s">
        <v>15</v>
      </c>
      <c r="D5" t="s">
        <v>181</v>
      </c>
      <c r="E5" t="b">
        <v>1</v>
      </c>
      <c r="F5" t="s">
        <v>214</v>
      </c>
      <c r="G5" t="s">
        <v>200</v>
      </c>
      <c r="H5" t="s">
        <v>200</v>
      </c>
      <c r="I5">
        <v>0.9</v>
      </c>
      <c r="J5" t="s">
        <v>112</v>
      </c>
      <c r="K5" t="s">
        <v>205</v>
      </c>
      <c r="L5" t="b">
        <v>1</v>
      </c>
      <c r="M5" t="s">
        <v>14</v>
      </c>
    </row>
    <row r="6" spans="1:13" x14ac:dyDescent="0.35">
      <c r="A6" t="s">
        <v>16</v>
      </c>
      <c r="B6">
        <v>2019</v>
      </c>
      <c r="C6" t="s">
        <v>17</v>
      </c>
      <c r="D6" t="s">
        <v>767</v>
      </c>
      <c r="E6" t="b">
        <v>1</v>
      </c>
      <c r="F6" t="s">
        <v>768</v>
      </c>
      <c r="G6" t="s">
        <v>200</v>
      </c>
      <c r="H6" t="s">
        <v>200</v>
      </c>
      <c r="I6">
        <v>0.9</v>
      </c>
      <c r="J6" t="s">
        <v>112</v>
      </c>
      <c r="K6" t="s">
        <v>205</v>
      </c>
      <c r="L6" t="b">
        <v>1</v>
      </c>
      <c r="M6" t="s">
        <v>16</v>
      </c>
    </row>
    <row r="7" spans="1:13" x14ac:dyDescent="0.35">
      <c r="A7" t="s">
        <v>19</v>
      </c>
      <c r="B7">
        <v>2019</v>
      </c>
      <c r="C7" t="s">
        <v>20</v>
      </c>
      <c r="D7" t="s">
        <v>177</v>
      </c>
      <c r="E7" t="b">
        <v>0</v>
      </c>
      <c r="F7" t="s">
        <v>227</v>
      </c>
      <c r="G7" t="s">
        <v>198</v>
      </c>
      <c r="I7">
        <v>1</v>
      </c>
      <c r="J7" t="s">
        <v>112</v>
      </c>
      <c r="K7" t="s">
        <v>205</v>
      </c>
      <c r="L7" t="b">
        <v>1</v>
      </c>
      <c r="M7" t="s">
        <v>19</v>
      </c>
    </row>
    <row r="8" spans="1:13" x14ac:dyDescent="0.35">
      <c r="A8" t="s">
        <v>21</v>
      </c>
      <c r="B8">
        <v>2019</v>
      </c>
      <c r="C8" t="s">
        <v>22</v>
      </c>
      <c r="D8" t="s">
        <v>215</v>
      </c>
      <c r="E8" t="b">
        <v>0</v>
      </c>
      <c r="F8" t="s">
        <v>769</v>
      </c>
      <c r="G8" t="s">
        <v>198</v>
      </c>
      <c r="I8">
        <v>0.9</v>
      </c>
      <c r="J8" t="s">
        <v>112</v>
      </c>
      <c r="K8" t="s">
        <v>205</v>
      </c>
      <c r="L8" t="b">
        <v>1</v>
      </c>
      <c r="M8" t="s">
        <v>21</v>
      </c>
    </row>
    <row r="9" spans="1:13" x14ac:dyDescent="0.35">
      <c r="A9" t="s">
        <v>23</v>
      </c>
      <c r="B9">
        <v>2019</v>
      </c>
      <c r="C9" t="s">
        <v>182</v>
      </c>
      <c r="D9" t="s">
        <v>183</v>
      </c>
      <c r="E9" t="b">
        <v>0</v>
      </c>
      <c r="F9" t="s">
        <v>339</v>
      </c>
      <c r="G9" t="s">
        <v>198</v>
      </c>
      <c r="I9">
        <v>0.9</v>
      </c>
      <c r="J9" t="s">
        <v>173</v>
      </c>
      <c r="K9" t="s">
        <v>204</v>
      </c>
      <c r="L9" t="b">
        <v>0</v>
      </c>
      <c r="M9" t="s">
        <v>23</v>
      </c>
    </row>
    <row r="10" spans="1:13" x14ac:dyDescent="0.35">
      <c r="A10" t="s">
        <v>24</v>
      </c>
      <c r="B10">
        <v>2019</v>
      </c>
      <c r="C10" t="s">
        <v>25</v>
      </c>
      <c r="D10" t="s">
        <v>26</v>
      </c>
      <c r="E10" t="b">
        <v>0</v>
      </c>
      <c r="F10" t="s">
        <v>770</v>
      </c>
      <c r="G10" t="s">
        <v>198</v>
      </c>
      <c r="I10">
        <v>0.9</v>
      </c>
      <c r="J10" t="s">
        <v>173</v>
      </c>
      <c r="K10" t="s">
        <v>204</v>
      </c>
      <c r="L10" t="b">
        <v>0</v>
      </c>
      <c r="M10" t="s">
        <v>24</v>
      </c>
    </row>
    <row r="11" spans="1:13" x14ac:dyDescent="0.35">
      <c r="A11" t="s">
        <v>27</v>
      </c>
      <c r="B11">
        <v>2019</v>
      </c>
      <c r="C11" t="s">
        <v>28</v>
      </c>
      <c r="D11" t="s">
        <v>29</v>
      </c>
      <c r="E11" t="b">
        <v>0</v>
      </c>
      <c r="F11" t="s">
        <v>771</v>
      </c>
      <c r="G11" t="s">
        <v>198</v>
      </c>
      <c r="I11">
        <v>0.9</v>
      </c>
      <c r="J11" t="s">
        <v>173</v>
      </c>
      <c r="K11" t="s">
        <v>204</v>
      </c>
      <c r="L11" t="b">
        <v>0</v>
      </c>
      <c r="M11" t="s">
        <v>27</v>
      </c>
    </row>
    <row r="12" spans="1:13" x14ac:dyDescent="0.35">
      <c r="A12" t="s">
        <v>30</v>
      </c>
      <c r="B12">
        <v>2019</v>
      </c>
      <c r="C12" t="s">
        <v>772</v>
      </c>
      <c r="D12" t="s">
        <v>773</v>
      </c>
      <c r="E12" t="b">
        <v>0</v>
      </c>
      <c r="F12" t="s">
        <v>774</v>
      </c>
      <c r="G12" t="s">
        <v>198</v>
      </c>
      <c r="I12">
        <v>0.95</v>
      </c>
      <c r="J12" t="s">
        <v>173</v>
      </c>
      <c r="K12" t="s">
        <v>204</v>
      </c>
      <c r="L12" t="b">
        <v>0</v>
      </c>
      <c r="M12" t="s">
        <v>30</v>
      </c>
    </row>
    <row r="13" spans="1:13" x14ac:dyDescent="0.35">
      <c r="A13" t="s">
        <v>31</v>
      </c>
      <c r="B13">
        <v>2019</v>
      </c>
      <c r="C13" t="s">
        <v>216</v>
      </c>
      <c r="D13" t="s">
        <v>217</v>
      </c>
      <c r="E13" t="b">
        <v>0</v>
      </c>
      <c r="F13" t="s">
        <v>218</v>
      </c>
      <c r="G13" t="s">
        <v>198</v>
      </c>
      <c r="I13">
        <v>1</v>
      </c>
      <c r="J13" t="s">
        <v>173</v>
      </c>
      <c r="K13" t="s">
        <v>204</v>
      </c>
      <c r="L13" t="b">
        <v>0</v>
      </c>
      <c r="M13" t="s">
        <v>31</v>
      </c>
    </row>
    <row r="14" spans="1:13" x14ac:dyDescent="0.35">
      <c r="A14" t="s">
        <v>32</v>
      </c>
      <c r="B14">
        <v>2019</v>
      </c>
      <c r="C14" t="s">
        <v>33</v>
      </c>
      <c r="D14" t="s">
        <v>219</v>
      </c>
      <c r="E14" t="b">
        <v>1</v>
      </c>
      <c r="F14" t="s">
        <v>775</v>
      </c>
      <c r="G14" t="s">
        <v>206</v>
      </c>
      <c r="H14" t="s">
        <v>206</v>
      </c>
      <c r="I14">
        <v>0.9</v>
      </c>
      <c r="J14" t="s">
        <v>112</v>
      </c>
      <c r="K14" t="s">
        <v>206</v>
      </c>
      <c r="L14" t="b">
        <v>1</v>
      </c>
      <c r="M14" t="s">
        <v>32</v>
      </c>
    </row>
    <row r="15" spans="1:13" x14ac:dyDescent="0.35">
      <c r="A15" t="s">
        <v>42</v>
      </c>
      <c r="B15">
        <v>2019</v>
      </c>
      <c r="C15" t="s">
        <v>43</v>
      </c>
      <c r="D15" t="s">
        <v>44</v>
      </c>
      <c r="E15" t="b">
        <v>0</v>
      </c>
      <c r="F15" t="s">
        <v>776</v>
      </c>
      <c r="G15" t="s">
        <v>198</v>
      </c>
      <c r="I15">
        <v>0.9</v>
      </c>
      <c r="J15" t="s">
        <v>173</v>
      </c>
      <c r="K15" t="s">
        <v>204</v>
      </c>
      <c r="L15" t="b">
        <v>0</v>
      </c>
      <c r="M15" t="s">
        <v>42</v>
      </c>
    </row>
    <row r="16" spans="1:13" x14ac:dyDescent="0.35">
      <c r="A16" t="s">
        <v>45</v>
      </c>
      <c r="B16">
        <v>2019</v>
      </c>
      <c r="C16" t="s">
        <v>46</v>
      </c>
      <c r="D16" t="s">
        <v>220</v>
      </c>
      <c r="E16" t="b">
        <v>0</v>
      </c>
      <c r="F16" t="s">
        <v>777</v>
      </c>
      <c r="G16" t="s">
        <v>198</v>
      </c>
      <c r="I16">
        <v>0.9</v>
      </c>
      <c r="J16" t="s">
        <v>112</v>
      </c>
      <c r="K16" t="s">
        <v>205</v>
      </c>
      <c r="L16" t="b">
        <v>1</v>
      </c>
      <c r="M16" t="s">
        <v>45</v>
      </c>
    </row>
    <row r="17" spans="1:13" x14ac:dyDescent="0.35">
      <c r="A17" t="s">
        <v>47</v>
      </c>
      <c r="B17">
        <v>2019</v>
      </c>
      <c r="C17" t="s">
        <v>48</v>
      </c>
      <c r="D17" t="s">
        <v>178</v>
      </c>
      <c r="E17" t="b">
        <v>0</v>
      </c>
      <c r="F17" t="s">
        <v>199</v>
      </c>
      <c r="G17" t="s">
        <v>198</v>
      </c>
      <c r="I17">
        <v>0.95</v>
      </c>
      <c r="J17" t="s">
        <v>173</v>
      </c>
      <c r="K17" t="s">
        <v>204</v>
      </c>
      <c r="L17" t="b">
        <v>0</v>
      </c>
      <c r="M17" t="s">
        <v>47</v>
      </c>
    </row>
    <row r="18" spans="1:13" x14ac:dyDescent="0.35">
      <c r="A18" t="s">
        <v>49</v>
      </c>
      <c r="B18">
        <v>2019</v>
      </c>
      <c r="C18" t="s">
        <v>184</v>
      </c>
      <c r="D18" t="s">
        <v>185</v>
      </c>
      <c r="E18" t="b">
        <v>0</v>
      </c>
      <c r="F18" t="s">
        <v>202</v>
      </c>
      <c r="G18" t="s">
        <v>198</v>
      </c>
      <c r="I18">
        <v>0.9</v>
      </c>
      <c r="J18" t="s">
        <v>112</v>
      </c>
      <c r="K18" t="s">
        <v>200</v>
      </c>
      <c r="L18" t="b">
        <v>1</v>
      </c>
      <c r="M18" t="s">
        <v>49</v>
      </c>
    </row>
    <row r="19" spans="1:13" x14ac:dyDescent="0.35">
      <c r="A19" t="s">
        <v>50</v>
      </c>
      <c r="B19">
        <v>2019</v>
      </c>
      <c r="C19" t="s">
        <v>186</v>
      </c>
      <c r="D19" t="s">
        <v>187</v>
      </c>
      <c r="E19" t="b">
        <v>0</v>
      </c>
      <c r="F19" t="s">
        <v>202</v>
      </c>
      <c r="G19" t="s">
        <v>198</v>
      </c>
      <c r="I19">
        <v>0.95</v>
      </c>
      <c r="J19" t="s">
        <v>112</v>
      </c>
      <c r="K19" t="s">
        <v>200</v>
      </c>
      <c r="L19" t="b">
        <v>1</v>
      </c>
      <c r="M19" t="s">
        <v>50</v>
      </c>
    </row>
    <row r="20" spans="1:13" x14ac:dyDescent="0.35">
      <c r="A20" t="s">
        <v>57</v>
      </c>
      <c r="B20">
        <v>2019</v>
      </c>
      <c r="C20" t="s">
        <v>58</v>
      </c>
      <c r="D20" t="s">
        <v>188</v>
      </c>
      <c r="E20" t="b">
        <v>0</v>
      </c>
      <c r="F20" t="s">
        <v>199</v>
      </c>
      <c r="G20" t="s">
        <v>198</v>
      </c>
      <c r="I20">
        <v>0.9</v>
      </c>
      <c r="J20" t="s">
        <v>173</v>
      </c>
      <c r="K20" t="s">
        <v>204</v>
      </c>
      <c r="L20" t="b">
        <v>0</v>
      </c>
      <c r="M20" t="s">
        <v>57</v>
      </c>
    </row>
    <row r="21" spans="1:13" x14ac:dyDescent="0.35">
      <c r="A21" t="s">
        <v>60</v>
      </c>
      <c r="B21">
        <v>2019</v>
      </c>
      <c r="C21" t="s">
        <v>61</v>
      </c>
      <c r="D21" t="s">
        <v>221</v>
      </c>
      <c r="E21" t="b">
        <v>0</v>
      </c>
      <c r="F21" t="s">
        <v>778</v>
      </c>
      <c r="G21" t="s">
        <v>198</v>
      </c>
      <c r="I21">
        <v>0.9</v>
      </c>
      <c r="J21" t="s">
        <v>173</v>
      </c>
      <c r="K21" t="s">
        <v>204</v>
      </c>
      <c r="L21" t="b">
        <v>0</v>
      </c>
      <c r="M21" t="s">
        <v>60</v>
      </c>
    </row>
    <row r="22" spans="1:13" x14ac:dyDescent="0.35">
      <c r="A22" t="s">
        <v>62</v>
      </c>
      <c r="B22">
        <v>2019</v>
      </c>
      <c r="C22" t="s">
        <v>63</v>
      </c>
      <c r="D22" t="s">
        <v>189</v>
      </c>
      <c r="E22" t="b">
        <v>0</v>
      </c>
      <c r="F22" t="s">
        <v>779</v>
      </c>
      <c r="G22" t="s">
        <v>198</v>
      </c>
      <c r="I22">
        <v>0.9</v>
      </c>
      <c r="J22" t="s">
        <v>173</v>
      </c>
      <c r="K22" t="s">
        <v>204</v>
      </c>
      <c r="L22" t="b">
        <v>0</v>
      </c>
      <c r="M22" t="s">
        <v>62</v>
      </c>
    </row>
    <row r="23" spans="1:13" x14ac:dyDescent="0.35">
      <c r="A23" t="s">
        <v>74</v>
      </c>
      <c r="B23">
        <v>2019</v>
      </c>
      <c r="C23" t="s">
        <v>75</v>
      </c>
      <c r="D23" t="s">
        <v>190</v>
      </c>
      <c r="E23" t="b">
        <v>1</v>
      </c>
      <c r="F23" t="s">
        <v>780</v>
      </c>
      <c r="G23" t="s">
        <v>200</v>
      </c>
      <c r="H23" t="s">
        <v>200</v>
      </c>
      <c r="I23">
        <v>0.9</v>
      </c>
      <c r="J23" t="s">
        <v>112</v>
      </c>
      <c r="K23" t="s">
        <v>200</v>
      </c>
      <c r="L23" t="b">
        <v>1</v>
      </c>
      <c r="M23" t="s">
        <v>74</v>
      </c>
    </row>
    <row r="24" spans="1:13" x14ac:dyDescent="0.35">
      <c r="A24" t="s">
        <v>76</v>
      </c>
      <c r="B24">
        <v>2019</v>
      </c>
      <c r="C24" t="s">
        <v>77</v>
      </c>
      <c r="D24" t="s">
        <v>222</v>
      </c>
      <c r="E24" t="b">
        <v>0</v>
      </c>
      <c r="F24" t="s">
        <v>781</v>
      </c>
      <c r="G24" t="s">
        <v>198</v>
      </c>
      <c r="I24">
        <v>0.9</v>
      </c>
      <c r="J24" t="s">
        <v>173</v>
      </c>
      <c r="K24" t="s">
        <v>204</v>
      </c>
      <c r="L24" t="b">
        <v>0</v>
      </c>
      <c r="M24" t="s">
        <v>76</v>
      </c>
    </row>
    <row r="25" spans="1:13" x14ac:dyDescent="0.35">
      <c r="A25" t="s">
        <v>78</v>
      </c>
      <c r="B25">
        <v>2019</v>
      </c>
      <c r="C25" t="s">
        <v>79</v>
      </c>
      <c r="D25" t="s">
        <v>179</v>
      </c>
      <c r="E25" t="b">
        <v>0</v>
      </c>
      <c r="F25" t="s">
        <v>782</v>
      </c>
      <c r="G25" t="s">
        <v>198</v>
      </c>
      <c r="I25">
        <v>0.9</v>
      </c>
      <c r="J25" t="s">
        <v>112</v>
      </c>
      <c r="K25" t="s">
        <v>200</v>
      </c>
      <c r="L25" t="b">
        <v>1</v>
      </c>
      <c r="M25" t="s">
        <v>78</v>
      </c>
    </row>
    <row r="26" spans="1:13" x14ac:dyDescent="0.35">
      <c r="A26" t="s">
        <v>83</v>
      </c>
      <c r="B26">
        <v>2019</v>
      </c>
      <c r="C26" t="s">
        <v>84</v>
      </c>
      <c r="D26" t="s">
        <v>191</v>
      </c>
      <c r="E26" t="b">
        <v>0</v>
      </c>
      <c r="F26" t="s">
        <v>783</v>
      </c>
      <c r="G26" t="s">
        <v>198</v>
      </c>
      <c r="I26">
        <v>1</v>
      </c>
      <c r="J26" t="s">
        <v>173</v>
      </c>
      <c r="K26" t="s">
        <v>204</v>
      </c>
      <c r="L26" t="b">
        <v>0</v>
      </c>
      <c r="M26" t="s">
        <v>83</v>
      </c>
    </row>
    <row r="27" spans="1:13" ht="409.5" x14ac:dyDescent="0.35">
      <c r="A27" t="s">
        <v>85</v>
      </c>
      <c r="B27">
        <v>2019</v>
      </c>
      <c r="C27" t="s">
        <v>86</v>
      </c>
      <c r="D27" s="1" t="s">
        <v>87</v>
      </c>
      <c r="E27" t="b">
        <v>0</v>
      </c>
      <c r="F27" t="s">
        <v>784</v>
      </c>
      <c r="G27" t="s">
        <v>198</v>
      </c>
      <c r="I27">
        <v>0.9</v>
      </c>
      <c r="J27" t="s">
        <v>173</v>
      </c>
      <c r="K27" t="s">
        <v>204</v>
      </c>
      <c r="L27" t="b">
        <v>0</v>
      </c>
      <c r="M27" t="s">
        <v>85</v>
      </c>
    </row>
    <row r="28" spans="1:13" x14ac:dyDescent="0.35">
      <c r="A28" t="s">
        <v>91</v>
      </c>
      <c r="B28">
        <v>2019</v>
      </c>
      <c r="C28" t="s">
        <v>92</v>
      </c>
      <c r="D28" t="s">
        <v>93</v>
      </c>
      <c r="E28" t="b">
        <v>1</v>
      </c>
      <c r="F28" t="s">
        <v>223</v>
      </c>
      <c r="G28" t="s">
        <v>200</v>
      </c>
      <c r="H28" t="s">
        <v>200</v>
      </c>
      <c r="I28">
        <v>0.9</v>
      </c>
      <c r="J28" t="s">
        <v>112</v>
      </c>
      <c r="K28" t="s">
        <v>209</v>
      </c>
      <c r="L28" t="b">
        <v>1</v>
      </c>
      <c r="M28" t="s">
        <v>91</v>
      </c>
    </row>
    <row r="29" spans="1:13" x14ac:dyDescent="0.35">
      <c r="A29" t="s">
        <v>94</v>
      </c>
      <c r="B29">
        <v>2019</v>
      </c>
      <c r="C29" t="s">
        <v>95</v>
      </c>
      <c r="D29" t="s">
        <v>96</v>
      </c>
      <c r="E29" t="b">
        <v>1</v>
      </c>
      <c r="F29" t="s">
        <v>203</v>
      </c>
      <c r="G29" t="s">
        <v>200</v>
      </c>
      <c r="H29" t="s">
        <v>200</v>
      </c>
      <c r="I29">
        <v>0.9</v>
      </c>
      <c r="J29" t="s">
        <v>112</v>
      </c>
      <c r="K29" t="s">
        <v>200</v>
      </c>
      <c r="L29" t="b">
        <v>1</v>
      </c>
      <c r="M29" t="s">
        <v>94</v>
      </c>
    </row>
    <row r="30" spans="1:13" x14ac:dyDescent="0.35">
      <c r="A30" t="s">
        <v>99</v>
      </c>
      <c r="B30">
        <v>2019</v>
      </c>
      <c r="C30" t="s">
        <v>100</v>
      </c>
      <c r="D30" t="s">
        <v>101</v>
      </c>
      <c r="E30" t="b">
        <v>1</v>
      </c>
      <c r="F30" t="s">
        <v>785</v>
      </c>
      <c r="G30" t="s">
        <v>200</v>
      </c>
      <c r="H30" t="s">
        <v>200</v>
      </c>
      <c r="I30">
        <v>0.9</v>
      </c>
      <c r="J30" t="s">
        <v>173</v>
      </c>
      <c r="K30" t="s">
        <v>210</v>
      </c>
      <c r="L30" t="b">
        <v>0</v>
      </c>
      <c r="M30" t="s">
        <v>99</v>
      </c>
    </row>
    <row r="31" spans="1:13" x14ac:dyDescent="0.35">
      <c r="A31" t="s">
        <v>103</v>
      </c>
      <c r="B31">
        <v>2019</v>
      </c>
      <c r="C31" t="s">
        <v>104</v>
      </c>
      <c r="D31" t="s">
        <v>105</v>
      </c>
      <c r="E31" t="b">
        <v>1</v>
      </c>
      <c r="F31" t="s">
        <v>786</v>
      </c>
      <c r="G31" t="s">
        <v>200</v>
      </c>
      <c r="H31" t="s">
        <v>200</v>
      </c>
      <c r="I31">
        <v>0.9</v>
      </c>
      <c r="J31" t="s">
        <v>112</v>
      </c>
      <c r="K31" t="s">
        <v>200</v>
      </c>
      <c r="L31" t="b">
        <v>1</v>
      </c>
      <c r="M31" t="s">
        <v>103</v>
      </c>
    </row>
    <row r="32" spans="1:13" x14ac:dyDescent="0.35">
      <c r="A32" t="s">
        <v>224</v>
      </c>
      <c r="B32">
        <v>2019</v>
      </c>
      <c r="C32" t="s">
        <v>225</v>
      </c>
      <c r="D32" t="s">
        <v>226</v>
      </c>
      <c r="E32" t="b">
        <v>0</v>
      </c>
      <c r="F32" t="s">
        <v>227</v>
      </c>
      <c r="G32" t="s">
        <v>198</v>
      </c>
      <c r="I32">
        <v>0.9</v>
      </c>
      <c r="J32" t="s">
        <v>173</v>
      </c>
      <c r="K32" t="s">
        <v>204</v>
      </c>
      <c r="L32" t="b">
        <v>0</v>
      </c>
      <c r="M32" t="s">
        <v>224</v>
      </c>
    </row>
    <row r="33" spans="1:13" x14ac:dyDescent="0.35">
      <c r="A33" t="s">
        <v>228</v>
      </c>
      <c r="B33">
        <v>2019</v>
      </c>
      <c r="C33" t="s">
        <v>229</v>
      </c>
      <c r="D33" t="s">
        <v>230</v>
      </c>
      <c r="E33" t="b">
        <v>1</v>
      </c>
      <c r="F33" t="s">
        <v>787</v>
      </c>
      <c r="G33" t="s">
        <v>206</v>
      </c>
      <c r="H33" t="s">
        <v>206</v>
      </c>
      <c r="I33">
        <v>0.9</v>
      </c>
      <c r="J33" t="s">
        <v>173</v>
      </c>
      <c r="K33" t="s">
        <v>204</v>
      </c>
      <c r="L33" t="b">
        <v>0</v>
      </c>
      <c r="M33" t="s">
        <v>228</v>
      </c>
    </row>
    <row r="34" spans="1:13" x14ac:dyDescent="0.35">
      <c r="A34" t="s">
        <v>444</v>
      </c>
      <c r="B34">
        <v>2019</v>
      </c>
      <c r="C34" t="s">
        <v>445</v>
      </c>
      <c r="D34" t="s">
        <v>788</v>
      </c>
      <c r="E34" t="b">
        <v>1</v>
      </c>
      <c r="F34" t="s">
        <v>789</v>
      </c>
      <c r="G34" t="s">
        <v>206</v>
      </c>
      <c r="H34" t="s">
        <v>206</v>
      </c>
      <c r="I34">
        <v>0.9</v>
      </c>
      <c r="J34" t="s">
        <v>112</v>
      </c>
      <c r="K34" t="s">
        <v>206</v>
      </c>
      <c r="L34" t="b">
        <v>1</v>
      </c>
      <c r="M34" t="s">
        <v>444</v>
      </c>
    </row>
    <row r="35" spans="1:13" x14ac:dyDescent="0.35">
      <c r="A35" t="s">
        <v>447</v>
      </c>
      <c r="B35">
        <v>2019</v>
      </c>
      <c r="C35" t="s">
        <v>448</v>
      </c>
      <c r="D35" t="s">
        <v>449</v>
      </c>
      <c r="E35" t="b">
        <v>0</v>
      </c>
      <c r="F35" t="s">
        <v>790</v>
      </c>
      <c r="G35" t="s">
        <v>198</v>
      </c>
      <c r="I35">
        <v>0.9</v>
      </c>
      <c r="J35" t="s">
        <v>173</v>
      </c>
      <c r="K35" t="s">
        <v>204</v>
      </c>
      <c r="L35" t="b">
        <v>0</v>
      </c>
      <c r="M35" t="s">
        <v>447</v>
      </c>
    </row>
    <row r="36" spans="1:13" x14ac:dyDescent="0.35">
      <c r="A36" t="s">
        <v>450</v>
      </c>
      <c r="B36">
        <v>2019</v>
      </c>
      <c r="C36" t="s">
        <v>451</v>
      </c>
      <c r="D36" t="s">
        <v>452</v>
      </c>
      <c r="E36" t="b">
        <v>1</v>
      </c>
      <c r="F36" t="s">
        <v>791</v>
      </c>
      <c r="G36" t="s">
        <v>206</v>
      </c>
      <c r="H36" t="s">
        <v>206</v>
      </c>
      <c r="I36">
        <v>0.9</v>
      </c>
      <c r="J36" t="s">
        <v>112</v>
      </c>
      <c r="K36" t="s">
        <v>200</v>
      </c>
      <c r="L36" t="b">
        <v>1</v>
      </c>
      <c r="M36" t="s">
        <v>450</v>
      </c>
    </row>
    <row r="37" spans="1:13" x14ac:dyDescent="0.35">
      <c r="A37" t="s">
        <v>231</v>
      </c>
      <c r="B37">
        <v>2019</v>
      </c>
      <c r="C37" t="s">
        <v>232</v>
      </c>
      <c r="D37" t="s">
        <v>233</v>
      </c>
      <c r="E37" t="b">
        <v>0</v>
      </c>
      <c r="F37" t="s">
        <v>792</v>
      </c>
      <c r="G37" t="s">
        <v>198</v>
      </c>
      <c r="I37">
        <v>0.9</v>
      </c>
      <c r="J37" t="s">
        <v>173</v>
      </c>
      <c r="K37" t="s">
        <v>204</v>
      </c>
      <c r="L37" t="b">
        <v>0</v>
      </c>
      <c r="M37" t="s">
        <v>231</v>
      </c>
    </row>
    <row r="38" spans="1:13" x14ac:dyDescent="0.35">
      <c r="A38" t="s">
        <v>234</v>
      </c>
      <c r="B38">
        <v>2019</v>
      </c>
      <c r="C38" t="s">
        <v>235</v>
      </c>
      <c r="D38" t="s">
        <v>236</v>
      </c>
      <c r="E38" t="b">
        <v>0</v>
      </c>
      <c r="F38" t="s">
        <v>793</v>
      </c>
      <c r="G38" t="s">
        <v>198</v>
      </c>
      <c r="I38">
        <v>0.9</v>
      </c>
      <c r="J38" t="s">
        <v>173</v>
      </c>
      <c r="K38" t="s">
        <v>204</v>
      </c>
      <c r="L38" t="b">
        <v>0</v>
      </c>
      <c r="M38" t="s">
        <v>234</v>
      </c>
    </row>
    <row r="39" spans="1:13" x14ac:dyDescent="0.35">
      <c r="A39" t="s">
        <v>237</v>
      </c>
      <c r="B39">
        <v>2019</v>
      </c>
      <c r="C39" t="s">
        <v>238</v>
      </c>
      <c r="D39" t="s">
        <v>239</v>
      </c>
      <c r="E39" t="b">
        <v>0</v>
      </c>
      <c r="F39" t="s">
        <v>794</v>
      </c>
      <c r="G39" t="s">
        <v>198</v>
      </c>
      <c r="I39">
        <v>0.9</v>
      </c>
      <c r="J39" t="s">
        <v>112</v>
      </c>
      <c r="K39" t="s">
        <v>200</v>
      </c>
      <c r="L39" t="b">
        <v>1</v>
      </c>
      <c r="M39" t="s">
        <v>237</v>
      </c>
    </row>
    <row r="40" spans="1:13" x14ac:dyDescent="0.35">
      <c r="A40" t="s">
        <v>474</v>
      </c>
      <c r="B40">
        <v>2019</v>
      </c>
      <c r="C40" t="s">
        <v>475</v>
      </c>
      <c r="D40" t="s">
        <v>795</v>
      </c>
      <c r="E40" t="b">
        <v>0</v>
      </c>
      <c r="F40" t="s">
        <v>796</v>
      </c>
      <c r="G40" t="s">
        <v>198</v>
      </c>
      <c r="I40">
        <v>0.9</v>
      </c>
      <c r="J40" t="s">
        <v>112</v>
      </c>
      <c r="K40" t="s">
        <v>752</v>
      </c>
      <c r="L40" t="b">
        <v>1</v>
      </c>
      <c r="M40" t="s">
        <v>474</v>
      </c>
    </row>
    <row r="41" spans="1:13" x14ac:dyDescent="0.35">
      <c r="A41" t="s">
        <v>240</v>
      </c>
      <c r="B41">
        <v>2019</v>
      </c>
      <c r="C41" t="s">
        <v>241</v>
      </c>
      <c r="D41" t="s">
        <v>242</v>
      </c>
      <c r="E41" t="b">
        <v>0</v>
      </c>
      <c r="F41" t="s">
        <v>243</v>
      </c>
      <c r="G41" t="s">
        <v>198</v>
      </c>
      <c r="I41">
        <v>0.9</v>
      </c>
      <c r="J41" t="s">
        <v>173</v>
      </c>
      <c r="K41" t="s">
        <v>204</v>
      </c>
      <c r="L41" t="b">
        <v>0</v>
      </c>
      <c r="M41" t="s">
        <v>240</v>
      </c>
    </row>
    <row r="42" spans="1:13" x14ac:dyDescent="0.35">
      <c r="A42" t="s">
        <v>244</v>
      </c>
      <c r="B42">
        <v>2019</v>
      </c>
      <c r="C42" t="s">
        <v>245</v>
      </c>
      <c r="D42" t="s">
        <v>246</v>
      </c>
      <c r="E42" t="b">
        <v>0</v>
      </c>
      <c r="F42" t="s">
        <v>797</v>
      </c>
      <c r="G42" t="s">
        <v>198</v>
      </c>
      <c r="I42">
        <v>0.9</v>
      </c>
      <c r="J42" t="s">
        <v>173</v>
      </c>
      <c r="K42" t="s">
        <v>753</v>
      </c>
      <c r="L42" t="b">
        <v>0</v>
      </c>
      <c r="M42" t="s">
        <v>244</v>
      </c>
    </row>
    <row r="43" spans="1:13" ht="409.5" x14ac:dyDescent="0.35">
      <c r="A43" t="s">
        <v>247</v>
      </c>
      <c r="B43">
        <v>2019</v>
      </c>
      <c r="C43" t="s">
        <v>248</v>
      </c>
      <c r="D43" s="1" t="s">
        <v>249</v>
      </c>
      <c r="E43" t="b">
        <v>1</v>
      </c>
      <c r="F43" t="s">
        <v>250</v>
      </c>
      <c r="G43" t="s">
        <v>206</v>
      </c>
      <c r="H43" t="s">
        <v>206</v>
      </c>
      <c r="I43">
        <v>0.9</v>
      </c>
      <c r="J43" t="s">
        <v>112</v>
      </c>
      <c r="K43" t="s">
        <v>206</v>
      </c>
      <c r="L43" t="b">
        <v>1</v>
      </c>
      <c r="M43" t="s">
        <v>247</v>
      </c>
    </row>
    <row r="44" spans="1:13" x14ac:dyDescent="0.35">
      <c r="A44" t="s">
        <v>251</v>
      </c>
      <c r="B44">
        <v>2019</v>
      </c>
      <c r="C44" t="s">
        <v>252</v>
      </c>
      <c r="D44" t="s">
        <v>253</v>
      </c>
      <c r="E44" t="b">
        <v>1</v>
      </c>
      <c r="F44" t="s">
        <v>254</v>
      </c>
      <c r="G44" t="s">
        <v>200</v>
      </c>
      <c r="H44" t="s">
        <v>200</v>
      </c>
      <c r="I44">
        <v>0.9</v>
      </c>
      <c r="J44" t="s">
        <v>173</v>
      </c>
      <c r="K44" t="s">
        <v>204</v>
      </c>
      <c r="L44" t="b">
        <v>0</v>
      </c>
      <c r="M44" t="s">
        <v>251</v>
      </c>
    </row>
    <row r="45" spans="1:13" x14ac:dyDescent="0.35">
      <c r="A45" t="s">
        <v>255</v>
      </c>
      <c r="B45">
        <v>2019</v>
      </c>
      <c r="C45" t="s">
        <v>256</v>
      </c>
      <c r="D45" t="s">
        <v>257</v>
      </c>
      <c r="E45" t="b">
        <v>1</v>
      </c>
      <c r="F45" t="s">
        <v>798</v>
      </c>
      <c r="G45" t="s">
        <v>200</v>
      </c>
      <c r="H45" t="s">
        <v>200</v>
      </c>
      <c r="I45">
        <v>0.9</v>
      </c>
      <c r="J45" t="s">
        <v>173</v>
      </c>
      <c r="K45" t="s">
        <v>204</v>
      </c>
      <c r="L45" t="b">
        <v>0</v>
      </c>
      <c r="M45" t="s">
        <v>255</v>
      </c>
    </row>
    <row r="46" spans="1:13" x14ac:dyDescent="0.35">
      <c r="A46" t="s">
        <v>258</v>
      </c>
      <c r="B46">
        <v>2019</v>
      </c>
      <c r="C46" t="s">
        <v>259</v>
      </c>
      <c r="D46" t="s">
        <v>260</v>
      </c>
      <c r="E46" t="b">
        <v>1</v>
      </c>
      <c r="F46" t="s">
        <v>261</v>
      </c>
      <c r="G46" t="s">
        <v>206</v>
      </c>
      <c r="H46" t="s">
        <v>262</v>
      </c>
      <c r="I46">
        <v>0.9</v>
      </c>
      <c r="J46" t="s">
        <v>112</v>
      </c>
      <c r="K46" t="s">
        <v>200</v>
      </c>
      <c r="L46" t="b">
        <v>1</v>
      </c>
      <c r="M46" t="s">
        <v>258</v>
      </c>
    </row>
    <row r="47" spans="1:13" x14ac:dyDescent="0.35">
      <c r="A47" t="s">
        <v>263</v>
      </c>
      <c r="B47">
        <v>2019</v>
      </c>
      <c r="C47" t="s">
        <v>264</v>
      </c>
      <c r="D47" t="s">
        <v>265</v>
      </c>
      <c r="E47" t="b">
        <v>0</v>
      </c>
      <c r="F47" t="s">
        <v>199</v>
      </c>
      <c r="G47" t="s">
        <v>198</v>
      </c>
      <c r="I47">
        <v>0.9</v>
      </c>
      <c r="J47" t="s">
        <v>173</v>
      </c>
      <c r="K47" t="s">
        <v>204</v>
      </c>
      <c r="L47" t="b">
        <v>0</v>
      </c>
      <c r="M47" t="s">
        <v>263</v>
      </c>
    </row>
    <row r="48" spans="1:13" x14ac:dyDescent="0.35">
      <c r="A48" t="s">
        <v>266</v>
      </c>
      <c r="B48">
        <v>2019</v>
      </c>
      <c r="C48" t="s">
        <v>267</v>
      </c>
      <c r="D48" t="s">
        <v>268</v>
      </c>
      <c r="E48" t="b">
        <v>0</v>
      </c>
      <c r="F48" t="s">
        <v>799</v>
      </c>
      <c r="G48" t="s">
        <v>198</v>
      </c>
      <c r="I48">
        <v>0.9</v>
      </c>
      <c r="J48" t="s">
        <v>112</v>
      </c>
      <c r="K48" t="s">
        <v>200</v>
      </c>
      <c r="L48" t="b">
        <v>1</v>
      </c>
      <c r="M48" t="s">
        <v>266</v>
      </c>
    </row>
    <row r="49" spans="1:13" x14ac:dyDescent="0.35">
      <c r="A49" t="s">
        <v>269</v>
      </c>
      <c r="B49">
        <v>2019</v>
      </c>
      <c r="C49" t="s">
        <v>270</v>
      </c>
      <c r="D49" t="s">
        <v>271</v>
      </c>
      <c r="E49" t="b">
        <v>0</v>
      </c>
      <c r="F49" t="s">
        <v>800</v>
      </c>
      <c r="G49" t="s">
        <v>198</v>
      </c>
      <c r="I49">
        <v>0.9</v>
      </c>
      <c r="J49" t="s">
        <v>173</v>
      </c>
      <c r="K49" t="s">
        <v>204</v>
      </c>
      <c r="L49" t="b">
        <v>0</v>
      </c>
      <c r="M49" t="s">
        <v>269</v>
      </c>
    </row>
    <row r="50" spans="1:13" x14ac:dyDescent="0.35">
      <c r="A50" t="s">
        <v>272</v>
      </c>
      <c r="B50">
        <v>2019</v>
      </c>
      <c r="C50" t="s">
        <v>273</v>
      </c>
      <c r="D50" t="s">
        <v>274</v>
      </c>
      <c r="E50" t="b">
        <v>0</v>
      </c>
      <c r="F50" t="s">
        <v>801</v>
      </c>
      <c r="G50" t="s">
        <v>198</v>
      </c>
      <c r="I50">
        <v>0.9</v>
      </c>
      <c r="J50" t="s">
        <v>173</v>
      </c>
      <c r="K50" t="s">
        <v>210</v>
      </c>
      <c r="L50" t="b">
        <v>0</v>
      </c>
      <c r="M50" t="s">
        <v>272</v>
      </c>
    </row>
    <row r="51" spans="1:13" x14ac:dyDescent="0.35">
      <c r="A51" t="s">
        <v>275</v>
      </c>
      <c r="B51">
        <v>2019</v>
      </c>
      <c r="C51" t="s">
        <v>276</v>
      </c>
      <c r="D51" t="s">
        <v>277</v>
      </c>
      <c r="E51" t="b">
        <v>1</v>
      </c>
      <c r="F51" t="s">
        <v>278</v>
      </c>
      <c r="G51" t="s">
        <v>200</v>
      </c>
      <c r="H51" t="s">
        <v>200</v>
      </c>
      <c r="I51">
        <v>0.9</v>
      </c>
      <c r="J51" t="s">
        <v>112</v>
      </c>
      <c r="K51" t="s">
        <v>205</v>
      </c>
      <c r="L51" t="b">
        <v>1</v>
      </c>
      <c r="M51" t="s">
        <v>275</v>
      </c>
    </row>
    <row r="52" spans="1:13" x14ac:dyDescent="0.35">
      <c r="A52" t="s">
        <v>279</v>
      </c>
      <c r="B52">
        <v>2019</v>
      </c>
      <c r="C52" t="s">
        <v>280</v>
      </c>
      <c r="D52" t="s">
        <v>281</v>
      </c>
      <c r="E52" t="b">
        <v>0</v>
      </c>
      <c r="F52" t="s">
        <v>199</v>
      </c>
      <c r="G52" t="s">
        <v>198</v>
      </c>
      <c r="I52">
        <v>0.95</v>
      </c>
      <c r="J52" t="s">
        <v>112</v>
      </c>
      <c r="K52" t="s">
        <v>200</v>
      </c>
      <c r="L52" t="b">
        <v>1</v>
      </c>
      <c r="M52" t="s">
        <v>279</v>
      </c>
    </row>
    <row r="53" spans="1:13" x14ac:dyDescent="0.35">
      <c r="A53" t="s">
        <v>282</v>
      </c>
      <c r="B53">
        <v>2021</v>
      </c>
      <c r="C53" t="s">
        <v>283</v>
      </c>
      <c r="D53" t="s">
        <v>284</v>
      </c>
      <c r="E53" t="b">
        <v>0</v>
      </c>
      <c r="F53" t="s">
        <v>802</v>
      </c>
      <c r="G53" t="s">
        <v>198</v>
      </c>
      <c r="I53">
        <v>0.9</v>
      </c>
      <c r="J53" t="s">
        <v>173</v>
      </c>
      <c r="K53" t="s">
        <v>204</v>
      </c>
      <c r="L53" t="b">
        <v>0</v>
      </c>
      <c r="M53" t="s">
        <v>282</v>
      </c>
    </row>
    <row r="54" spans="1:13" x14ac:dyDescent="0.35">
      <c r="A54" t="s">
        <v>285</v>
      </c>
      <c r="B54">
        <v>2021</v>
      </c>
      <c r="C54" t="s">
        <v>286</v>
      </c>
      <c r="D54" t="s">
        <v>287</v>
      </c>
      <c r="E54" t="b">
        <v>1</v>
      </c>
      <c r="F54" t="s">
        <v>288</v>
      </c>
      <c r="G54" t="s">
        <v>207</v>
      </c>
      <c r="H54" t="s">
        <v>289</v>
      </c>
      <c r="I54">
        <v>0.9</v>
      </c>
      <c r="J54" t="s">
        <v>112</v>
      </c>
      <c r="K54" t="s">
        <v>206</v>
      </c>
      <c r="L54" t="b">
        <v>1</v>
      </c>
      <c r="M54" t="s">
        <v>285</v>
      </c>
    </row>
    <row r="55" spans="1:13" x14ac:dyDescent="0.35">
      <c r="A55" t="s">
        <v>290</v>
      </c>
      <c r="B55">
        <v>2021</v>
      </c>
      <c r="C55" t="s">
        <v>291</v>
      </c>
      <c r="D55" t="s">
        <v>292</v>
      </c>
      <c r="E55" t="b">
        <v>0</v>
      </c>
      <c r="F55" t="s">
        <v>199</v>
      </c>
      <c r="G55" t="s">
        <v>198</v>
      </c>
      <c r="I55">
        <v>0.9</v>
      </c>
      <c r="J55" t="s">
        <v>173</v>
      </c>
      <c r="K55" t="s">
        <v>204</v>
      </c>
      <c r="L55" t="b">
        <v>0</v>
      </c>
      <c r="M55" t="s">
        <v>290</v>
      </c>
    </row>
    <row r="56" spans="1:13" x14ac:dyDescent="0.35">
      <c r="A56" t="s">
        <v>293</v>
      </c>
      <c r="B56">
        <v>2021</v>
      </c>
      <c r="C56" t="s">
        <v>294</v>
      </c>
      <c r="D56" t="s">
        <v>295</v>
      </c>
      <c r="E56" t="b">
        <v>0</v>
      </c>
      <c r="F56" t="s">
        <v>803</v>
      </c>
      <c r="G56" t="s">
        <v>198</v>
      </c>
      <c r="I56">
        <v>0.9</v>
      </c>
      <c r="J56" t="s">
        <v>112</v>
      </c>
      <c r="K56" t="s">
        <v>756</v>
      </c>
      <c r="L56" t="b">
        <v>1</v>
      </c>
      <c r="M56" t="s">
        <v>293</v>
      </c>
    </row>
    <row r="57" spans="1:13" x14ac:dyDescent="0.35">
      <c r="A57" t="s">
        <v>296</v>
      </c>
      <c r="B57">
        <v>2021</v>
      </c>
      <c r="C57" t="s">
        <v>297</v>
      </c>
      <c r="D57" t="s">
        <v>298</v>
      </c>
      <c r="E57" t="b">
        <v>0</v>
      </c>
      <c r="F57" t="s">
        <v>299</v>
      </c>
      <c r="G57" t="s">
        <v>198</v>
      </c>
      <c r="I57">
        <v>0.9</v>
      </c>
      <c r="J57" t="s">
        <v>112</v>
      </c>
      <c r="K57" t="s">
        <v>756</v>
      </c>
      <c r="L57" t="b">
        <v>1</v>
      </c>
      <c r="M57" t="s">
        <v>296</v>
      </c>
    </row>
    <row r="58" spans="1:13" x14ac:dyDescent="0.35">
      <c r="A58" t="s">
        <v>300</v>
      </c>
      <c r="B58">
        <v>2021</v>
      </c>
      <c r="C58" t="s">
        <v>301</v>
      </c>
      <c r="D58" t="s">
        <v>302</v>
      </c>
      <c r="E58" t="b">
        <v>1</v>
      </c>
      <c r="F58" t="s">
        <v>804</v>
      </c>
      <c r="G58" t="s">
        <v>206</v>
      </c>
      <c r="H58" t="s">
        <v>206</v>
      </c>
      <c r="I58">
        <v>0.9</v>
      </c>
      <c r="J58" t="s">
        <v>173</v>
      </c>
      <c r="K58" t="s">
        <v>204</v>
      </c>
      <c r="L58" t="b">
        <v>0</v>
      </c>
      <c r="M58" t="s">
        <v>300</v>
      </c>
    </row>
    <row r="59" spans="1:13" x14ac:dyDescent="0.35">
      <c r="A59" t="s">
        <v>303</v>
      </c>
      <c r="B59">
        <v>2021</v>
      </c>
      <c r="C59" t="s">
        <v>304</v>
      </c>
      <c r="D59" t="s">
        <v>305</v>
      </c>
      <c r="E59" t="b">
        <v>0</v>
      </c>
      <c r="F59" t="s">
        <v>306</v>
      </c>
      <c r="G59" t="s">
        <v>198</v>
      </c>
      <c r="I59">
        <v>0.9</v>
      </c>
      <c r="J59" t="s">
        <v>173</v>
      </c>
      <c r="K59" t="s">
        <v>204</v>
      </c>
      <c r="L59" t="b">
        <v>0</v>
      </c>
      <c r="M59" t="s">
        <v>303</v>
      </c>
    </row>
    <row r="60" spans="1:13" x14ac:dyDescent="0.35">
      <c r="A60" t="s">
        <v>307</v>
      </c>
      <c r="B60">
        <v>2021</v>
      </c>
      <c r="C60" t="s">
        <v>308</v>
      </c>
      <c r="D60" t="s">
        <v>309</v>
      </c>
      <c r="E60" t="b">
        <v>0</v>
      </c>
      <c r="F60" t="s">
        <v>800</v>
      </c>
      <c r="G60" t="s">
        <v>198</v>
      </c>
      <c r="I60">
        <v>0.9</v>
      </c>
      <c r="J60" t="s">
        <v>173</v>
      </c>
      <c r="K60" t="s">
        <v>204</v>
      </c>
      <c r="L60" t="b">
        <v>0</v>
      </c>
      <c r="M60" t="s">
        <v>307</v>
      </c>
    </row>
    <row r="61" spans="1:13" x14ac:dyDescent="0.35">
      <c r="A61" t="s">
        <v>310</v>
      </c>
      <c r="B61">
        <v>2021</v>
      </c>
      <c r="C61" t="s">
        <v>311</v>
      </c>
      <c r="D61" t="s">
        <v>312</v>
      </c>
      <c r="E61" t="b">
        <v>0</v>
      </c>
      <c r="F61" t="s">
        <v>805</v>
      </c>
      <c r="G61" t="s">
        <v>198</v>
      </c>
      <c r="I61">
        <v>0.9</v>
      </c>
      <c r="J61" t="s">
        <v>173</v>
      </c>
      <c r="K61" t="s">
        <v>204</v>
      </c>
      <c r="L61" t="b">
        <v>0</v>
      </c>
      <c r="M61" t="s">
        <v>310</v>
      </c>
    </row>
    <row r="62" spans="1:13" ht="409.5" x14ac:dyDescent="0.35">
      <c r="A62" t="s">
        <v>313</v>
      </c>
      <c r="B62">
        <v>2021</v>
      </c>
      <c r="C62" t="s">
        <v>314</v>
      </c>
      <c r="D62" s="1" t="s">
        <v>315</v>
      </c>
      <c r="E62" t="b">
        <v>1</v>
      </c>
      <c r="F62" t="s">
        <v>806</v>
      </c>
      <c r="G62" t="s">
        <v>206</v>
      </c>
      <c r="H62" t="s">
        <v>206</v>
      </c>
      <c r="I62">
        <v>0.9</v>
      </c>
      <c r="J62" t="s">
        <v>173</v>
      </c>
      <c r="K62" t="s">
        <v>204</v>
      </c>
      <c r="L62" t="b">
        <v>0</v>
      </c>
      <c r="M62" t="s">
        <v>313</v>
      </c>
    </row>
    <row r="63" spans="1:13" x14ac:dyDescent="0.35">
      <c r="A63" t="s">
        <v>316</v>
      </c>
      <c r="B63">
        <v>2021</v>
      </c>
      <c r="C63" t="s">
        <v>317</v>
      </c>
      <c r="D63" t="s">
        <v>318</v>
      </c>
      <c r="E63" t="b">
        <v>0</v>
      </c>
      <c r="F63" t="s">
        <v>807</v>
      </c>
      <c r="G63" t="s">
        <v>198</v>
      </c>
      <c r="I63">
        <v>0.9</v>
      </c>
      <c r="J63" t="s">
        <v>173</v>
      </c>
      <c r="K63" t="s">
        <v>204</v>
      </c>
      <c r="L63" t="b">
        <v>0</v>
      </c>
      <c r="M63" t="s">
        <v>316</v>
      </c>
    </row>
    <row r="64" spans="1:13" x14ac:dyDescent="0.35">
      <c r="A64" t="s">
        <v>319</v>
      </c>
      <c r="B64">
        <v>2021</v>
      </c>
      <c r="C64" t="s">
        <v>320</v>
      </c>
      <c r="D64" t="s">
        <v>321</v>
      </c>
      <c r="E64" t="b">
        <v>0</v>
      </c>
      <c r="F64" t="s">
        <v>322</v>
      </c>
      <c r="G64" t="s">
        <v>198</v>
      </c>
      <c r="I64">
        <v>0.9</v>
      </c>
      <c r="J64" t="s">
        <v>173</v>
      </c>
      <c r="K64" t="s">
        <v>204</v>
      </c>
      <c r="L64" t="b">
        <v>0</v>
      </c>
      <c r="M64" t="s">
        <v>319</v>
      </c>
    </row>
    <row r="65" spans="1:13" x14ac:dyDescent="0.35">
      <c r="A65" t="s">
        <v>323</v>
      </c>
      <c r="B65">
        <v>2021</v>
      </c>
      <c r="C65" t="s">
        <v>324</v>
      </c>
      <c r="D65" t="s">
        <v>325</v>
      </c>
      <c r="E65" t="b">
        <v>0</v>
      </c>
      <c r="F65" t="s">
        <v>808</v>
      </c>
      <c r="G65" t="s">
        <v>198</v>
      </c>
      <c r="I65">
        <v>0.9</v>
      </c>
      <c r="J65" t="s">
        <v>173</v>
      </c>
      <c r="K65" t="s">
        <v>204</v>
      </c>
      <c r="L65" t="b">
        <v>0</v>
      </c>
      <c r="M65" t="s">
        <v>323</v>
      </c>
    </row>
    <row r="66" spans="1:13" x14ac:dyDescent="0.35">
      <c r="A66" t="s">
        <v>326</v>
      </c>
      <c r="B66">
        <v>2021</v>
      </c>
      <c r="C66" t="s">
        <v>327</v>
      </c>
      <c r="D66" t="s">
        <v>328</v>
      </c>
      <c r="E66" t="b">
        <v>0</v>
      </c>
      <c r="F66" t="s">
        <v>809</v>
      </c>
      <c r="G66" t="s">
        <v>198</v>
      </c>
      <c r="I66">
        <v>0.9</v>
      </c>
      <c r="J66" t="s">
        <v>173</v>
      </c>
      <c r="K66" t="s">
        <v>204</v>
      </c>
      <c r="L66" t="b">
        <v>0</v>
      </c>
      <c r="M66" t="s">
        <v>326</v>
      </c>
    </row>
    <row r="67" spans="1:13" x14ac:dyDescent="0.35">
      <c r="A67" t="s">
        <v>329</v>
      </c>
      <c r="B67">
        <v>2021</v>
      </c>
      <c r="C67" t="s">
        <v>330</v>
      </c>
      <c r="D67" t="s">
        <v>331</v>
      </c>
      <c r="E67" t="b">
        <v>1</v>
      </c>
      <c r="F67" t="s">
        <v>332</v>
      </c>
      <c r="G67" t="s">
        <v>200</v>
      </c>
      <c r="H67" t="s">
        <v>200</v>
      </c>
      <c r="I67">
        <v>0.9</v>
      </c>
      <c r="J67" t="s">
        <v>112</v>
      </c>
      <c r="K67" t="s">
        <v>757</v>
      </c>
      <c r="L67" t="b">
        <v>1</v>
      </c>
      <c r="M67" t="s">
        <v>329</v>
      </c>
    </row>
    <row r="68" spans="1:13" x14ac:dyDescent="0.35">
      <c r="A68" t="s">
        <v>333</v>
      </c>
      <c r="B68">
        <v>2021</v>
      </c>
      <c r="C68" t="s">
        <v>334</v>
      </c>
      <c r="D68" t="s">
        <v>335</v>
      </c>
      <c r="E68" t="b">
        <v>0</v>
      </c>
      <c r="F68" t="s">
        <v>810</v>
      </c>
      <c r="G68" t="s">
        <v>198</v>
      </c>
      <c r="I68">
        <v>1</v>
      </c>
      <c r="J68" t="s">
        <v>112</v>
      </c>
      <c r="K68" t="s">
        <v>200</v>
      </c>
      <c r="L68" t="b">
        <v>1</v>
      </c>
      <c r="M68" t="s">
        <v>333</v>
      </c>
    </row>
    <row r="69" spans="1:13" x14ac:dyDescent="0.35">
      <c r="A69" t="s">
        <v>336</v>
      </c>
      <c r="B69">
        <v>2021</v>
      </c>
      <c r="C69" t="s">
        <v>337</v>
      </c>
      <c r="D69" t="s">
        <v>338</v>
      </c>
      <c r="E69" t="b">
        <v>0</v>
      </c>
      <c r="F69" t="s">
        <v>201</v>
      </c>
      <c r="G69" t="s">
        <v>198</v>
      </c>
      <c r="I69">
        <v>0.9</v>
      </c>
      <c r="J69" t="s">
        <v>112</v>
      </c>
      <c r="K69" t="s">
        <v>200</v>
      </c>
      <c r="L69" t="b">
        <v>1</v>
      </c>
      <c r="M69" t="s">
        <v>336</v>
      </c>
    </row>
    <row r="70" spans="1:13" x14ac:dyDescent="0.35">
      <c r="A70" t="s">
        <v>340</v>
      </c>
      <c r="B70">
        <v>2021</v>
      </c>
      <c r="C70" t="s">
        <v>341</v>
      </c>
      <c r="D70" t="s">
        <v>342</v>
      </c>
      <c r="E70" t="b">
        <v>1</v>
      </c>
      <c r="F70" t="s">
        <v>811</v>
      </c>
      <c r="G70" t="s">
        <v>206</v>
      </c>
      <c r="H70" t="s">
        <v>206</v>
      </c>
      <c r="I70">
        <v>0.9</v>
      </c>
      <c r="J70" t="s">
        <v>112</v>
      </c>
      <c r="K70" t="s">
        <v>205</v>
      </c>
      <c r="L70" t="b">
        <v>1</v>
      </c>
      <c r="M70" t="s">
        <v>340</v>
      </c>
    </row>
    <row r="71" spans="1:13" ht="409.5" x14ac:dyDescent="0.35">
      <c r="A71" t="s">
        <v>343</v>
      </c>
      <c r="B71">
        <v>2021</v>
      </c>
      <c r="C71" t="s">
        <v>344</v>
      </c>
      <c r="D71" s="1" t="s">
        <v>345</v>
      </c>
      <c r="E71" t="b">
        <v>0</v>
      </c>
      <c r="F71" t="s">
        <v>812</v>
      </c>
      <c r="G71" t="s">
        <v>198</v>
      </c>
      <c r="I71">
        <v>0.9</v>
      </c>
      <c r="J71" t="s">
        <v>173</v>
      </c>
      <c r="K71" t="s">
        <v>204</v>
      </c>
      <c r="L71" t="b">
        <v>0</v>
      </c>
      <c r="M71" t="s">
        <v>343</v>
      </c>
    </row>
    <row r="72" spans="1:13" x14ac:dyDescent="0.35">
      <c r="A72" t="s">
        <v>346</v>
      </c>
      <c r="B72">
        <v>2021</v>
      </c>
      <c r="C72" t="s">
        <v>347</v>
      </c>
      <c r="D72" t="s">
        <v>348</v>
      </c>
      <c r="E72" t="b">
        <v>0</v>
      </c>
      <c r="F72" t="s">
        <v>813</v>
      </c>
      <c r="G72" t="s">
        <v>198</v>
      </c>
      <c r="I72">
        <v>1</v>
      </c>
      <c r="J72" t="s">
        <v>173</v>
      </c>
      <c r="K72" t="s">
        <v>204</v>
      </c>
      <c r="L72" t="b">
        <v>0</v>
      </c>
      <c r="M72" t="s">
        <v>346</v>
      </c>
    </row>
    <row r="73" spans="1:13" x14ac:dyDescent="0.35">
      <c r="A73" t="s">
        <v>349</v>
      </c>
      <c r="B73">
        <v>2021</v>
      </c>
      <c r="C73" t="s">
        <v>350</v>
      </c>
      <c r="D73" t="s">
        <v>351</v>
      </c>
      <c r="E73" t="b">
        <v>0</v>
      </c>
      <c r="F73" t="s">
        <v>814</v>
      </c>
      <c r="G73" t="s">
        <v>198</v>
      </c>
      <c r="I73">
        <v>0.9</v>
      </c>
      <c r="J73" t="s">
        <v>112</v>
      </c>
      <c r="K73" t="s">
        <v>207</v>
      </c>
      <c r="L73" t="b">
        <v>1</v>
      </c>
      <c r="M73" t="s">
        <v>349</v>
      </c>
    </row>
    <row r="74" spans="1:13" x14ac:dyDescent="0.35">
      <c r="A74" t="s">
        <v>352</v>
      </c>
      <c r="B74">
        <v>2021</v>
      </c>
      <c r="C74" t="s">
        <v>353</v>
      </c>
      <c r="D74" t="s">
        <v>354</v>
      </c>
      <c r="E74" t="b">
        <v>0</v>
      </c>
      <c r="F74" t="s">
        <v>355</v>
      </c>
      <c r="G74" t="s">
        <v>198</v>
      </c>
      <c r="I74">
        <v>1</v>
      </c>
      <c r="J74" t="s">
        <v>173</v>
      </c>
      <c r="K74" t="s">
        <v>204</v>
      </c>
      <c r="L74" t="b">
        <v>0</v>
      </c>
      <c r="M74" t="s">
        <v>352</v>
      </c>
    </row>
    <row r="75" spans="1:13" x14ac:dyDescent="0.35">
      <c r="A75" t="s">
        <v>356</v>
      </c>
      <c r="B75">
        <v>2021</v>
      </c>
      <c r="C75" t="s">
        <v>357</v>
      </c>
      <c r="D75" t="s">
        <v>358</v>
      </c>
      <c r="E75" t="b">
        <v>0</v>
      </c>
      <c r="F75" t="s">
        <v>359</v>
      </c>
      <c r="G75" t="s">
        <v>198</v>
      </c>
      <c r="I75">
        <v>0.9</v>
      </c>
      <c r="J75" t="s">
        <v>173</v>
      </c>
      <c r="K75" t="s">
        <v>204</v>
      </c>
      <c r="L75" t="b">
        <v>0</v>
      </c>
      <c r="M75" t="s">
        <v>356</v>
      </c>
    </row>
    <row r="76" spans="1:13" x14ac:dyDescent="0.35">
      <c r="A76" t="s">
        <v>360</v>
      </c>
      <c r="B76">
        <v>2021</v>
      </c>
      <c r="C76" t="s">
        <v>361</v>
      </c>
      <c r="D76" t="s">
        <v>362</v>
      </c>
      <c r="E76" t="b">
        <v>0</v>
      </c>
      <c r="F76" t="s">
        <v>815</v>
      </c>
      <c r="G76" t="s">
        <v>198</v>
      </c>
      <c r="I76">
        <v>0.9</v>
      </c>
      <c r="J76" t="s">
        <v>112</v>
      </c>
      <c r="K76" t="s">
        <v>200</v>
      </c>
      <c r="L76" t="b">
        <v>1</v>
      </c>
      <c r="M76" t="s">
        <v>360</v>
      </c>
    </row>
    <row r="77" spans="1:13" x14ac:dyDescent="0.35">
      <c r="A77" t="s">
        <v>363</v>
      </c>
      <c r="B77">
        <v>2021</v>
      </c>
      <c r="C77" t="s">
        <v>364</v>
      </c>
      <c r="D77" t="s">
        <v>365</v>
      </c>
      <c r="E77" t="b">
        <v>0</v>
      </c>
      <c r="F77" t="s">
        <v>793</v>
      </c>
      <c r="G77" t="s">
        <v>198</v>
      </c>
      <c r="I77">
        <v>0.9</v>
      </c>
      <c r="J77" t="s">
        <v>112</v>
      </c>
      <c r="K77" t="s">
        <v>206</v>
      </c>
      <c r="L77" t="b">
        <v>1</v>
      </c>
      <c r="M77" t="s">
        <v>363</v>
      </c>
    </row>
    <row r="78" spans="1:13" x14ac:dyDescent="0.35">
      <c r="A78" t="s">
        <v>366</v>
      </c>
      <c r="B78">
        <v>2021</v>
      </c>
      <c r="C78" t="s">
        <v>367</v>
      </c>
      <c r="D78" t="s">
        <v>368</v>
      </c>
      <c r="E78" t="b">
        <v>0</v>
      </c>
      <c r="F78" t="s">
        <v>369</v>
      </c>
      <c r="G78" t="s">
        <v>198</v>
      </c>
      <c r="I78">
        <v>0.9</v>
      </c>
      <c r="J78" t="s">
        <v>173</v>
      </c>
      <c r="K78" t="s">
        <v>204</v>
      </c>
      <c r="L78" t="b">
        <v>0</v>
      </c>
      <c r="M78" t="s">
        <v>366</v>
      </c>
    </row>
    <row r="79" spans="1:13" x14ac:dyDescent="0.35">
      <c r="A79" t="s">
        <v>370</v>
      </c>
      <c r="B79">
        <v>2021</v>
      </c>
      <c r="C79" t="s">
        <v>371</v>
      </c>
      <c r="D79" t="s">
        <v>372</v>
      </c>
      <c r="E79" t="b">
        <v>1</v>
      </c>
      <c r="F79" t="s">
        <v>816</v>
      </c>
      <c r="G79" t="s">
        <v>207</v>
      </c>
      <c r="H79" t="s">
        <v>207</v>
      </c>
      <c r="I79">
        <v>0.9</v>
      </c>
      <c r="J79" t="s">
        <v>112</v>
      </c>
      <c r="K79" t="s">
        <v>207</v>
      </c>
      <c r="L79" t="b">
        <v>1</v>
      </c>
      <c r="M79" t="s">
        <v>370</v>
      </c>
    </row>
    <row r="80" spans="1:13" x14ac:dyDescent="0.35">
      <c r="A80" t="s">
        <v>654</v>
      </c>
      <c r="B80">
        <v>2021</v>
      </c>
      <c r="C80" t="s">
        <v>655</v>
      </c>
      <c r="D80" t="s">
        <v>817</v>
      </c>
      <c r="E80" t="b">
        <v>0</v>
      </c>
      <c r="F80" t="s">
        <v>818</v>
      </c>
      <c r="G80" t="s">
        <v>198</v>
      </c>
      <c r="I80">
        <v>1</v>
      </c>
      <c r="J80" t="s">
        <v>173</v>
      </c>
      <c r="K80" t="s">
        <v>204</v>
      </c>
      <c r="L80" t="b">
        <v>0</v>
      </c>
      <c r="M80" t="s">
        <v>654</v>
      </c>
    </row>
    <row r="81" spans="1:13" x14ac:dyDescent="0.35">
      <c r="A81" t="s">
        <v>663</v>
      </c>
      <c r="B81">
        <v>2021</v>
      </c>
      <c r="C81" t="s">
        <v>664</v>
      </c>
      <c r="D81" t="s">
        <v>665</v>
      </c>
      <c r="E81" t="b">
        <v>0</v>
      </c>
      <c r="F81" t="s">
        <v>819</v>
      </c>
      <c r="G81" t="s">
        <v>198</v>
      </c>
      <c r="I81">
        <v>0.9</v>
      </c>
      <c r="J81" t="s">
        <v>112</v>
      </c>
      <c r="K81" t="s">
        <v>200</v>
      </c>
      <c r="L81" t="b">
        <v>1</v>
      </c>
      <c r="M81" t="s">
        <v>663</v>
      </c>
    </row>
    <row r="82" spans="1:13" x14ac:dyDescent="0.35">
      <c r="A82" t="s">
        <v>373</v>
      </c>
      <c r="B82">
        <v>2021</v>
      </c>
      <c r="C82" t="s">
        <v>374</v>
      </c>
      <c r="D82" t="s">
        <v>375</v>
      </c>
      <c r="E82" t="b">
        <v>0</v>
      </c>
      <c r="F82" t="s">
        <v>322</v>
      </c>
      <c r="G82" t="s">
        <v>198</v>
      </c>
      <c r="I82">
        <v>0.9</v>
      </c>
      <c r="J82" t="s">
        <v>173</v>
      </c>
      <c r="K82" t="s">
        <v>758</v>
      </c>
      <c r="L82" t="b">
        <v>0</v>
      </c>
      <c r="M82" t="s">
        <v>373</v>
      </c>
    </row>
    <row r="83" spans="1:13" x14ac:dyDescent="0.35">
      <c r="A83" t="s">
        <v>376</v>
      </c>
      <c r="B83">
        <v>2021</v>
      </c>
      <c r="C83" t="s">
        <v>377</v>
      </c>
      <c r="D83" t="s">
        <v>378</v>
      </c>
      <c r="E83" t="b">
        <v>0</v>
      </c>
      <c r="F83" t="s">
        <v>820</v>
      </c>
      <c r="G83" t="s">
        <v>198</v>
      </c>
      <c r="I83">
        <v>0.95</v>
      </c>
      <c r="J83" t="s">
        <v>173</v>
      </c>
      <c r="K83" t="s">
        <v>758</v>
      </c>
      <c r="L83" t="b">
        <v>0</v>
      </c>
      <c r="M83" t="s">
        <v>376</v>
      </c>
    </row>
    <row r="84" spans="1:13" x14ac:dyDescent="0.35">
      <c r="A84" t="s">
        <v>379</v>
      </c>
      <c r="B84">
        <v>2021</v>
      </c>
      <c r="C84" t="s">
        <v>380</v>
      </c>
      <c r="D84" t="s">
        <v>381</v>
      </c>
      <c r="E84" t="b">
        <v>0</v>
      </c>
      <c r="F84" t="s">
        <v>322</v>
      </c>
      <c r="G84" t="s">
        <v>198</v>
      </c>
      <c r="I84">
        <v>0.9</v>
      </c>
      <c r="J84" t="s">
        <v>173</v>
      </c>
      <c r="K84" t="s">
        <v>760</v>
      </c>
      <c r="L84" t="b">
        <v>0</v>
      </c>
      <c r="M84" t="s">
        <v>379</v>
      </c>
    </row>
    <row r="85" spans="1:13" ht="409.5" x14ac:dyDescent="0.35">
      <c r="A85" t="s">
        <v>382</v>
      </c>
      <c r="B85">
        <v>2021</v>
      </c>
      <c r="C85" t="s">
        <v>383</v>
      </c>
      <c r="D85" s="1" t="s">
        <v>384</v>
      </c>
      <c r="E85" t="b">
        <v>0</v>
      </c>
      <c r="F85" t="s">
        <v>199</v>
      </c>
      <c r="G85" t="s">
        <v>198</v>
      </c>
      <c r="I85">
        <v>1</v>
      </c>
      <c r="J85" t="s">
        <v>173</v>
      </c>
      <c r="K85" t="s">
        <v>758</v>
      </c>
      <c r="L85" t="b">
        <v>0</v>
      </c>
      <c r="M85" t="s">
        <v>382</v>
      </c>
    </row>
    <row r="86" spans="1:13" x14ac:dyDescent="0.35">
      <c r="A86" t="s">
        <v>385</v>
      </c>
      <c r="B86">
        <v>2021</v>
      </c>
      <c r="C86" t="s">
        <v>386</v>
      </c>
      <c r="D86" t="s">
        <v>387</v>
      </c>
      <c r="E86" t="b">
        <v>0</v>
      </c>
      <c r="F86" t="s">
        <v>821</v>
      </c>
      <c r="G86" t="s">
        <v>198</v>
      </c>
      <c r="I86">
        <v>0.9</v>
      </c>
      <c r="J86" t="s">
        <v>112</v>
      </c>
      <c r="K86" t="s">
        <v>761</v>
      </c>
      <c r="L86" t="b">
        <v>1</v>
      </c>
      <c r="M86" t="s">
        <v>385</v>
      </c>
    </row>
    <row r="87" spans="1:13" x14ac:dyDescent="0.35">
      <c r="A87" t="s">
        <v>388</v>
      </c>
      <c r="B87">
        <v>2021</v>
      </c>
      <c r="C87" t="s">
        <v>389</v>
      </c>
      <c r="D87" t="s">
        <v>390</v>
      </c>
      <c r="E87" t="b">
        <v>1</v>
      </c>
      <c r="F87" t="s">
        <v>391</v>
      </c>
      <c r="G87" t="s">
        <v>207</v>
      </c>
      <c r="H87" t="s">
        <v>207</v>
      </c>
      <c r="I87">
        <v>0.9</v>
      </c>
      <c r="J87" t="s">
        <v>112</v>
      </c>
      <c r="K87" t="s">
        <v>762</v>
      </c>
      <c r="L87" t="b">
        <v>1</v>
      </c>
      <c r="M87" t="s">
        <v>388</v>
      </c>
    </row>
    <row r="88" spans="1:13" x14ac:dyDescent="0.35">
      <c r="A88" t="s">
        <v>675</v>
      </c>
      <c r="B88">
        <v>2021</v>
      </c>
      <c r="C88" t="s">
        <v>822</v>
      </c>
      <c r="D88" t="s">
        <v>823</v>
      </c>
      <c r="E88" t="b">
        <v>0</v>
      </c>
      <c r="F88" t="s">
        <v>824</v>
      </c>
      <c r="G88" t="s">
        <v>198</v>
      </c>
      <c r="I88">
        <v>0.9</v>
      </c>
      <c r="J88" t="s">
        <v>173</v>
      </c>
      <c r="K88" t="s">
        <v>758</v>
      </c>
      <c r="L88" t="b">
        <v>0</v>
      </c>
      <c r="M88" t="s">
        <v>675</v>
      </c>
    </row>
    <row r="89" spans="1:13" x14ac:dyDescent="0.35">
      <c r="A89" t="s">
        <v>392</v>
      </c>
      <c r="B89">
        <v>2021</v>
      </c>
      <c r="C89" t="s">
        <v>393</v>
      </c>
      <c r="D89" t="s">
        <v>394</v>
      </c>
      <c r="E89" t="b">
        <v>1</v>
      </c>
      <c r="F89" t="s">
        <v>825</v>
      </c>
      <c r="G89" t="s">
        <v>207</v>
      </c>
      <c r="H89" t="s">
        <v>207</v>
      </c>
      <c r="I89">
        <v>0.8</v>
      </c>
      <c r="J89" t="s">
        <v>112</v>
      </c>
      <c r="K89" t="s">
        <v>200</v>
      </c>
      <c r="L89" t="b">
        <v>1</v>
      </c>
      <c r="M89" t="s">
        <v>392</v>
      </c>
    </row>
    <row r="90" spans="1:13" x14ac:dyDescent="0.35">
      <c r="A90" t="s">
        <v>398</v>
      </c>
      <c r="B90">
        <v>2021</v>
      </c>
      <c r="C90" t="s">
        <v>399</v>
      </c>
      <c r="D90" t="s">
        <v>400</v>
      </c>
      <c r="E90" t="b">
        <v>1</v>
      </c>
      <c r="F90" t="s">
        <v>826</v>
      </c>
      <c r="G90" t="s">
        <v>200</v>
      </c>
      <c r="H90" t="s">
        <v>200</v>
      </c>
      <c r="I90">
        <v>0.9</v>
      </c>
      <c r="J90" t="s">
        <v>112</v>
      </c>
      <c r="K90" t="s">
        <v>200</v>
      </c>
      <c r="L90" t="b">
        <v>1</v>
      </c>
      <c r="M90" t="s">
        <v>398</v>
      </c>
    </row>
    <row r="91" spans="1:13" x14ac:dyDescent="0.35">
      <c r="A91" t="s">
        <v>401</v>
      </c>
      <c r="B91">
        <v>2021</v>
      </c>
      <c r="C91" t="s">
        <v>402</v>
      </c>
      <c r="D91" t="s">
        <v>403</v>
      </c>
      <c r="E91" t="b">
        <v>0</v>
      </c>
      <c r="F91" t="s">
        <v>827</v>
      </c>
      <c r="G91" t="s">
        <v>198</v>
      </c>
      <c r="I91">
        <v>0.9</v>
      </c>
      <c r="J91" t="s">
        <v>173</v>
      </c>
      <c r="K91" t="s">
        <v>758</v>
      </c>
      <c r="L91" t="b">
        <v>0</v>
      </c>
      <c r="M91" t="s">
        <v>401</v>
      </c>
    </row>
    <row r="92" spans="1:13" x14ac:dyDescent="0.35">
      <c r="A92" t="s">
        <v>404</v>
      </c>
      <c r="B92">
        <v>2021</v>
      </c>
      <c r="C92" t="s">
        <v>405</v>
      </c>
      <c r="D92" t="s">
        <v>406</v>
      </c>
      <c r="E92" t="b">
        <v>0</v>
      </c>
      <c r="F92" t="s">
        <v>828</v>
      </c>
      <c r="G92" t="s">
        <v>198</v>
      </c>
      <c r="I92">
        <v>1</v>
      </c>
      <c r="J92" t="s">
        <v>173</v>
      </c>
      <c r="K92" t="s">
        <v>758</v>
      </c>
      <c r="L92" t="b">
        <v>0</v>
      </c>
      <c r="M92" t="s">
        <v>404</v>
      </c>
    </row>
    <row r="93" spans="1:13" x14ac:dyDescent="0.35">
      <c r="A93" t="s">
        <v>407</v>
      </c>
      <c r="B93">
        <v>2021</v>
      </c>
      <c r="C93" t="s">
        <v>408</v>
      </c>
      <c r="D93" t="s">
        <v>409</v>
      </c>
      <c r="E93" t="b">
        <v>1</v>
      </c>
      <c r="F93" t="s">
        <v>829</v>
      </c>
      <c r="G93" t="s">
        <v>206</v>
      </c>
      <c r="H93" t="s">
        <v>206</v>
      </c>
      <c r="I93">
        <v>0.9</v>
      </c>
      <c r="J93" t="s">
        <v>173</v>
      </c>
      <c r="K93" t="s">
        <v>758</v>
      </c>
      <c r="L93" t="b">
        <v>0</v>
      </c>
      <c r="M93" t="s">
        <v>407</v>
      </c>
    </row>
    <row r="94" spans="1:13" x14ac:dyDescent="0.35">
      <c r="A94" t="s">
        <v>410</v>
      </c>
      <c r="B94">
        <v>2021</v>
      </c>
      <c r="C94" t="s">
        <v>411</v>
      </c>
      <c r="D94" t="s">
        <v>412</v>
      </c>
      <c r="E94" t="b">
        <v>1</v>
      </c>
      <c r="F94" t="s">
        <v>413</v>
      </c>
      <c r="G94" t="s">
        <v>200</v>
      </c>
      <c r="H94" t="s">
        <v>200</v>
      </c>
      <c r="I94">
        <v>0.9</v>
      </c>
      <c r="J94" t="s">
        <v>173</v>
      </c>
      <c r="K94" t="s">
        <v>758</v>
      </c>
      <c r="L94" t="b">
        <v>0</v>
      </c>
      <c r="M94" t="s">
        <v>410</v>
      </c>
    </row>
    <row r="95" spans="1:13" ht="409.5" x14ac:dyDescent="0.35">
      <c r="A95" t="s">
        <v>414</v>
      </c>
      <c r="B95">
        <v>2025</v>
      </c>
      <c r="C95" t="s">
        <v>415</v>
      </c>
      <c r="D95" s="1" t="s">
        <v>416</v>
      </c>
      <c r="E95" t="b">
        <v>0</v>
      </c>
      <c r="F95" t="s">
        <v>830</v>
      </c>
      <c r="G95" t="s">
        <v>198</v>
      </c>
      <c r="I95">
        <v>0.9</v>
      </c>
      <c r="J95" t="s">
        <v>173</v>
      </c>
      <c r="K95" t="s">
        <v>758</v>
      </c>
      <c r="L95" t="b">
        <v>0</v>
      </c>
      <c r="M95" t="s">
        <v>414</v>
      </c>
    </row>
    <row r="96" spans="1:13" x14ac:dyDescent="0.35">
      <c r="A96" t="s">
        <v>417</v>
      </c>
      <c r="B96">
        <v>2025</v>
      </c>
      <c r="C96" t="s">
        <v>415</v>
      </c>
      <c r="D96" t="s">
        <v>418</v>
      </c>
      <c r="E96" t="b">
        <v>0</v>
      </c>
      <c r="F96" t="s">
        <v>831</v>
      </c>
      <c r="G96" t="s">
        <v>198</v>
      </c>
      <c r="I96">
        <v>0.95</v>
      </c>
      <c r="J96" t="s">
        <v>173</v>
      </c>
      <c r="K96" t="s">
        <v>758</v>
      </c>
      <c r="L96" t="b">
        <v>0</v>
      </c>
      <c r="M96" t="s">
        <v>417</v>
      </c>
    </row>
    <row r="97" spans="1:13" x14ac:dyDescent="0.35">
      <c r="A97" t="s">
        <v>719</v>
      </c>
      <c r="B97">
        <v>2025</v>
      </c>
      <c r="C97" t="s">
        <v>720</v>
      </c>
      <c r="D97" t="s">
        <v>721</v>
      </c>
      <c r="E97" t="b">
        <v>1</v>
      </c>
      <c r="F97" t="s">
        <v>832</v>
      </c>
      <c r="G97" t="s">
        <v>207</v>
      </c>
      <c r="H97" t="s">
        <v>289</v>
      </c>
      <c r="I97">
        <v>0.9</v>
      </c>
      <c r="J97" t="s">
        <v>112</v>
      </c>
      <c r="K97" t="s">
        <v>200</v>
      </c>
      <c r="L97" t="b">
        <v>1</v>
      </c>
      <c r="M97" t="s">
        <v>719</v>
      </c>
    </row>
    <row r="98" spans="1:13" x14ac:dyDescent="0.35">
      <c r="A98" t="s">
        <v>419</v>
      </c>
      <c r="B98">
        <v>2025</v>
      </c>
      <c r="C98" t="s">
        <v>420</v>
      </c>
      <c r="D98" t="s">
        <v>421</v>
      </c>
      <c r="E98" t="b">
        <v>0</v>
      </c>
      <c r="F98" t="s">
        <v>793</v>
      </c>
      <c r="G98" t="s">
        <v>198</v>
      </c>
      <c r="I98">
        <v>0.9</v>
      </c>
      <c r="J98" t="s">
        <v>173</v>
      </c>
      <c r="K98" t="s">
        <v>758</v>
      </c>
      <c r="L98" t="b">
        <v>0</v>
      </c>
      <c r="M98" t="s">
        <v>419</v>
      </c>
    </row>
    <row r="99" spans="1:13" x14ac:dyDescent="0.35">
      <c r="A99" t="s">
        <v>724</v>
      </c>
      <c r="B99">
        <v>2025</v>
      </c>
      <c r="C99" t="s">
        <v>725</v>
      </c>
      <c r="D99" t="s">
        <v>726</v>
      </c>
      <c r="E99" t="b">
        <v>0</v>
      </c>
      <c r="F99" t="s">
        <v>833</v>
      </c>
      <c r="G99" t="s">
        <v>198</v>
      </c>
      <c r="I99">
        <v>0.9</v>
      </c>
      <c r="J99" t="s">
        <v>112</v>
      </c>
      <c r="K99" t="s">
        <v>200</v>
      </c>
      <c r="L99" t="b">
        <v>1</v>
      </c>
      <c r="M99" t="s">
        <v>724</v>
      </c>
    </row>
    <row r="100" spans="1:13" x14ac:dyDescent="0.35">
      <c r="A100" t="s">
        <v>422</v>
      </c>
      <c r="B100">
        <v>2025</v>
      </c>
      <c r="C100" t="s">
        <v>423</v>
      </c>
      <c r="D100" t="s">
        <v>424</v>
      </c>
      <c r="E100" t="b">
        <v>0</v>
      </c>
      <c r="F100" t="s">
        <v>834</v>
      </c>
      <c r="G100" t="s">
        <v>198</v>
      </c>
      <c r="I100">
        <v>0.9</v>
      </c>
      <c r="J100" t="s">
        <v>112</v>
      </c>
      <c r="K100" t="s">
        <v>200</v>
      </c>
      <c r="L100" t="b">
        <v>1</v>
      </c>
      <c r="M100" t="s">
        <v>422</v>
      </c>
    </row>
    <row r="101" spans="1:13" x14ac:dyDescent="0.35">
      <c r="A101" t="s">
        <v>425</v>
      </c>
      <c r="B101">
        <v>2025</v>
      </c>
      <c r="C101" t="s">
        <v>426</v>
      </c>
      <c r="D101" t="s">
        <v>427</v>
      </c>
      <c r="E101" t="b">
        <v>0</v>
      </c>
      <c r="F101" t="s">
        <v>428</v>
      </c>
      <c r="G101" t="s">
        <v>198</v>
      </c>
      <c r="I101">
        <v>0.9</v>
      </c>
      <c r="J101" t="s">
        <v>173</v>
      </c>
      <c r="K101" t="s">
        <v>758</v>
      </c>
      <c r="L101" t="b">
        <v>0</v>
      </c>
      <c r="M101" t="s">
        <v>425</v>
      </c>
    </row>
    <row r="102" spans="1:13" x14ac:dyDescent="0.35">
      <c r="A102" t="s">
        <v>429</v>
      </c>
      <c r="B102">
        <v>2025</v>
      </c>
      <c r="C102" t="s">
        <v>430</v>
      </c>
      <c r="D102" t="s">
        <v>431</v>
      </c>
      <c r="E102" t="b">
        <v>1</v>
      </c>
      <c r="F102" t="s">
        <v>835</v>
      </c>
      <c r="G102" t="s">
        <v>207</v>
      </c>
      <c r="H102" t="s">
        <v>207</v>
      </c>
      <c r="I102">
        <v>0.9</v>
      </c>
      <c r="J102" t="s">
        <v>112</v>
      </c>
      <c r="K102" t="s">
        <v>207</v>
      </c>
      <c r="L102" t="b">
        <v>1</v>
      </c>
      <c r="M102" t="s">
        <v>429</v>
      </c>
    </row>
    <row r="103" spans="1:13" x14ac:dyDescent="0.35">
      <c r="A103" t="s">
        <v>432</v>
      </c>
      <c r="B103">
        <v>2025</v>
      </c>
      <c r="C103" t="s">
        <v>433</v>
      </c>
      <c r="D103" t="s">
        <v>434</v>
      </c>
      <c r="E103" t="b">
        <v>1</v>
      </c>
      <c r="F103" t="s">
        <v>435</v>
      </c>
      <c r="G103" t="s">
        <v>207</v>
      </c>
      <c r="H103" t="s">
        <v>207</v>
      </c>
      <c r="I103">
        <v>0.9</v>
      </c>
      <c r="J103" t="s">
        <v>112</v>
      </c>
      <c r="K103" t="s">
        <v>206</v>
      </c>
      <c r="L103" t="b">
        <v>1</v>
      </c>
      <c r="M103" t="s">
        <v>432</v>
      </c>
    </row>
    <row r="104" spans="1:13" x14ac:dyDescent="0.35">
      <c r="A104" t="s">
        <v>436</v>
      </c>
      <c r="B104">
        <v>2025</v>
      </c>
      <c r="C104" t="s">
        <v>437</v>
      </c>
      <c r="D104" t="s">
        <v>438</v>
      </c>
      <c r="E104" t="b">
        <v>0</v>
      </c>
      <c r="F104" t="s">
        <v>836</v>
      </c>
      <c r="G104" t="s">
        <v>198</v>
      </c>
      <c r="I104">
        <v>1</v>
      </c>
      <c r="J104" t="s">
        <v>112</v>
      </c>
      <c r="K104" t="s">
        <v>200</v>
      </c>
      <c r="L104" t="b">
        <v>1</v>
      </c>
      <c r="M104" t="s">
        <v>436</v>
      </c>
    </row>
  </sheetData>
  <conditionalFormatting sqref="K30:K45 J1:J45">
    <cfRule type="containsText" dxfId="2" priority="3" operator="containsText" text="Include">
      <formula>NOT(ISERROR(SEARCH("Include",J1)))</formula>
    </cfRule>
  </conditionalFormatting>
  <conditionalFormatting sqref="J1:J104">
    <cfRule type="containsText" dxfId="1" priority="2" operator="containsText" text="Exclude">
      <formula>NOT(ISERROR(SEARCH("Exclude",J1)))</formula>
    </cfRule>
  </conditionalFormatting>
  <conditionalFormatting sqref="J46:K104">
    <cfRule type="containsText" dxfId="0" priority="1" operator="containsText" text="Include">
      <formula>NOT(ISERROR(SEARCH("Include",J46)))</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27BCB-4710-4D9A-A38E-921B487297AE}">
  <dimension ref="A1:C16"/>
  <sheetViews>
    <sheetView tabSelected="1" workbookViewId="0">
      <selection activeCell="A17" sqref="A17"/>
    </sheetView>
  </sheetViews>
  <sheetFormatPr defaultRowHeight="14.5" x14ac:dyDescent="0.35"/>
  <cols>
    <col min="1" max="1" width="16.26953125" bestFit="1" customWidth="1"/>
    <col min="2" max="2" width="11.1796875" customWidth="1"/>
  </cols>
  <sheetData>
    <row r="1" spans="1:3" x14ac:dyDescent="0.35">
      <c r="A1" t="s">
        <v>165</v>
      </c>
    </row>
    <row r="2" spans="1:3" x14ac:dyDescent="0.35">
      <c r="B2" t="s">
        <v>163</v>
      </c>
      <c r="C2" t="s">
        <v>164</v>
      </c>
    </row>
    <row r="3" spans="1:3" x14ac:dyDescent="0.35">
      <c r="A3" t="s">
        <v>161</v>
      </c>
      <c r="B3">
        <f>COUNTIFS('Merged results table'!E:E,TRUE,'Merged results table'!L:L,TRUE)</f>
        <v>22</v>
      </c>
      <c r="C3">
        <f>COUNTIFS('Merged results table'!E:E,TRUE,'Merged results table'!L:L,FALSE)</f>
        <v>8</v>
      </c>
    </row>
    <row r="4" spans="1:3" x14ac:dyDescent="0.35">
      <c r="A4" t="s">
        <v>162</v>
      </c>
      <c r="B4">
        <f>COUNTIFS('Merged results table'!E:E,FALSE,'Merged results table'!L:L,TRUE)</f>
        <v>24</v>
      </c>
      <c r="C4">
        <f>COUNTIFS('Merged results table'!E:E,FALSE,'Merged results table'!L:L,FALSE)</f>
        <v>49</v>
      </c>
    </row>
    <row r="6" spans="1:3" x14ac:dyDescent="0.35">
      <c r="A6" t="s">
        <v>168</v>
      </c>
      <c r="B6">
        <f>B3</f>
        <v>22</v>
      </c>
    </row>
    <row r="7" spans="1:3" x14ac:dyDescent="0.35">
      <c r="A7" t="s">
        <v>169</v>
      </c>
      <c r="B7">
        <f>C4</f>
        <v>49</v>
      </c>
    </row>
    <row r="8" spans="1:3" x14ac:dyDescent="0.35">
      <c r="A8" t="s">
        <v>170</v>
      </c>
      <c r="B8">
        <f>C3</f>
        <v>8</v>
      </c>
    </row>
    <row r="9" spans="1:3" x14ac:dyDescent="0.35">
      <c r="A9" t="s">
        <v>171</v>
      </c>
      <c r="B9">
        <f>B4</f>
        <v>24</v>
      </c>
    </row>
    <row r="11" spans="1:3" x14ac:dyDescent="0.35">
      <c r="A11" t="s">
        <v>166</v>
      </c>
      <c r="B11">
        <f>(B3+C4)/(B3+B4+C3+C4)</f>
        <v>0.68932038834951459</v>
      </c>
    </row>
    <row r="12" spans="1:3" x14ac:dyDescent="0.35">
      <c r="A12" t="s">
        <v>167</v>
      </c>
      <c r="B12">
        <f>B3/(B3+B4)</f>
        <v>0.47826086956521741</v>
      </c>
    </row>
    <row r="14" spans="1:3" x14ac:dyDescent="0.35">
      <c r="A14" s="3" t="s">
        <v>172</v>
      </c>
    </row>
    <row r="15" spans="1:3" x14ac:dyDescent="0.35">
      <c r="A15" t="s">
        <v>765</v>
      </c>
    </row>
    <row r="16" spans="1:3" x14ac:dyDescent="0.35">
      <c r="A16" t="s">
        <v>837</v>
      </c>
    </row>
  </sheetData>
  <conditionalFormatting sqref="J18:J25">
    <cfRule type="containsText" dxfId="8" priority="3" operator="containsText" text="Exclude">
      <formula>NOT(ISERROR(SEARCH("Exclude",J18)))</formula>
    </cfRule>
    <cfRule type="containsText" dxfId="7" priority="4" operator="containsText" text="Include">
      <formula>NOT(ISERROR(SEARCH("Include",J18)))</formula>
    </cfRule>
  </conditionalFormatting>
  <conditionalFormatting sqref="J29">
    <cfRule type="containsText" dxfId="6" priority="1" operator="containsText" text="Exclude">
      <formula>NOT(ISERROR(SEARCH("Exclude",J29)))</formula>
    </cfRule>
    <cfRule type="containsText" dxfId="5" priority="2" operator="containsText" text="Include">
      <formula>NOT(ISERROR(SEARCH("Include",J29)))</formula>
    </cfRule>
  </conditionalFormatting>
  <conditionalFormatting sqref="M21">
    <cfRule type="containsText" dxfId="4" priority="9" operator="containsText" text="Exclude">
      <formula>NOT(ISERROR(SEARCH("Exclude",M21)))</formula>
    </cfRule>
    <cfRule type="containsText" dxfId="3" priority="10" operator="containsText" text="Include">
      <formula>NOT(ISERROR(SEARCH("Include",M21)))</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Stage_6_API_200</vt:lpstr>
      <vt:lpstr>ID_Lookup</vt:lpstr>
      <vt:lpstr>Stage_6_FF_200</vt:lpstr>
      <vt:lpstr>Merged results table</vt:lpstr>
      <vt:lpstr>Evaluating Results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CAREY, Oliver (NHS MIDLANDS AND LANCASHIRE COMMISSIONING SUPPORT UNIT)</dc:creator>
  <cp:lastModifiedBy>CAREY, Oliver (NHS MIDLANDS AND LANCASHIRE COMMISSIONI</cp:lastModifiedBy>
  <dcterms:created xsi:type="dcterms:W3CDTF">2025-09-03T10:40:47Z</dcterms:created>
  <dcterms:modified xsi:type="dcterms:W3CDTF">2025-09-09T12:56:13Z</dcterms:modified>
</cp:coreProperties>
</file>