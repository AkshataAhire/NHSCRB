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13_ncr:1_{B549BF0C-4462-45A9-AAF5-52BA53F06260}" xr6:coauthVersionLast="47" xr6:coauthVersionMax="47" xr10:uidLastSave="{00000000-0000-0000-0000-000000000000}"/>
  <bookViews>
    <workbookView xWindow="-110" yWindow="-110" windowWidth="19420" windowHeight="10300" activeTab="4" xr2:uid="{66513E08-89B8-4D61-A86D-819C01466699}"/>
  </bookViews>
  <sheets>
    <sheet name="Stage_6_API_50" sheetId="1" r:id="rId1"/>
    <sheet name="ID_Lookup" sheetId="5" r:id="rId2"/>
    <sheet name="Stage_6_FF_50" sheetId="2" r:id="rId3"/>
    <sheet name="Merged results table" sheetId="3" r:id="rId4"/>
    <sheet name="Evaluating Results" sheetId="4" r:id="rId5"/>
  </sheets>
  <definedNames>
    <definedName name="_xlnm._FilterDatabase" localSheetId="3" hidden="1">'Merged results table'!$A$1:$L$19</definedName>
    <definedName name="_xlnm._FilterDatabase" localSheetId="2" hidden="1">Stage_6_FF_50!$A$1:$H$52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<sst xmlns="http://schemas.openxmlformats.org/spreadsheetml/2006/main" count="615" uniqueCount="228">
  <si>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</si>
  <si>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</si>
  <si>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</si>
  <si>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</si>
  <si>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</si>
  <si>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</si>
  <si>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</si>
  <si>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</si>
  <si>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</si>
  <si>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</si>
  <si>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</si>
  <si>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</si>
  <si>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</si>
  <si>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</si>
  <si>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</si>
  <si>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</si>
  <si>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</si>
  <si>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</si>
  <si>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</si>
  <si>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</si>
  <si>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</si>
  <si>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</si>
  <si>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</si>
  <si>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</si>
  <si>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</si>
  <si>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</si>
  <si>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</si>
  <si>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</si>
  <si>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</si>
  <si>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</si>
  <si>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</si>
  <si>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</si>
  <si>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</si>
  <si>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</si>
  <si>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</si>
  <si>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</si>
  <si>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</si>
  <si>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</si>
  <si>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</si>
  <si>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</si>
  <si>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</si>
  <si>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</si>
  <si>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</si>
  <si>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</si>
  <si>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</si>
  <si>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</si>
  <si>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</si>
  <si>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</si>
  <si>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</si>
  <si>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</si>
  <si>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</si>
  <si>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</si>
  <si>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</si>
  <si>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</si>
  <si>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</si>
  <si>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</si>
  <si>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</si>
  <si>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</si>
  <si>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</si>
  <si>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</si>
  <si>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</si>
  <si>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</si>
  <si>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</si>
  <si>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</si>
  <si>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</si>
  <si>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</si>
  <si>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</si>
  <si>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</si>
  <si>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</si>
  <si>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</si>
  <si>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</si>
  <si>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</si>
  <si>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</si>
  <si>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</si>
  <si>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</si>
  <si>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</si>
  <si>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</si>
  <si>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</si>
  <si>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</si>
  <si>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</si>
  <si>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</si>
  <si>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</si>
  <si>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</si>
  <si>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</si>
  <si>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</si>
  <si>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</si>
  <si>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</si>
  <si>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</si>
  <si>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</si>
  <si>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</si>
  <si>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</si>
  <si>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</si>
  <si>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</si>
  <si>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</si>
  <si>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</si>
  <si>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</si>
  <si>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</si>
  <si>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</si>
  <si>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</si>
  <si>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</si>
  <si>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</si>
  <si>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</si>
  <si>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</si>
  <si>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</si>
  <si>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</si>
  <si>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</si>
  <si>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</si>
  <si>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</si>
  <si>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</si>
  <si>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</si>
  <si>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</si>
  <si>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</si>
  <si>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</si>
  <si>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</si>
  <si>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</si>
  <si>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</si>
  <si>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</si>
  <si>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</si>
  <si>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</si>
  <si>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</si>
  <si>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</si>
  <si>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</si>
  <si>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</si>
  <si>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</si>
  <si>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</si>
  <si>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</si>
  <si>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</si>
  <si>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</si>
  <si>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</si>
  <si>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</si>
  <si>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</si>
  <si>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</si>
  <si>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</si>
  <si>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</si>
  <si>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</si>
  <si>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</si>
  <si>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</si>
  <si>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</si>
  <si>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</si>
  <si>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</si>
  <si>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</si>
  <si>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</si>
  <si>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</si>
  <si>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</si>
  <si>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</si>
  <si>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</si>
  <si>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</si>
  <si>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</si>
  <si>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</si>
  <si>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</si>
  <si>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</si>
  <si>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</si>
  <si>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</si>
  <si>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</si>
  <si>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</si>
  <si>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</si>
  <si>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</si>
  <si>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</si>
  <si>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</si>
  <si>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</si>
  <si>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</si>
  <si>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</si>
  <si>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</si>
  <si>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</si>
  <si>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</si>
  <si>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</si>
  <si>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</si>
  <si>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</si>
  <si>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</si>
  <si>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</si>
  <si>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</si>
  <si>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</si>
  <si>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</si>
  <si>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</si>
  <si>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</si>
  <si>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</si>
  <si>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</si>
  <si>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</si>
  <si>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</si>
  <si>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</si>
  <si>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</si>
  <si>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</si>
  <si>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</si>
  <si>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</si>
  <si>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</si>
  <si>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</si>
  <si>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</si>
  <si>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</si>
  <si>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</si>
  <si>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</si>
  <si>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</si>
  <si>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</si>
  <si>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Duplicate</t>
  </si>
  <si>
    <t>include_stage6</t>
  </si>
  <si>
    <t>reason_stage6</t>
  </si>
  <si>
    <t>main_shift</t>
  </si>
  <si>
    <t>shifts_detected</t>
  </si>
  <si>
    <t>confidence_stage6</t>
  </si>
  <si>
    <t>Focuses on cost-effectiveness of a treatment, not NHS shifts.</t>
  </si>
  <si>
    <t>None</t>
  </si>
  <si>
    <t>Focuses on treatment efficacy, not NHS shifts.</t>
  </si>
  <si>
    <t>Focuses on cost-effectiveness of antipsychotics, not NHS Three Shifts.</t>
  </si>
  <si>
    <t>Focuses on preventing preterm birth via predictive testing.</t>
  </si>
  <si>
    <t>Prevention</t>
  </si>
  <si>
    <t>Focus on cost-effectiveness of a drug, not NHS shifts.</t>
  </si>
  <si>
    <t>Focuses on treatment comparison, not aligned with NHS shifts.</t>
  </si>
  <si>
    <t>Focuses on drug cost optimisation, not NHS Three Shifts.</t>
  </si>
  <si>
    <t>Focuses on perioperative beta-blockers, not NHS shifts.</t>
  </si>
  <si>
    <t>Focuses on perioperative beta-blockers, not on NHS Three Shifts.</t>
  </si>
  <si>
    <t>Focuses on treatment efficacy, not NHS Three Shifts.</t>
  </si>
  <si>
    <t>Focuses on treatment efficacy for HMB, not NHS shifts.</t>
  </si>
  <si>
    <t>Focus on preventing psychosis aligns with proactive early interventions.</t>
  </si>
  <si>
    <t>Focuses on screening effectiveness, not on NHS shifts.</t>
  </si>
  <si>
    <t>Focuses on treatment post-injury, not on NHS Three Shifts.</t>
  </si>
  <si>
    <t>Focuses on surgical treatments, not aligned with NHS shifts.</t>
  </si>
  <si>
    <t>Focus on prevention through diet and physical activity interventions.</t>
  </si>
  <si>
    <t>Study focuses on personalized screening to prevent diabetic complications.</t>
  </si>
  <si>
    <t>No shift</t>
  </si>
  <si>
    <t>Prevention?</t>
  </si>
  <si>
    <t>Community</t>
  </si>
  <si>
    <t>Digital</t>
  </si>
  <si>
    <t>Community - also Prevention</t>
  </si>
  <si>
    <t>Prevention (but more focussed on the model)</t>
  </si>
  <si>
    <t>No shift (could be Prevention)</t>
  </si>
  <si>
    <t xml:space="preserve">No shift </t>
  </si>
  <si>
    <t>FF_include_stage6</t>
  </si>
  <si>
    <t>6 False Negatives</t>
  </si>
  <si>
    <t>1 False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</si>
</sst>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42"/>
  <sheetViews>
    <sheetView workbookViewId="0">
      <selection activeCell="D19" sqref="A1:I19"/>
    </sheetView>
  </sheetViews>
  <sheetFormatPr defaultRowHeight="14.5" x14ac:dyDescent="0.35"/>
  <sheetData>
    <row r="1" spans="1:9" x14ac:dyDescent="0.35">
      <c r="A1" t="s">
        <v>0</v>
      </c>
      <c r="B1" t="s">
        <v>1</v>
      </c>
      <c r="C1" t="s">
        <v>2</v>
      </c>
      <c r="D1" t="s">
        <v>3</v>
      </c>
      <c r="E1" t="s">
        <v>193</v>
      </c>
      <c r="F1" t="s">
        <v>194</v>
      </c>
      <c r="G1" t="s">
        <v>195</v>
      </c>
      <c r="H1" t="s">
        <v>196</v>
      </c>
      <c r="I1" t="s">
        <v>197</v>
      </c>
    </row>
    <row r="2" spans="1:9" x14ac:dyDescent="0.35">
      <c r="A2" t="s">
        <v>8</v>
      </c>
      <c r="B2">
        <v>2019</v>
      </c>
      <c r="C2" t="s">
        <v>9</v>
      </c>
      <c r="D2" t="s">
        <v>175</v>
      </c>
      <c r="E2" t="b">
        <v>0</v>
      </c>
      <c r="F2" t="s">
        <v>198</v>
      </c>
      <c r="G2" t="s">
        <v>199</v>
      </c>
      <c r="I2">
        <v>0.9</v>
      </c>
    </row>
    <row r="3" spans="1:9" x14ac:dyDescent="0.35">
      <c r="A3" t="s">
        <v>10</v>
      </c>
      <c r="B3">
        <v>2019</v>
      </c>
      <c r="C3" t="s">
        <v>11</v>
      </c>
      <c r="D3" t="s">
        <v>180</v>
      </c>
      <c r="E3" t="b">
        <v>0</v>
      </c>
      <c r="F3" t="s">
        <v>200</v>
      </c>
      <c r="G3" t="s">
        <v>199</v>
      </c>
      <c r="I3">
        <v>0.95</v>
      </c>
    </row>
    <row r="4" spans="1:9" x14ac:dyDescent="0.35">
      <c r="A4" t="s">
        <v>12</v>
      </c>
      <c r="B4">
        <v>2019</v>
      </c>
      <c r="C4" t="s">
        <v>13</v>
      </c>
      <c r="D4" t="s">
        <v>176</v>
      </c>
      <c r="E4" t="b">
        <v>0</v>
      </c>
      <c r="F4" t="s">
        <v>201</v>
      </c>
      <c r="G4" t="s">
        <v>199</v>
      </c>
      <c r="I4">
        <v>0.9</v>
      </c>
    </row>
    <row r="5" spans="1:9" x14ac:dyDescent="0.35">
      <c r="A5" t="s">
        <v>14</v>
      </c>
      <c r="B5">
        <v>2019</v>
      </c>
      <c r="C5" t="s">
        <v>15</v>
      </c>
      <c r="D5" t="s">
        <v>181</v>
      </c>
      <c r="E5" t="b">
        <v>1</v>
      </c>
      <c r="F5" t="s">
        <v>202</v>
      </c>
      <c r="G5" t="s">
        <v>203</v>
      </c>
      <c r="H5" t="s">
        <v>203</v>
      </c>
      <c r="I5">
        <v>0.9</v>
      </c>
    </row>
    <row r="6" spans="1:9" x14ac:dyDescent="0.35">
      <c r="A6" t="s">
        <v>19</v>
      </c>
      <c r="B6">
        <v>2019</v>
      </c>
      <c r="C6" t="s">
        <v>20</v>
      </c>
      <c r="D6" t="s">
        <v>177</v>
      </c>
      <c r="E6" t="b">
        <v>0</v>
      </c>
      <c r="F6" t="s">
        <v>204</v>
      </c>
      <c r="G6" t="s">
        <v>199</v>
      </c>
      <c r="I6">
        <v>1</v>
      </c>
    </row>
    <row r="7" spans="1:9" x14ac:dyDescent="0.35">
      <c r="A7" t="s">
        <v>23</v>
      </c>
      <c r="B7">
        <v>2019</v>
      </c>
      <c r="C7" t="s">
        <v>182</v>
      </c>
      <c r="D7" t="s">
        <v>183</v>
      </c>
      <c r="E7" t="b">
        <v>0</v>
      </c>
      <c r="F7" t="s">
        <v>205</v>
      </c>
      <c r="G7" t="s">
        <v>199</v>
      </c>
      <c r="I7">
        <v>0.95</v>
      </c>
    </row>
    <row r="8" spans="1:9" x14ac:dyDescent="0.35">
      <c r="A8" t="s">
        <v>42</v>
      </c>
      <c r="B8">
        <v>2019</v>
      </c>
      <c r="C8" t="s">
        <v>43</v>
      </c>
      <c r="D8" t="s">
        <v>44</v>
      </c>
      <c r="E8" t="b">
        <v>0</v>
      </c>
      <c r="F8" t="s">
        <v>206</v>
      </c>
      <c r="G8" t="s">
        <v>199</v>
      </c>
      <c r="I8">
        <v>0.9</v>
      </c>
    </row>
    <row r="9" spans="1:9" x14ac:dyDescent="0.35">
      <c r="A9" t="s">
        <v>47</v>
      </c>
      <c r="B9">
        <v>2019</v>
      </c>
      <c r="C9" t="s">
        <v>48</v>
      </c>
      <c r="D9" t="s">
        <v>178</v>
      </c>
      <c r="E9" t="b">
        <v>0</v>
      </c>
      <c r="F9" t="s">
        <v>200</v>
      </c>
      <c r="G9" t="s">
        <v>199</v>
      </c>
      <c r="I9">
        <v>0.9</v>
      </c>
    </row>
    <row r="10" spans="1:9" x14ac:dyDescent="0.35">
      <c r="A10" t="s">
        <v>49</v>
      </c>
      <c r="B10">
        <v>2019</v>
      </c>
      <c r="C10" t="s">
        <v>184</v>
      </c>
      <c r="D10" t="s">
        <v>185</v>
      </c>
      <c r="E10" t="b">
        <v>0</v>
      </c>
      <c r="F10" t="s">
        <v>207</v>
      </c>
      <c r="G10" t="s">
        <v>199</v>
      </c>
      <c r="I10">
        <v>0.9</v>
      </c>
    </row>
    <row r="11" spans="1:9" x14ac:dyDescent="0.35">
      <c r="A11" t="s">
        <v>50</v>
      </c>
      <c r="B11">
        <v>2019</v>
      </c>
      <c r="C11" t="s">
        <v>186</v>
      </c>
      <c r="D11" t="s">
        <v>187</v>
      </c>
      <c r="E11" t="b">
        <v>0</v>
      </c>
      <c r="F11" t="s">
        <v>208</v>
      </c>
      <c r="G11" t="s">
        <v>199</v>
      </c>
      <c r="I11">
        <v>1</v>
      </c>
    </row>
    <row r="12" spans="1:9" x14ac:dyDescent="0.35">
      <c r="A12" t="s">
        <v>57</v>
      </c>
      <c r="B12">
        <v>2019</v>
      </c>
      <c r="C12" t="s">
        <v>58</v>
      </c>
      <c r="D12" t="s">
        <v>188</v>
      </c>
      <c r="E12" t="b">
        <v>0</v>
      </c>
      <c r="F12" t="s">
        <v>209</v>
      </c>
      <c r="G12" t="s">
        <v>199</v>
      </c>
      <c r="I12">
        <v>0.9</v>
      </c>
    </row>
    <row r="13" spans="1:9" x14ac:dyDescent="0.35">
      <c r="A13" t="s">
        <v>62</v>
      </c>
      <c r="B13">
        <v>2019</v>
      </c>
      <c r="C13" t="s">
        <v>63</v>
      </c>
      <c r="D13" t="s">
        <v>189</v>
      </c>
      <c r="E13" t="b">
        <v>0</v>
      </c>
      <c r="F13" t="s">
        <v>210</v>
      </c>
      <c r="G13" t="s">
        <v>199</v>
      </c>
      <c r="I13">
        <v>0.95</v>
      </c>
    </row>
    <row r="14" spans="1:9" x14ac:dyDescent="0.35">
      <c r="A14" t="s">
        <v>74</v>
      </c>
      <c r="B14">
        <v>2019</v>
      </c>
      <c r="C14" t="s">
        <v>75</v>
      </c>
      <c r="D14" t="s">
        <v>190</v>
      </c>
      <c r="E14" t="b">
        <v>1</v>
      </c>
      <c r="F14" t="s">
        <v>211</v>
      </c>
      <c r="G14" t="s">
        <v>203</v>
      </c>
      <c r="H14" t="s">
        <v>203</v>
      </c>
      <c r="I14">
        <v>0.9</v>
      </c>
    </row>
    <row r="15" spans="1:9" x14ac:dyDescent="0.35">
      <c r="A15" t="s">
        <v>78</v>
      </c>
      <c r="B15">
        <v>2019</v>
      </c>
      <c r="C15" t="s">
        <v>79</v>
      </c>
      <c r="D15" t="s">
        <v>179</v>
      </c>
      <c r="E15" t="b">
        <v>0</v>
      </c>
      <c r="F15" t="s">
        <v>212</v>
      </c>
      <c r="G15" t="s">
        <v>199</v>
      </c>
      <c r="I15">
        <v>0.95</v>
      </c>
    </row>
    <row r="16" spans="1:9" x14ac:dyDescent="0.35">
      <c r="A16" t="s">
        <v>83</v>
      </c>
      <c r="B16">
        <v>2019</v>
      </c>
      <c r="C16" t="s">
        <v>84</v>
      </c>
      <c r="D16" t="s">
        <v>191</v>
      </c>
      <c r="E16" t="b">
        <v>0</v>
      </c>
      <c r="F16" t="s">
        <v>213</v>
      </c>
      <c r="G16" t="s">
        <v>199</v>
      </c>
      <c r="I16">
        <v>0.95</v>
      </c>
    </row>
    <row r="17" spans="1:9" ht="409.5" x14ac:dyDescent="0.35">
      <c r="A17" t="s">
        <v>85</v>
      </c>
      <c r="B17">
        <v>2019</v>
      </c>
      <c r="C17" t="s">
        <v>86</v>
      </c>
      <c r="D17" s="1" t="s">
        <v>87</v>
      </c>
      <c r="E17" t="b">
        <v>0</v>
      </c>
      <c r="F17" t="s">
        <v>214</v>
      </c>
      <c r="G17" t="s">
        <v>199</v>
      </c>
      <c r="I17">
        <v>0.9</v>
      </c>
    </row>
    <row r="18" spans="1:9" x14ac:dyDescent="0.35">
      <c r="A18" t="s">
        <v>94</v>
      </c>
      <c r="B18">
        <v>2019</v>
      </c>
      <c r="C18" t="s">
        <v>95</v>
      </c>
      <c r="D18" t="s">
        <v>96</v>
      </c>
      <c r="E18" t="b">
        <v>1</v>
      </c>
      <c r="F18" t="s">
        <v>215</v>
      </c>
      <c r="G18" t="s">
        <v>203</v>
      </c>
      <c r="H18" t="s">
        <v>203</v>
      </c>
      <c r="I18">
        <v>0.9</v>
      </c>
    </row>
    <row r="19" spans="1:9" x14ac:dyDescent="0.35">
      <c r="A19" t="s">
        <v>99</v>
      </c>
      <c r="B19">
        <v>2019</v>
      </c>
      <c r="C19" t="s">
        <v>100</v>
      </c>
      <c r="D19" t="s">
        <v>101</v>
      </c>
      <c r="E19" t="b">
        <v>1</v>
      </c>
      <c r="F19" t="s">
        <v>216</v>
      </c>
      <c r="G19" t="s">
        <v>203</v>
      </c>
      <c r="H19" t="s">
        <v>203</v>
      </c>
      <c r="I19">
        <v>0.9</v>
      </c>
    </row>
    <row r="21" spans="1:9" x14ac:dyDescent="0.35">
      <c r="D21" s="1"/>
    </row>
    <row r="26" spans="1:9" x14ac:dyDescent="0.35">
      <c r="D26" s="1"/>
    </row>
    <row r="33" customFormat="1" x14ac:dyDescent="0.35"/>
    <row r="34" customFormat="1" x14ac:dyDescent="0.35"/>
    <row r="35" customFormat="1" x14ac:dyDescent="0.35"/>
    <row r="36" customFormat="1" x14ac:dyDescent="0.35"/>
    <row r="37" customFormat="1" x14ac:dyDescent="0.35"/>
    <row r="42" customForma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9"/>
  <sheetViews>
    <sheetView workbookViewId="0">
      <selection activeCell="D13" sqref="D13"/>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23</v>
      </c>
    </row>
    <row r="8" spans="1:1" x14ac:dyDescent="0.35">
      <c r="A8" t="s">
        <v>42</v>
      </c>
    </row>
    <row r="9" spans="1:1" x14ac:dyDescent="0.35">
      <c r="A9" t="s">
        <v>47</v>
      </c>
    </row>
    <row r="10" spans="1:1" x14ac:dyDescent="0.35">
      <c r="A10" t="s">
        <v>49</v>
      </c>
    </row>
    <row r="11" spans="1:1" x14ac:dyDescent="0.35">
      <c r="A11" t="s">
        <v>50</v>
      </c>
    </row>
    <row r="12" spans="1:1" x14ac:dyDescent="0.35">
      <c r="A12" t="s">
        <v>57</v>
      </c>
    </row>
    <row r="13" spans="1:1" x14ac:dyDescent="0.35">
      <c r="A13" t="s">
        <v>62</v>
      </c>
    </row>
    <row r="14" spans="1:1" x14ac:dyDescent="0.35">
      <c r="A14" t="s">
        <v>74</v>
      </c>
    </row>
    <row r="15" spans="1:1" x14ac:dyDescent="0.35">
      <c r="A15" t="s">
        <v>78</v>
      </c>
    </row>
    <row r="16" spans="1:1" x14ac:dyDescent="0.35">
      <c r="A16" t="s">
        <v>83</v>
      </c>
    </row>
    <row r="17" spans="1:1" x14ac:dyDescent="0.35">
      <c r="A17" t="s">
        <v>85</v>
      </c>
    </row>
    <row r="18" spans="1:1" x14ac:dyDescent="0.35">
      <c r="A18" t="s">
        <v>94</v>
      </c>
    </row>
    <row r="19" spans="1:1" x14ac:dyDescent="0.35">
      <c r="A19"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dimension ref="A1:H52"/>
  <sheetViews>
    <sheetView workbookViewId="0">
      <selection activeCell="H4" sqref="H4"/>
    </sheetView>
  </sheetViews>
  <sheetFormatPr defaultRowHeight="14.5" x14ac:dyDescent="0.35"/>
  <cols>
    <col min="2" max="2" width="10.81640625" customWidth="1"/>
    <col min="3" max="3" width="13.54296875" customWidth="1"/>
    <col min="4" max="4" width="13.26953125" customWidth="1"/>
  </cols>
  <sheetData>
    <row r="1" spans="1:8" x14ac:dyDescent="0.35">
      <c r="A1" t="s">
        <v>108</v>
      </c>
      <c r="B1" t="s">
        <v>1</v>
      </c>
      <c r="C1" t="s">
        <v>2</v>
      </c>
      <c r="D1" t="s">
        <v>3</v>
      </c>
      <c r="E1" t="s">
        <v>109</v>
      </c>
      <c r="F1" t="s">
        <v>110</v>
      </c>
      <c r="G1" t="s">
        <v>225</v>
      </c>
      <c r="H1" t="s">
        <v>174</v>
      </c>
    </row>
    <row r="2" spans="1:8" x14ac:dyDescent="0.35">
      <c r="A2" t="s">
        <v>4</v>
      </c>
      <c r="B2">
        <v>2019</v>
      </c>
      <c r="C2" t="s">
        <v>5</v>
      </c>
      <c r="D2" t="s">
        <v>111</v>
      </c>
      <c r="E2" t="s">
        <v>112</v>
      </c>
      <c r="F2" t="s">
        <v>203</v>
      </c>
      <c r="G2" t="b">
        <f>IF(E2="Include", TRUE, FALSE)</f>
        <v>1</v>
      </c>
      <c r="H2" t="e">
        <f>VLOOKUP(A2,ID_Lookup!$A:$A,1,FALSE)</f>
        <v>#N/A</v>
      </c>
    </row>
    <row r="3" spans="1:8" x14ac:dyDescent="0.35">
      <c r="A3" t="s">
        <v>6</v>
      </c>
      <c r="B3">
        <v>2019</v>
      </c>
      <c r="C3" t="s">
        <v>7</v>
      </c>
      <c r="D3" t="s">
        <v>113</v>
      </c>
      <c r="E3" t="s">
        <v>173</v>
      </c>
      <c r="F3" t="s">
        <v>217</v>
      </c>
      <c r="G3" t="b">
        <f t="shared" ref="G3:G52" si="0">IF(E3="Include", TRUE, FALSE)</f>
        <v>0</v>
      </c>
      <c r="H3" t="e">
        <f>VLOOKUP(A3,ID_Lookup!$A:$A,1,FALSE)</f>
        <v>#N/A</v>
      </c>
    </row>
    <row r="4" spans="1:8" x14ac:dyDescent="0.35">
      <c r="A4" t="s">
        <v>8</v>
      </c>
      <c r="B4">
        <v>2019</v>
      </c>
      <c r="C4" t="s">
        <v>9</v>
      </c>
      <c r="D4" t="s">
        <v>114</v>
      </c>
      <c r="E4" t="s">
        <v>173</v>
      </c>
      <c r="F4" t="s">
        <v>217</v>
      </c>
      <c r="G4" t="b">
        <f t="shared" si="0"/>
        <v>0</v>
      </c>
      <c r="H4" t="str">
        <f>VLOOKUP(A4,ID_Lookup!$A:$A,1,FALSE)</f>
        <v>J502</v>
      </c>
    </row>
    <row r="5" spans="1:8" x14ac:dyDescent="0.35">
      <c r="A5" t="s">
        <v>10</v>
      </c>
      <c r="B5">
        <v>2019</v>
      </c>
      <c r="C5" t="s">
        <v>11</v>
      </c>
      <c r="D5" t="s">
        <v>115</v>
      </c>
      <c r="E5" t="s">
        <v>112</v>
      </c>
      <c r="F5" t="s">
        <v>203</v>
      </c>
      <c r="G5" t="b">
        <f t="shared" si="0"/>
        <v>1</v>
      </c>
      <c r="H5" t="str">
        <f>VLOOKUP(A5,ID_Lookup!$A:$A,1,FALSE)</f>
        <v>J503</v>
      </c>
    </row>
    <row r="6" spans="1:8" x14ac:dyDescent="0.35">
      <c r="A6" t="s">
        <v>12</v>
      </c>
      <c r="B6">
        <v>2019</v>
      </c>
      <c r="C6" t="s">
        <v>13</v>
      </c>
      <c r="D6" t="s">
        <v>116</v>
      </c>
      <c r="E6" t="s">
        <v>112</v>
      </c>
      <c r="F6" t="s">
        <v>218</v>
      </c>
      <c r="G6" t="b">
        <f t="shared" si="0"/>
        <v>1</v>
      </c>
      <c r="H6" t="str">
        <f>VLOOKUP(A6,ID_Lookup!$A:$A,1,FALSE)</f>
        <v>J504</v>
      </c>
    </row>
    <row r="7" spans="1:8" x14ac:dyDescent="0.35">
      <c r="A7" t="s">
        <v>14</v>
      </c>
      <c r="B7">
        <v>2019</v>
      </c>
      <c r="C7" t="s">
        <v>15</v>
      </c>
      <c r="D7" t="s">
        <v>117</v>
      </c>
      <c r="E7" t="s">
        <v>112</v>
      </c>
      <c r="F7" t="s">
        <v>218</v>
      </c>
      <c r="G7" t="b">
        <f t="shared" si="0"/>
        <v>1</v>
      </c>
      <c r="H7" t="str">
        <f>VLOOKUP(A7,ID_Lookup!$A:$A,1,FALSE)</f>
        <v>J505</v>
      </c>
    </row>
    <row r="8" spans="1:8" x14ac:dyDescent="0.35">
      <c r="A8" t="s">
        <v>16</v>
      </c>
      <c r="B8">
        <v>2019</v>
      </c>
      <c r="C8" t="s">
        <v>17</v>
      </c>
      <c r="D8" t="s">
        <v>118</v>
      </c>
      <c r="E8" t="s">
        <v>112</v>
      </c>
      <c r="F8" t="s">
        <v>218</v>
      </c>
      <c r="G8" t="b">
        <f t="shared" si="0"/>
        <v>1</v>
      </c>
      <c r="H8" t="e">
        <f>VLOOKUP(A8,ID_Lookup!$A:$A,1,FALSE)</f>
        <v>#N/A</v>
      </c>
    </row>
    <row r="9" spans="1:8" x14ac:dyDescent="0.35">
      <c r="A9" t="s">
        <v>18</v>
      </c>
      <c r="B9">
        <v>2019</v>
      </c>
      <c r="C9" t="s">
        <v>119</v>
      </c>
      <c r="D9" t="s">
        <v>120</v>
      </c>
      <c r="E9" t="s">
        <v>112</v>
      </c>
      <c r="F9" t="s">
        <v>203</v>
      </c>
      <c r="G9" t="b">
        <f t="shared" si="0"/>
        <v>1</v>
      </c>
      <c r="H9" t="e">
        <f>VLOOKUP(A9,ID_Lookup!$A:$A,1,FALSE)</f>
        <v>#N/A</v>
      </c>
    </row>
    <row r="10" spans="1:8" x14ac:dyDescent="0.35">
      <c r="A10" t="s">
        <v>19</v>
      </c>
      <c r="B10">
        <v>2019</v>
      </c>
      <c r="C10" t="s">
        <v>20</v>
      </c>
      <c r="D10" t="s">
        <v>121</v>
      </c>
      <c r="E10" t="s">
        <v>112</v>
      </c>
      <c r="F10" t="s">
        <v>218</v>
      </c>
      <c r="G10" t="b">
        <f t="shared" si="0"/>
        <v>1</v>
      </c>
      <c r="H10" t="str">
        <f>VLOOKUP(A10,ID_Lookup!$A:$A,1,FALSE)</f>
        <v>J508</v>
      </c>
    </row>
    <row r="11" spans="1:8" x14ac:dyDescent="0.35">
      <c r="A11" t="s">
        <v>21</v>
      </c>
      <c r="B11">
        <v>2019</v>
      </c>
      <c r="C11" t="s">
        <v>22</v>
      </c>
      <c r="D11" t="s">
        <v>122</v>
      </c>
      <c r="E11" t="s">
        <v>112</v>
      </c>
      <c r="F11" t="s">
        <v>218</v>
      </c>
      <c r="G11" t="b">
        <f t="shared" si="0"/>
        <v>1</v>
      </c>
      <c r="H11" t="e">
        <f>VLOOKUP(A11,ID_Lookup!$A:$A,1,FALSE)</f>
        <v>#N/A</v>
      </c>
    </row>
    <row r="12" spans="1:8" x14ac:dyDescent="0.35">
      <c r="A12" t="s">
        <v>23</v>
      </c>
      <c r="B12">
        <v>2019</v>
      </c>
      <c r="C12" t="s">
        <v>123</v>
      </c>
      <c r="D12" t="s">
        <v>124</v>
      </c>
      <c r="E12" t="s">
        <v>173</v>
      </c>
      <c r="F12" t="s">
        <v>217</v>
      </c>
      <c r="G12" t="b">
        <f t="shared" si="0"/>
        <v>0</v>
      </c>
      <c r="H12" t="str">
        <f>VLOOKUP(A12,ID_Lookup!$A:$A,1,FALSE)</f>
        <v>J510</v>
      </c>
    </row>
    <row r="13" spans="1:8" x14ac:dyDescent="0.35">
      <c r="A13" t="s">
        <v>24</v>
      </c>
      <c r="B13">
        <v>2019</v>
      </c>
      <c r="C13" t="s">
        <v>25</v>
      </c>
      <c r="D13" t="s">
        <v>26</v>
      </c>
      <c r="E13" t="s">
        <v>173</v>
      </c>
      <c r="F13" t="s">
        <v>217</v>
      </c>
      <c r="G13" t="b">
        <f t="shared" si="0"/>
        <v>0</v>
      </c>
      <c r="H13" t="e">
        <f>VLOOKUP(A13,ID_Lookup!$A:$A,1,FALSE)</f>
        <v>#N/A</v>
      </c>
    </row>
    <row r="14" spans="1:8" x14ac:dyDescent="0.35">
      <c r="A14" t="s">
        <v>27</v>
      </c>
      <c r="B14">
        <v>2019</v>
      </c>
      <c r="C14" t="s">
        <v>28</v>
      </c>
      <c r="D14" t="s">
        <v>29</v>
      </c>
      <c r="E14" t="s">
        <v>173</v>
      </c>
      <c r="F14" t="s">
        <v>192</v>
      </c>
      <c r="G14" t="b">
        <f t="shared" si="0"/>
        <v>0</v>
      </c>
      <c r="H14" t="e">
        <f>VLOOKUP(A14,ID_Lookup!$A:$A,1,FALSE)</f>
        <v>#N/A</v>
      </c>
    </row>
    <row r="15" spans="1:8" x14ac:dyDescent="0.35">
      <c r="A15" t="s">
        <v>30</v>
      </c>
      <c r="B15">
        <v>2019</v>
      </c>
      <c r="C15" t="s">
        <v>125</v>
      </c>
      <c r="D15" t="s">
        <v>126</v>
      </c>
      <c r="E15" t="s">
        <v>173</v>
      </c>
      <c r="F15" t="s">
        <v>217</v>
      </c>
      <c r="G15" t="b">
        <f t="shared" si="0"/>
        <v>0</v>
      </c>
      <c r="H15" t="e">
        <f>VLOOKUP(A15,ID_Lookup!$A:$A,1,FALSE)</f>
        <v>#N/A</v>
      </c>
    </row>
    <row r="16" spans="1:8" x14ac:dyDescent="0.35">
      <c r="A16" t="s">
        <v>31</v>
      </c>
      <c r="B16">
        <v>2019</v>
      </c>
      <c r="C16" t="s">
        <v>127</v>
      </c>
      <c r="D16" t="s">
        <v>128</v>
      </c>
      <c r="E16" t="s">
        <v>173</v>
      </c>
      <c r="F16" t="s">
        <v>217</v>
      </c>
      <c r="G16" t="b">
        <f t="shared" si="0"/>
        <v>0</v>
      </c>
      <c r="H16" t="e">
        <f>VLOOKUP(A16,ID_Lookup!$A:$A,1,FALSE)</f>
        <v>#N/A</v>
      </c>
    </row>
    <row r="17" spans="1:8" x14ac:dyDescent="0.35">
      <c r="A17" t="s">
        <v>32</v>
      </c>
      <c r="B17">
        <v>2019</v>
      </c>
      <c r="C17" t="s">
        <v>33</v>
      </c>
      <c r="D17" t="s">
        <v>129</v>
      </c>
      <c r="E17" t="s">
        <v>112</v>
      </c>
      <c r="F17" t="s">
        <v>219</v>
      </c>
      <c r="G17" t="b">
        <f t="shared" si="0"/>
        <v>1</v>
      </c>
      <c r="H17" t="e">
        <f>VLOOKUP(A17,ID_Lookup!$A:$A,1,FALSE)</f>
        <v>#N/A</v>
      </c>
    </row>
    <row r="18" spans="1:8" x14ac:dyDescent="0.35">
      <c r="A18" t="s">
        <v>34</v>
      </c>
      <c r="B18">
        <v>2019</v>
      </c>
      <c r="C18" t="s">
        <v>35</v>
      </c>
      <c r="D18" t="s">
        <v>130</v>
      </c>
      <c r="E18" t="s">
        <v>112</v>
      </c>
      <c r="F18" t="s">
        <v>203</v>
      </c>
      <c r="G18" t="b">
        <f t="shared" si="0"/>
        <v>1</v>
      </c>
      <c r="H18" t="e">
        <f>VLOOKUP(A18,ID_Lookup!$A:$A,1,FALSE)</f>
        <v>#N/A</v>
      </c>
    </row>
    <row r="19" spans="1:8" s="2" customFormat="1" x14ac:dyDescent="0.35">
      <c r="A19" t="s">
        <v>36</v>
      </c>
      <c r="B19">
        <v>2019</v>
      </c>
      <c r="C19" t="s">
        <v>37</v>
      </c>
      <c r="D19" t="s">
        <v>131</v>
      </c>
      <c r="E19" t="s">
        <v>173</v>
      </c>
      <c r="F19" t="s">
        <v>217</v>
      </c>
      <c r="G19" t="b">
        <f t="shared" si="0"/>
        <v>0</v>
      </c>
      <c r="H19" t="e">
        <f>VLOOKUP(A19,ID_Lookup!$A:$A,1,FALSE)</f>
        <v>#N/A</v>
      </c>
    </row>
    <row r="20" spans="1:8" x14ac:dyDescent="0.35">
      <c r="A20" t="s">
        <v>38</v>
      </c>
      <c r="B20">
        <v>2019</v>
      </c>
      <c r="C20" t="s">
        <v>39</v>
      </c>
      <c r="D20" t="s">
        <v>132</v>
      </c>
      <c r="E20" t="s">
        <v>173</v>
      </c>
      <c r="F20" t="s">
        <v>217</v>
      </c>
      <c r="G20" t="b">
        <f t="shared" si="0"/>
        <v>0</v>
      </c>
      <c r="H20" t="e">
        <f>VLOOKUP(A20,ID_Lookup!$A:$A,1,FALSE)</f>
        <v>#N/A</v>
      </c>
    </row>
    <row r="21" spans="1:8" x14ac:dyDescent="0.35">
      <c r="A21" t="s">
        <v>40</v>
      </c>
      <c r="B21">
        <v>2019</v>
      </c>
      <c r="C21" t="s">
        <v>41</v>
      </c>
      <c r="D21" t="s">
        <v>133</v>
      </c>
      <c r="E21" t="s">
        <v>173</v>
      </c>
      <c r="F21" t="s">
        <v>217</v>
      </c>
      <c r="G21" t="b">
        <f t="shared" si="0"/>
        <v>0</v>
      </c>
      <c r="H21" t="e">
        <f>VLOOKUP(A21,ID_Lookup!$A:$A,1,FALSE)</f>
        <v>#N/A</v>
      </c>
    </row>
    <row r="22" spans="1:8" x14ac:dyDescent="0.35">
      <c r="A22" t="s">
        <v>42</v>
      </c>
      <c r="B22">
        <v>2019</v>
      </c>
      <c r="C22" t="s">
        <v>43</v>
      </c>
      <c r="D22" t="s">
        <v>44</v>
      </c>
      <c r="E22" t="s">
        <v>173</v>
      </c>
      <c r="F22" t="s">
        <v>217</v>
      </c>
      <c r="G22" t="b">
        <f t="shared" si="0"/>
        <v>0</v>
      </c>
      <c r="H22" t="str">
        <f>VLOOKUP(A22,ID_Lookup!$A:$A,1,FALSE)</f>
        <v>J520</v>
      </c>
    </row>
    <row r="23" spans="1:8" x14ac:dyDescent="0.35">
      <c r="A23" t="s">
        <v>45</v>
      </c>
      <c r="B23">
        <v>2019</v>
      </c>
      <c r="C23" t="s">
        <v>46</v>
      </c>
      <c r="D23" t="s">
        <v>134</v>
      </c>
      <c r="E23" t="s">
        <v>112</v>
      </c>
      <c r="F23" t="s">
        <v>218</v>
      </c>
      <c r="G23" t="b">
        <f t="shared" si="0"/>
        <v>1</v>
      </c>
      <c r="H23" t="e">
        <f>VLOOKUP(A23,ID_Lookup!$A:$A,1,FALSE)</f>
        <v>#N/A</v>
      </c>
    </row>
    <row r="24" spans="1:8" x14ac:dyDescent="0.35">
      <c r="A24" t="s">
        <v>47</v>
      </c>
      <c r="B24">
        <v>2019</v>
      </c>
      <c r="C24" t="s">
        <v>48</v>
      </c>
      <c r="D24" t="s">
        <v>135</v>
      </c>
      <c r="E24" t="s">
        <v>173</v>
      </c>
      <c r="F24" t="s">
        <v>217</v>
      </c>
      <c r="G24" t="b">
        <f t="shared" si="0"/>
        <v>0</v>
      </c>
      <c r="H24" t="str">
        <f>VLOOKUP(A24,ID_Lookup!$A:$A,1,FALSE)</f>
        <v>J522</v>
      </c>
    </row>
    <row r="25" spans="1:8" x14ac:dyDescent="0.35">
      <c r="A25" t="s">
        <v>49</v>
      </c>
      <c r="B25">
        <v>2019</v>
      </c>
      <c r="C25" t="s">
        <v>136</v>
      </c>
      <c r="D25" t="s">
        <v>137</v>
      </c>
      <c r="E25" t="s">
        <v>112</v>
      </c>
      <c r="F25" t="s">
        <v>203</v>
      </c>
      <c r="G25" t="b">
        <f t="shared" si="0"/>
        <v>1</v>
      </c>
      <c r="H25" t="str">
        <f>VLOOKUP(A25,ID_Lookup!$A:$A,1,FALSE)</f>
        <v>J523</v>
      </c>
    </row>
    <row r="26" spans="1:8" x14ac:dyDescent="0.35">
      <c r="A26" t="s">
        <v>50</v>
      </c>
      <c r="B26">
        <v>2019</v>
      </c>
      <c r="C26" t="s">
        <v>138</v>
      </c>
      <c r="D26" t="s">
        <v>139</v>
      </c>
      <c r="E26" t="s">
        <v>112</v>
      </c>
      <c r="F26" t="s">
        <v>203</v>
      </c>
      <c r="G26" t="b">
        <f t="shared" si="0"/>
        <v>1</v>
      </c>
      <c r="H26" t="str">
        <f>VLOOKUP(A26,ID_Lookup!$A:$A,1,FALSE)</f>
        <v>J524</v>
      </c>
    </row>
    <row r="27" spans="1:8" x14ac:dyDescent="0.35">
      <c r="A27" t="s">
        <v>51</v>
      </c>
      <c r="B27">
        <v>2019</v>
      </c>
      <c r="C27" t="s">
        <v>52</v>
      </c>
      <c r="D27" t="s">
        <v>53</v>
      </c>
      <c r="E27" t="s">
        <v>112</v>
      </c>
      <c r="F27" t="s">
        <v>203</v>
      </c>
      <c r="G27" t="b">
        <f t="shared" si="0"/>
        <v>1</v>
      </c>
      <c r="H27" t="e">
        <f>VLOOKUP(A27,ID_Lookup!$A:$A,1,FALSE)</f>
        <v>#N/A</v>
      </c>
    </row>
    <row r="28" spans="1:8" x14ac:dyDescent="0.35">
      <c r="A28" t="s">
        <v>54</v>
      </c>
      <c r="B28">
        <v>2019</v>
      </c>
      <c r="C28" t="s">
        <v>55</v>
      </c>
      <c r="D28" t="s">
        <v>56</v>
      </c>
      <c r="E28" t="s">
        <v>112</v>
      </c>
      <c r="F28" t="s">
        <v>220</v>
      </c>
      <c r="G28" t="b">
        <f t="shared" si="0"/>
        <v>1</v>
      </c>
      <c r="H28" t="e">
        <f>VLOOKUP(A28,ID_Lookup!$A:$A,1,FALSE)</f>
        <v>#N/A</v>
      </c>
    </row>
    <row r="29" spans="1:8" x14ac:dyDescent="0.35">
      <c r="A29" t="s">
        <v>57</v>
      </c>
      <c r="B29">
        <v>2019</v>
      </c>
      <c r="C29" t="s">
        <v>58</v>
      </c>
      <c r="D29" t="s">
        <v>140</v>
      </c>
      <c r="E29" t="s">
        <v>173</v>
      </c>
      <c r="F29" t="s">
        <v>217</v>
      </c>
      <c r="G29" t="b">
        <f t="shared" si="0"/>
        <v>0</v>
      </c>
      <c r="H29" t="str">
        <f>VLOOKUP(A29,ID_Lookup!$A:$A,1,FALSE)</f>
        <v>J527</v>
      </c>
    </row>
    <row r="30" spans="1:8" x14ac:dyDescent="0.35">
      <c r="A30" t="s">
        <v>59</v>
      </c>
      <c r="B30">
        <v>2019</v>
      </c>
      <c r="C30" t="s">
        <v>141</v>
      </c>
      <c r="D30" t="s">
        <v>142</v>
      </c>
      <c r="E30" t="s">
        <v>173</v>
      </c>
      <c r="F30" t="s">
        <v>217</v>
      </c>
      <c r="G30" t="b">
        <f t="shared" si="0"/>
        <v>0</v>
      </c>
      <c r="H30" t="e">
        <f>VLOOKUP(A30,ID_Lookup!$A:$A,1,FALSE)</f>
        <v>#N/A</v>
      </c>
    </row>
    <row r="31" spans="1:8" x14ac:dyDescent="0.35">
      <c r="A31" t="s">
        <v>60</v>
      </c>
      <c r="B31">
        <v>2019</v>
      </c>
      <c r="C31" t="s">
        <v>61</v>
      </c>
      <c r="D31" t="s">
        <v>143</v>
      </c>
      <c r="E31" t="s">
        <v>173</v>
      </c>
      <c r="F31" t="s">
        <v>217</v>
      </c>
      <c r="G31" t="b">
        <f t="shared" si="0"/>
        <v>0</v>
      </c>
      <c r="H31" t="e">
        <f>VLOOKUP(A31,ID_Lookup!$A:$A,1,FALSE)</f>
        <v>#N/A</v>
      </c>
    </row>
    <row r="32" spans="1:8" x14ac:dyDescent="0.35">
      <c r="A32" t="s">
        <v>62</v>
      </c>
      <c r="B32">
        <v>2019</v>
      </c>
      <c r="C32" t="s">
        <v>63</v>
      </c>
      <c r="D32" t="s">
        <v>144</v>
      </c>
      <c r="E32" t="s">
        <v>173</v>
      </c>
      <c r="F32" t="s">
        <v>217</v>
      </c>
      <c r="G32" t="b">
        <f t="shared" si="0"/>
        <v>0</v>
      </c>
      <c r="H32" t="str">
        <f>VLOOKUP(A32,ID_Lookup!$A:$A,1,FALSE)</f>
        <v>J530</v>
      </c>
    </row>
    <row r="33" spans="1:8" x14ac:dyDescent="0.35">
      <c r="A33" t="s">
        <v>64</v>
      </c>
      <c r="B33">
        <v>2019</v>
      </c>
      <c r="C33" t="s">
        <v>65</v>
      </c>
      <c r="D33" t="s">
        <v>145</v>
      </c>
      <c r="E33" t="s">
        <v>173</v>
      </c>
      <c r="F33" t="s">
        <v>217</v>
      </c>
      <c r="G33" t="b">
        <f t="shared" si="0"/>
        <v>0</v>
      </c>
      <c r="H33" t="e">
        <f>VLOOKUP(A33,ID_Lookup!$A:$A,1,FALSE)</f>
        <v>#N/A</v>
      </c>
    </row>
    <row r="34" spans="1:8" x14ac:dyDescent="0.35">
      <c r="A34" t="s">
        <v>66</v>
      </c>
      <c r="B34">
        <v>2019</v>
      </c>
      <c r="C34" t="s">
        <v>67</v>
      </c>
      <c r="D34" t="s">
        <v>68</v>
      </c>
      <c r="E34" t="s">
        <v>173</v>
      </c>
      <c r="F34" t="s">
        <v>217</v>
      </c>
      <c r="G34" t="b">
        <f t="shared" si="0"/>
        <v>0</v>
      </c>
      <c r="H34" t="e">
        <f>VLOOKUP(A34,ID_Lookup!$A:$A,1,FALSE)</f>
        <v>#N/A</v>
      </c>
    </row>
    <row r="35" spans="1:8" x14ac:dyDescent="0.35">
      <c r="A35" t="s">
        <v>69</v>
      </c>
      <c r="B35">
        <v>2019</v>
      </c>
      <c r="C35" t="s">
        <v>70</v>
      </c>
      <c r="D35" t="s">
        <v>146</v>
      </c>
      <c r="E35" t="s">
        <v>112</v>
      </c>
      <c r="F35" t="s">
        <v>219</v>
      </c>
      <c r="G35" t="b">
        <f t="shared" si="0"/>
        <v>1</v>
      </c>
      <c r="H35" t="e">
        <f>VLOOKUP(A35,ID_Lookup!$A:$A,1,FALSE)</f>
        <v>#N/A</v>
      </c>
    </row>
    <row r="36" spans="1:8" ht="409.5" x14ac:dyDescent="0.35">
      <c r="A36" t="s">
        <v>71</v>
      </c>
      <c r="B36">
        <v>2019</v>
      </c>
      <c r="C36" t="s">
        <v>72</v>
      </c>
      <c r="D36" s="1" t="s">
        <v>73</v>
      </c>
      <c r="E36" t="s">
        <v>112</v>
      </c>
      <c r="F36" t="s">
        <v>221</v>
      </c>
      <c r="G36" t="b">
        <f t="shared" si="0"/>
        <v>1</v>
      </c>
      <c r="H36" t="e">
        <f>VLOOKUP(A36,ID_Lookup!$A:$A,1,FALSE)</f>
        <v>#N/A</v>
      </c>
    </row>
    <row r="37" spans="1:8" x14ac:dyDescent="0.35">
      <c r="A37" t="s">
        <v>74</v>
      </c>
      <c r="B37">
        <v>2019</v>
      </c>
      <c r="C37" t="s">
        <v>75</v>
      </c>
      <c r="D37" t="s">
        <v>147</v>
      </c>
      <c r="E37" t="s">
        <v>112</v>
      </c>
      <c r="F37" t="s">
        <v>203</v>
      </c>
      <c r="G37" t="b">
        <f t="shared" si="0"/>
        <v>1</v>
      </c>
      <c r="H37" t="str">
        <f>VLOOKUP(A37,ID_Lookup!$A:$A,1,FALSE)</f>
        <v>J535</v>
      </c>
    </row>
    <row r="38" spans="1:8" x14ac:dyDescent="0.35">
      <c r="A38" t="s">
        <v>76</v>
      </c>
      <c r="B38">
        <v>2019</v>
      </c>
      <c r="C38" t="s">
        <v>77</v>
      </c>
      <c r="D38" t="s">
        <v>148</v>
      </c>
      <c r="E38" t="s">
        <v>173</v>
      </c>
      <c r="F38" t="s">
        <v>217</v>
      </c>
      <c r="G38" t="b">
        <f t="shared" si="0"/>
        <v>0</v>
      </c>
      <c r="H38" t="e">
        <f>VLOOKUP(A38,ID_Lookup!$A:$A,1,FALSE)</f>
        <v>#N/A</v>
      </c>
    </row>
    <row r="39" spans="1:8" x14ac:dyDescent="0.35">
      <c r="A39" t="s">
        <v>78</v>
      </c>
      <c r="B39">
        <v>2019</v>
      </c>
      <c r="C39" t="s">
        <v>79</v>
      </c>
      <c r="D39" t="s">
        <v>149</v>
      </c>
      <c r="E39" t="s">
        <v>112</v>
      </c>
      <c r="F39" t="s">
        <v>203</v>
      </c>
      <c r="G39" t="b">
        <f t="shared" si="0"/>
        <v>1</v>
      </c>
      <c r="H39" t="str">
        <f>VLOOKUP(A39,ID_Lookup!$A:$A,1,FALSE)</f>
        <v>J537</v>
      </c>
    </row>
    <row r="40" spans="1:8" x14ac:dyDescent="0.35">
      <c r="A40" t="s">
        <v>80</v>
      </c>
      <c r="B40">
        <v>2019</v>
      </c>
      <c r="C40" t="s">
        <v>81</v>
      </c>
      <c r="D40" t="s">
        <v>150</v>
      </c>
      <c r="E40" t="s">
        <v>173</v>
      </c>
      <c r="F40" t="s">
        <v>217</v>
      </c>
      <c r="G40" t="b">
        <f t="shared" si="0"/>
        <v>0</v>
      </c>
      <c r="H40" t="e">
        <f>VLOOKUP(A40,ID_Lookup!$A:$A,1,FALSE)</f>
        <v>#N/A</v>
      </c>
    </row>
    <row r="41" spans="1:8" x14ac:dyDescent="0.35">
      <c r="A41" t="s">
        <v>82</v>
      </c>
      <c r="B41">
        <v>2019</v>
      </c>
      <c r="C41" t="s">
        <v>151</v>
      </c>
      <c r="D41" t="s">
        <v>152</v>
      </c>
      <c r="E41" t="s">
        <v>173</v>
      </c>
      <c r="F41" t="s">
        <v>217</v>
      </c>
      <c r="G41" t="b">
        <f t="shared" si="0"/>
        <v>0</v>
      </c>
      <c r="H41" t="e">
        <f>VLOOKUP(A41,ID_Lookup!$A:$A,1,FALSE)</f>
        <v>#N/A</v>
      </c>
    </row>
    <row r="42" spans="1:8" x14ac:dyDescent="0.35">
      <c r="A42" t="s">
        <v>83</v>
      </c>
      <c r="B42">
        <v>2019</v>
      </c>
      <c r="C42" t="s">
        <v>84</v>
      </c>
      <c r="D42" t="s">
        <v>153</v>
      </c>
      <c r="E42" t="s">
        <v>173</v>
      </c>
      <c r="F42" t="s">
        <v>217</v>
      </c>
      <c r="G42" t="b">
        <f t="shared" si="0"/>
        <v>0</v>
      </c>
      <c r="H42" t="str">
        <f>VLOOKUP(A42,ID_Lookup!$A:$A,1,FALSE)</f>
        <v>J540</v>
      </c>
    </row>
    <row r="43" spans="1:8" ht="409.5" x14ac:dyDescent="0.35">
      <c r="A43" t="s">
        <v>85</v>
      </c>
      <c r="B43">
        <v>2019</v>
      </c>
      <c r="C43" t="s">
        <v>86</v>
      </c>
      <c r="D43" s="1" t="s">
        <v>87</v>
      </c>
      <c r="E43" t="s">
        <v>173</v>
      </c>
      <c r="F43" t="s">
        <v>217</v>
      </c>
      <c r="G43" t="b">
        <f t="shared" si="0"/>
        <v>0</v>
      </c>
      <c r="H43" t="str">
        <f>VLOOKUP(A43,ID_Lookup!$A:$A,1,FALSE)</f>
        <v>J541</v>
      </c>
    </row>
    <row r="44" spans="1:8" x14ac:dyDescent="0.35">
      <c r="A44" t="s">
        <v>88</v>
      </c>
      <c r="B44">
        <v>2019</v>
      </c>
      <c r="C44" t="s">
        <v>154</v>
      </c>
      <c r="D44" t="s">
        <v>155</v>
      </c>
      <c r="E44" t="s">
        <v>173</v>
      </c>
      <c r="F44" t="s">
        <v>217</v>
      </c>
      <c r="G44" t="b">
        <f t="shared" si="0"/>
        <v>0</v>
      </c>
      <c r="H44" t="e">
        <f>VLOOKUP(A44,ID_Lookup!$A:$A,1,FALSE)</f>
        <v>#N/A</v>
      </c>
    </row>
    <row r="45" spans="1:8" x14ac:dyDescent="0.35">
      <c r="A45" t="s">
        <v>89</v>
      </c>
      <c r="B45">
        <v>2019</v>
      </c>
      <c r="C45" t="s">
        <v>90</v>
      </c>
      <c r="D45" t="s">
        <v>156</v>
      </c>
      <c r="E45" t="s">
        <v>173</v>
      </c>
      <c r="F45" t="s">
        <v>217</v>
      </c>
      <c r="G45" t="b">
        <f t="shared" si="0"/>
        <v>0</v>
      </c>
      <c r="H45" t="e">
        <f>VLOOKUP(A45,ID_Lookup!$A:$A,1,FALSE)</f>
        <v>#N/A</v>
      </c>
    </row>
    <row r="46" spans="1:8" x14ac:dyDescent="0.35">
      <c r="A46" t="s">
        <v>91</v>
      </c>
      <c r="B46">
        <v>2019</v>
      </c>
      <c r="C46" t="s">
        <v>92</v>
      </c>
      <c r="D46" t="s">
        <v>93</v>
      </c>
      <c r="E46" t="s">
        <v>112</v>
      </c>
      <c r="F46" t="s">
        <v>222</v>
      </c>
      <c r="G46" t="b">
        <f t="shared" si="0"/>
        <v>1</v>
      </c>
      <c r="H46" t="e">
        <f>VLOOKUP(A46,ID_Lookup!$A:$A,1,FALSE)</f>
        <v>#N/A</v>
      </c>
    </row>
    <row r="47" spans="1:8" x14ac:dyDescent="0.35">
      <c r="A47" t="s">
        <v>94</v>
      </c>
      <c r="B47">
        <v>2019</v>
      </c>
      <c r="C47" t="s">
        <v>95</v>
      </c>
      <c r="D47" t="s">
        <v>96</v>
      </c>
      <c r="E47" t="s">
        <v>112</v>
      </c>
      <c r="F47" t="s">
        <v>203</v>
      </c>
      <c r="G47" t="b">
        <f t="shared" si="0"/>
        <v>1</v>
      </c>
      <c r="H47" t="str">
        <f>VLOOKUP(A47,ID_Lookup!$A:$A,1,FALSE)</f>
        <v>J545</v>
      </c>
    </row>
    <row r="48" spans="1:8" x14ac:dyDescent="0.35">
      <c r="A48" t="s">
        <v>97</v>
      </c>
      <c r="B48">
        <v>2019</v>
      </c>
      <c r="C48" t="s">
        <v>98</v>
      </c>
      <c r="D48" t="s">
        <v>157</v>
      </c>
      <c r="E48" t="s">
        <v>173</v>
      </c>
      <c r="F48" t="s">
        <v>223</v>
      </c>
      <c r="G48" t="b">
        <f t="shared" si="0"/>
        <v>0</v>
      </c>
      <c r="H48" t="e">
        <f>VLOOKUP(A48,ID_Lookup!$A:$A,1,FALSE)</f>
        <v>#N/A</v>
      </c>
    </row>
    <row r="49" spans="1:8" x14ac:dyDescent="0.35">
      <c r="A49" t="s">
        <v>99</v>
      </c>
      <c r="B49">
        <v>2019</v>
      </c>
      <c r="C49" t="s">
        <v>100</v>
      </c>
      <c r="D49" t="s">
        <v>101</v>
      </c>
      <c r="E49" t="s">
        <v>173</v>
      </c>
      <c r="F49" t="s">
        <v>223</v>
      </c>
      <c r="G49" t="b">
        <f t="shared" si="0"/>
        <v>0</v>
      </c>
      <c r="H49" t="str">
        <f>VLOOKUP(A49,ID_Lookup!$A:$A,1,FALSE)</f>
        <v>J547</v>
      </c>
    </row>
    <row r="50" spans="1:8" x14ac:dyDescent="0.35">
      <c r="A50" t="s">
        <v>102</v>
      </c>
      <c r="B50">
        <v>2019</v>
      </c>
      <c r="C50" t="s">
        <v>158</v>
      </c>
      <c r="D50" t="s">
        <v>159</v>
      </c>
      <c r="E50" t="s">
        <v>112</v>
      </c>
      <c r="F50" t="s">
        <v>203</v>
      </c>
      <c r="G50" t="b">
        <f t="shared" si="0"/>
        <v>1</v>
      </c>
      <c r="H50" t="e">
        <f>VLOOKUP(A50,ID_Lookup!$A:$A,1,FALSE)</f>
        <v>#N/A</v>
      </c>
    </row>
    <row r="51" spans="1:8" x14ac:dyDescent="0.35">
      <c r="A51" t="s">
        <v>103</v>
      </c>
      <c r="B51">
        <v>2019</v>
      </c>
      <c r="C51" t="s">
        <v>104</v>
      </c>
      <c r="D51" t="s">
        <v>105</v>
      </c>
      <c r="E51" t="s">
        <v>112</v>
      </c>
      <c r="F51" t="s">
        <v>203</v>
      </c>
      <c r="G51" t="b">
        <f t="shared" si="0"/>
        <v>1</v>
      </c>
      <c r="H51" t="e">
        <f>VLOOKUP(A51,ID_Lookup!$A:$A,1,FALSE)</f>
        <v>#N/A</v>
      </c>
    </row>
    <row r="52" spans="1:8" x14ac:dyDescent="0.35">
      <c r="A52" t="s">
        <v>106</v>
      </c>
      <c r="B52">
        <v>2019</v>
      </c>
      <c r="C52" t="s">
        <v>107</v>
      </c>
      <c r="D52" t="s">
        <v>160</v>
      </c>
      <c r="E52" t="s">
        <v>173</v>
      </c>
      <c r="F52" t="s">
        <v>224</v>
      </c>
      <c r="G52" t="b">
        <f t="shared" si="0"/>
        <v>0</v>
      </c>
      <c r="H52" t="e">
        <f>VLOOKUP(A52,ID_Lookup!$A:$A,1,FALSE)</f>
        <v>#N/A</v>
      </c>
    </row>
  </sheetData>
  <conditionalFormatting sqref="F50:F52 E2:E52">
    <cfRule type="containsText" dxfId="15" priority="3" operator="containsText" text="Exclude">
      <formula>NOT(ISERROR(SEARCH("Exclude",E2)))</formula>
    </cfRule>
    <cfRule type="containsText" dxfId="14" priority="4" operator="containsText" text="Include">
      <formula>NOT(ISERROR(SEARCH("Include",E2)))</formula>
    </cfRule>
  </conditionalFormatting>
  <conditionalFormatting sqref="F14">
    <cfRule type="containsText" dxfId="13" priority="1" operator="containsText" text="Exclude">
      <formula>NOT(ISERROR(SEARCH("Exclude",F14)))</formula>
    </cfRule>
    <cfRule type="containsText" dxfId="12" priority="2" operator="containsText" text="Include">
      <formula>NOT(ISERROR(SEARCH("Include",F14)))</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L26"/>
  <sheetViews>
    <sheetView workbookViewId="0">
      <selection sqref="A1:XFD19"/>
    </sheetView>
  </sheetViews>
  <sheetFormatPr defaultRowHeight="14.5" x14ac:dyDescent="0.35"/>
  <sheetData>
    <row r="1" spans="1:12" x14ac:dyDescent="0.35">
      <c r="A1" t="s">
        <v>0</v>
      </c>
      <c r="B1" t="s">
        <v>1</v>
      </c>
      <c r="C1" t="s">
        <v>2</v>
      </c>
      <c r="D1" t="s">
        <v>3</v>
      </c>
      <c r="E1" t="s">
        <v>193</v>
      </c>
      <c r="F1" t="s">
        <v>194</v>
      </c>
      <c r="G1" t="s">
        <v>195</v>
      </c>
      <c r="H1" t="s">
        <v>196</v>
      </c>
      <c r="I1" t="s">
        <v>197</v>
      </c>
      <c r="J1" t="s">
        <v>109</v>
      </c>
      <c r="K1" t="s">
        <v>110</v>
      </c>
      <c r="L1" t="s">
        <v>225</v>
      </c>
    </row>
    <row r="2" spans="1:12" hidden="1" x14ac:dyDescent="0.35">
      <c r="A2" t="s">
        <v>8</v>
      </c>
      <c r="B2">
        <v>2019</v>
      </c>
      <c r="C2" t="s">
        <v>9</v>
      </c>
      <c r="D2" t="s">
        <v>175</v>
      </c>
      <c r="E2" t="b">
        <v>0</v>
      </c>
      <c r="F2" t="s">
        <v>198</v>
      </c>
      <c r="G2" t="s">
        <v>199</v>
      </c>
      <c r="I2">
        <v>0.9</v>
      </c>
      <c r="J2" t="s">
        <v>173</v>
      </c>
      <c r="K2" t="s">
        <v>217</v>
      </c>
      <c r="L2" t="b">
        <v>0</v>
      </c>
    </row>
    <row r="3" spans="1:12" hidden="1" x14ac:dyDescent="0.35">
      <c r="A3" t="s">
        <v>10</v>
      </c>
      <c r="B3">
        <v>2019</v>
      </c>
      <c r="C3" t="s">
        <v>11</v>
      </c>
      <c r="D3" t="s">
        <v>180</v>
      </c>
      <c r="E3" t="b">
        <v>0</v>
      </c>
      <c r="F3" t="s">
        <v>200</v>
      </c>
      <c r="G3" t="s">
        <v>199</v>
      </c>
      <c r="I3">
        <v>0.95</v>
      </c>
      <c r="J3" t="s">
        <v>112</v>
      </c>
      <c r="K3" t="s">
        <v>203</v>
      </c>
      <c r="L3" t="b">
        <v>1</v>
      </c>
    </row>
    <row r="4" spans="1:12" hidden="1" x14ac:dyDescent="0.35">
      <c r="A4" t="s">
        <v>12</v>
      </c>
      <c r="B4">
        <v>2019</v>
      </c>
      <c r="C4" t="s">
        <v>13</v>
      </c>
      <c r="D4" t="s">
        <v>176</v>
      </c>
      <c r="E4" t="b">
        <v>0</v>
      </c>
      <c r="F4" t="s">
        <v>201</v>
      </c>
      <c r="G4" t="s">
        <v>199</v>
      </c>
      <c r="I4">
        <v>0.9</v>
      </c>
      <c r="J4" t="s">
        <v>112</v>
      </c>
      <c r="K4" t="s">
        <v>218</v>
      </c>
      <c r="L4" t="b">
        <v>1</v>
      </c>
    </row>
    <row r="5" spans="1:12" hidden="1" x14ac:dyDescent="0.35">
      <c r="A5" t="s">
        <v>14</v>
      </c>
      <c r="B5">
        <v>2019</v>
      </c>
      <c r="C5" t="s">
        <v>15</v>
      </c>
      <c r="D5" t="s">
        <v>181</v>
      </c>
      <c r="E5" t="b">
        <v>1</v>
      </c>
      <c r="F5" t="s">
        <v>202</v>
      </c>
      <c r="G5" t="s">
        <v>203</v>
      </c>
      <c r="H5" t="s">
        <v>203</v>
      </c>
      <c r="I5">
        <v>0.9</v>
      </c>
      <c r="J5" t="s">
        <v>112</v>
      </c>
      <c r="K5" t="s">
        <v>218</v>
      </c>
      <c r="L5" t="b">
        <v>1</v>
      </c>
    </row>
    <row r="6" spans="1:12" hidden="1" x14ac:dyDescent="0.35">
      <c r="A6" t="s">
        <v>19</v>
      </c>
      <c r="B6">
        <v>2019</v>
      </c>
      <c r="C6" t="s">
        <v>20</v>
      </c>
      <c r="D6" t="s">
        <v>177</v>
      </c>
      <c r="E6" t="b">
        <v>0</v>
      </c>
      <c r="F6" t="s">
        <v>204</v>
      </c>
      <c r="G6" t="s">
        <v>199</v>
      </c>
      <c r="I6">
        <v>1</v>
      </c>
      <c r="J6" t="s">
        <v>112</v>
      </c>
      <c r="K6" t="s">
        <v>218</v>
      </c>
      <c r="L6" t="b">
        <v>1</v>
      </c>
    </row>
    <row r="7" spans="1:12" hidden="1" x14ac:dyDescent="0.35">
      <c r="A7" t="s">
        <v>23</v>
      </c>
      <c r="B7">
        <v>2019</v>
      </c>
      <c r="C7" t="s">
        <v>182</v>
      </c>
      <c r="D7" t="s">
        <v>183</v>
      </c>
      <c r="E7" t="b">
        <v>0</v>
      </c>
      <c r="F7" t="s">
        <v>205</v>
      </c>
      <c r="G7" t="s">
        <v>199</v>
      </c>
      <c r="I7">
        <v>0.95</v>
      </c>
      <c r="J7" t="s">
        <v>173</v>
      </c>
      <c r="K7" t="s">
        <v>217</v>
      </c>
      <c r="L7" t="b">
        <v>0</v>
      </c>
    </row>
    <row r="8" spans="1:12" hidden="1" x14ac:dyDescent="0.35">
      <c r="A8" t="s">
        <v>42</v>
      </c>
      <c r="B8">
        <v>2019</v>
      </c>
      <c r="C8" t="s">
        <v>43</v>
      </c>
      <c r="D8" t="s">
        <v>44</v>
      </c>
      <c r="E8" t="b">
        <v>0</v>
      </c>
      <c r="F8" t="s">
        <v>206</v>
      </c>
      <c r="G8" t="s">
        <v>199</v>
      </c>
      <c r="I8">
        <v>0.9</v>
      </c>
      <c r="J8" t="s">
        <v>173</v>
      </c>
      <c r="K8" t="s">
        <v>217</v>
      </c>
      <c r="L8" t="b">
        <v>0</v>
      </c>
    </row>
    <row r="9" spans="1:12" hidden="1" x14ac:dyDescent="0.35">
      <c r="A9" t="s">
        <v>47</v>
      </c>
      <c r="B9">
        <v>2019</v>
      </c>
      <c r="C9" t="s">
        <v>48</v>
      </c>
      <c r="D9" t="s">
        <v>178</v>
      </c>
      <c r="E9" t="b">
        <v>0</v>
      </c>
      <c r="F9" t="s">
        <v>200</v>
      </c>
      <c r="G9" t="s">
        <v>199</v>
      </c>
      <c r="I9">
        <v>0.9</v>
      </c>
      <c r="J9" t="s">
        <v>173</v>
      </c>
      <c r="K9" t="s">
        <v>217</v>
      </c>
      <c r="L9" t="b">
        <v>0</v>
      </c>
    </row>
    <row r="10" spans="1:12" hidden="1" x14ac:dyDescent="0.35">
      <c r="A10" t="s">
        <v>49</v>
      </c>
      <c r="B10">
        <v>2019</v>
      </c>
      <c r="C10" t="s">
        <v>184</v>
      </c>
      <c r="D10" t="s">
        <v>185</v>
      </c>
      <c r="E10" t="b">
        <v>0</v>
      </c>
      <c r="F10" t="s">
        <v>207</v>
      </c>
      <c r="G10" t="s">
        <v>199</v>
      </c>
      <c r="I10">
        <v>0.9</v>
      </c>
      <c r="J10" t="s">
        <v>112</v>
      </c>
      <c r="K10" t="s">
        <v>203</v>
      </c>
      <c r="L10" t="b">
        <v>1</v>
      </c>
    </row>
    <row r="11" spans="1:12" hidden="1" x14ac:dyDescent="0.35">
      <c r="A11" t="s">
        <v>50</v>
      </c>
      <c r="B11">
        <v>2019</v>
      </c>
      <c r="C11" t="s">
        <v>186</v>
      </c>
      <c r="D11" t="s">
        <v>187</v>
      </c>
      <c r="E11" t="b">
        <v>0</v>
      </c>
      <c r="F11" t="s">
        <v>208</v>
      </c>
      <c r="G11" t="s">
        <v>199</v>
      </c>
      <c r="I11">
        <v>1</v>
      </c>
      <c r="J11" t="s">
        <v>112</v>
      </c>
      <c r="K11" t="s">
        <v>203</v>
      </c>
      <c r="L11" t="b">
        <v>1</v>
      </c>
    </row>
    <row r="12" spans="1:12" hidden="1" x14ac:dyDescent="0.35">
      <c r="A12" t="s">
        <v>57</v>
      </c>
      <c r="B12">
        <v>2019</v>
      </c>
      <c r="C12" t="s">
        <v>58</v>
      </c>
      <c r="D12" t="s">
        <v>188</v>
      </c>
      <c r="E12" t="b">
        <v>0</v>
      </c>
      <c r="F12" t="s">
        <v>209</v>
      </c>
      <c r="G12" t="s">
        <v>199</v>
      </c>
      <c r="I12">
        <v>0.9</v>
      </c>
      <c r="J12" t="s">
        <v>173</v>
      </c>
      <c r="K12" t="s">
        <v>217</v>
      </c>
      <c r="L12" t="b">
        <v>0</v>
      </c>
    </row>
    <row r="13" spans="1:12" hidden="1" x14ac:dyDescent="0.35">
      <c r="A13" t="s">
        <v>62</v>
      </c>
      <c r="B13">
        <v>2019</v>
      </c>
      <c r="C13" t="s">
        <v>63</v>
      </c>
      <c r="D13" t="s">
        <v>189</v>
      </c>
      <c r="E13" t="b">
        <v>0</v>
      </c>
      <c r="F13" t="s">
        <v>210</v>
      </c>
      <c r="G13" t="s">
        <v>199</v>
      </c>
      <c r="I13">
        <v>0.95</v>
      </c>
      <c r="J13" t="s">
        <v>173</v>
      </c>
      <c r="K13" t="s">
        <v>217</v>
      </c>
      <c r="L13" t="b">
        <v>0</v>
      </c>
    </row>
    <row r="14" spans="1:12" hidden="1" x14ac:dyDescent="0.35">
      <c r="A14" t="s">
        <v>74</v>
      </c>
      <c r="B14">
        <v>2019</v>
      </c>
      <c r="C14" t="s">
        <v>75</v>
      </c>
      <c r="D14" t="s">
        <v>190</v>
      </c>
      <c r="E14" t="b">
        <v>1</v>
      </c>
      <c r="F14" t="s">
        <v>211</v>
      </c>
      <c r="G14" t="s">
        <v>203</v>
      </c>
      <c r="H14" t="s">
        <v>203</v>
      </c>
      <c r="I14">
        <v>0.9</v>
      </c>
      <c r="J14" t="s">
        <v>112</v>
      </c>
      <c r="K14" t="s">
        <v>203</v>
      </c>
      <c r="L14" t="b">
        <v>1</v>
      </c>
    </row>
    <row r="15" spans="1:12" hidden="1" x14ac:dyDescent="0.35">
      <c r="A15" t="s">
        <v>78</v>
      </c>
      <c r="B15">
        <v>2019</v>
      </c>
      <c r="C15" t="s">
        <v>79</v>
      </c>
      <c r="D15" t="s">
        <v>179</v>
      </c>
      <c r="E15" t="b">
        <v>0</v>
      </c>
      <c r="F15" t="s">
        <v>212</v>
      </c>
      <c r="G15" t="s">
        <v>199</v>
      </c>
      <c r="I15">
        <v>0.95</v>
      </c>
      <c r="J15" t="s">
        <v>112</v>
      </c>
      <c r="K15" t="s">
        <v>203</v>
      </c>
      <c r="L15" t="b">
        <v>1</v>
      </c>
    </row>
    <row r="16" spans="1:12" hidden="1" x14ac:dyDescent="0.35">
      <c r="A16" t="s">
        <v>83</v>
      </c>
      <c r="B16">
        <v>2019</v>
      </c>
      <c r="C16" t="s">
        <v>84</v>
      </c>
      <c r="D16" t="s">
        <v>191</v>
      </c>
      <c r="E16" t="b">
        <v>0</v>
      </c>
      <c r="F16" t="s">
        <v>213</v>
      </c>
      <c r="G16" t="s">
        <v>199</v>
      </c>
      <c r="I16">
        <v>0.95</v>
      </c>
      <c r="J16" t="s">
        <v>173</v>
      </c>
      <c r="K16" t="s">
        <v>217</v>
      </c>
      <c r="L16" t="b">
        <v>0</v>
      </c>
    </row>
    <row r="17" spans="1:12" ht="409.5" hidden="1" x14ac:dyDescent="0.35">
      <c r="A17" t="s">
        <v>85</v>
      </c>
      <c r="B17">
        <v>2019</v>
      </c>
      <c r="C17" t="s">
        <v>86</v>
      </c>
      <c r="D17" s="1" t="s">
        <v>87</v>
      </c>
      <c r="E17" t="b">
        <v>0</v>
      </c>
      <c r="F17" t="s">
        <v>214</v>
      </c>
      <c r="G17" t="s">
        <v>199</v>
      </c>
      <c r="I17">
        <v>0.9</v>
      </c>
      <c r="J17" t="s">
        <v>173</v>
      </c>
      <c r="K17" t="s">
        <v>217</v>
      </c>
      <c r="L17" t="b">
        <v>0</v>
      </c>
    </row>
    <row r="18" spans="1:12" hidden="1" x14ac:dyDescent="0.35">
      <c r="A18" t="s">
        <v>94</v>
      </c>
      <c r="B18">
        <v>2019</v>
      </c>
      <c r="C18" t="s">
        <v>95</v>
      </c>
      <c r="D18" t="s">
        <v>96</v>
      </c>
      <c r="E18" t="b">
        <v>1</v>
      </c>
      <c r="F18" t="s">
        <v>215</v>
      </c>
      <c r="G18" t="s">
        <v>203</v>
      </c>
      <c r="H18" t="s">
        <v>203</v>
      </c>
      <c r="I18">
        <v>0.9</v>
      </c>
      <c r="J18" t="s">
        <v>112</v>
      </c>
      <c r="K18" t="s">
        <v>203</v>
      </c>
      <c r="L18" t="b">
        <v>1</v>
      </c>
    </row>
    <row r="19" spans="1:12" x14ac:dyDescent="0.35">
      <c r="A19" t="s">
        <v>99</v>
      </c>
      <c r="B19">
        <v>2019</v>
      </c>
      <c r="C19" t="s">
        <v>100</v>
      </c>
      <c r="D19" t="s">
        <v>101</v>
      </c>
      <c r="E19" t="b">
        <v>1</v>
      </c>
      <c r="F19" t="s">
        <v>216</v>
      </c>
      <c r="G19" t="s">
        <v>203</v>
      </c>
      <c r="H19" t="s">
        <v>203</v>
      </c>
      <c r="I19">
        <v>0.9</v>
      </c>
      <c r="J19" t="s">
        <v>173</v>
      </c>
      <c r="K19" t="s">
        <v>223</v>
      </c>
      <c r="L19" t="b">
        <v>0</v>
      </c>
    </row>
    <row r="21" spans="1:12" x14ac:dyDescent="0.35">
      <c r="D21" s="1"/>
    </row>
    <row r="26" spans="1:12" x14ac:dyDescent="0.35">
      <c r="D26" s="1"/>
    </row>
  </sheetData>
  <autoFilter ref="A1:L19" xr:uid="{1235A4A9-643F-403F-8F39-91437DA8F632}">
    <filterColumn colId="4">
      <filters>
        <filter val="TRUE"/>
      </filters>
    </filterColumn>
    <filterColumn colId="11">
      <filters>
        <filter val="FALSE"/>
      </filters>
    </filterColumn>
  </autoFilter>
  <conditionalFormatting sqref="M30:M31">
    <cfRule type="containsText" dxfId="11" priority="5" operator="containsText" text="Exclude">
      <formula>NOT(ISERROR(SEARCH("Exclude",M30)))</formula>
    </cfRule>
    <cfRule type="containsText" dxfId="10" priority="6" operator="containsText" text="Include">
      <formula>NOT(ISERROR(SEARCH("Include",M30)))</formula>
    </cfRule>
  </conditionalFormatting>
  <conditionalFormatting sqref="M10">
    <cfRule type="containsText" dxfId="9" priority="3" operator="containsText" text="Exclude">
      <formula>NOT(ISERROR(SEARCH("Exclude",M10)))</formula>
    </cfRule>
    <cfRule type="containsText" dxfId="8" priority="4" operator="containsText" text="Include">
      <formula>NOT(ISERROR(SEARCH("Include",M10)))</formula>
    </cfRule>
  </conditionalFormatting>
  <conditionalFormatting sqref="J2:J19">
    <cfRule type="containsText" dxfId="7" priority="1" operator="containsText" text="Exclude">
      <formula>NOT(ISERROR(SEARCH("Exclude",J2)))</formula>
    </cfRule>
    <cfRule type="containsText" dxfId="6" priority="2" operator="containsText" text="Include">
      <formula>NOT(ISERROR(SEARCH("Include",J2)))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L27"/>
  <sheetViews>
    <sheetView tabSelected="1" workbookViewId="0"/>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table'!E2:E19,TRUE,'Merged results table'!L2:L19,TRUE)</f>
        <v>3</v>
      </c>
      <c r="C3">
        <f>COUNTIFS('Merged results table'!E2:E19,TRUE,'Merged results table'!L2:L19,FALSE)</f>
        <v>1</v>
      </c>
    </row>
    <row r="4" spans="1:3" x14ac:dyDescent="0.35">
      <c r="A4" t="s">
        <v>162</v>
      </c>
      <c r="B4">
        <f>COUNTIFS('Merged results table'!E2:E19,FALSE,'Merged results table'!L2:L19,TRUE)</f>
        <v>6</v>
      </c>
      <c r="C4">
        <f>COUNTIFS('Merged results table'!E2:E19,FALSE,'Merged results table'!L2:L19,FALSE)</f>
        <v>8</v>
      </c>
    </row>
    <row r="6" spans="1:3" x14ac:dyDescent="0.35">
      <c r="A6" t="s">
        <v>168</v>
      </c>
      <c r="B6">
        <f>B3</f>
        <v>3</v>
      </c>
    </row>
    <row r="7" spans="1:3" x14ac:dyDescent="0.35">
      <c r="A7" t="s">
        <v>169</v>
      </c>
      <c r="B7">
        <f>C4</f>
        <v>8</v>
      </c>
    </row>
    <row r="8" spans="1:3" x14ac:dyDescent="0.35">
      <c r="A8" t="s">
        <v>170</v>
      </c>
      <c r="B8">
        <f>C3</f>
        <v>1</v>
      </c>
    </row>
    <row r="9" spans="1:3" x14ac:dyDescent="0.35">
      <c r="A9" t="s">
        <v>171</v>
      </c>
      <c r="B9">
        <f>B4</f>
        <v>6</v>
      </c>
    </row>
    <row r="11" spans="1:3" x14ac:dyDescent="0.35">
      <c r="A11" t="s">
        <v>166</v>
      </c>
      <c r="B11">
        <f>(B3+C4)/(B3+B4+C3+C4)</f>
        <v>0.61111111111111116</v>
      </c>
    </row>
    <row r="12" spans="1:3" x14ac:dyDescent="0.35">
      <c r="A12" t="s">
        <v>167</v>
      </c>
      <c r="B12">
        <f>B3/(B3+B4)</f>
        <v>0.33333333333333331</v>
      </c>
    </row>
    <row r="14" spans="1:3" x14ac:dyDescent="0.35">
      <c r="A14" s="3" t="s">
        <v>172</v>
      </c>
    </row>
    <row r="15" spans="1:3" x14ac:dyDescent="0.35">
      <c r="A15" t="s">
        <v>226</v>
      </c>
    </row>
    <row r="17" spans="1:12" x14ac:dyDescent="0.35">
      <c r="A17" t="s">
        <v>0</v>
      </c>
      <c r="B17" t="s">
        <v>1</v>
      </c>
      <c r="C17" t="s">
        <v>2</v>
      </c>
      <c r="D17" t="s">
        <v>3</v>
      </c>
      <c r="E17" t="s">
        <v>193</v>
      </c>
      <c r="F17" t="s">
        <v>194</v>
      </c>
      <c r="G17" t="s">
        <v>195</v>
      </c>
      <c r="H17" t="s">
        <v>196</v>
      </c>
      <c r="I17" t="s">
        <v>197</v>
      </c>
      <c r="J17" t="s">
        <v>109</v>
      </c>
      <c r="K17" t="s">
        <v>110</v>
      </c>
      <c r="L17" t="s">
        <v>225</v>
      </c>
    </row>
    <row r="18" spans="1:12" x14ac:dyDescent="0.35">
      <c r="A18" t="s">
        <v>10</v>
      </c>
      <c r="B18">
        <v>2019</v>
      </c>
      <c r="C18" t="s">
        <v>11</v>
      </c>
      <c r="D18" t="s">
        <v>180</v>
      </c>
      <c r="E18" t="b">
        <v>0</v>
      </c>
      <c r="F18" t="s">
        <v>200</v>
      </c>
      <c r="G18" t="s">
        <v>199</v>
      </c>
      <c r="I18">
        <v>0.95</v>
      </c>
      <c r="J18" t="s">
        <v>112</v>
      </c>
      <c r="K18" t="s">
        <v>203</v>
      </c>
      <c r="L18" t="b">
        <v>1</v>
      </c>
    </row>
    <row r="19" spans="1:12" x14ac:dyDescent="0.35">
      <c r="A19" t="s">
        <v>12</v>
      </c>
      <c r="B19">
        <v>2019</v>
      </c>
      <c r="C19" t="s">
        <v>13</v>
      </c>
      <c r="D19" t="s">
        <v>176</v>
      </c>
      <c r="E19" t="b">
        <v>0</v>
      </c>
      <c r="F19" t="s">
        <v>201</v>
      </c>
      <c r="G19" t="s">
        <v>199</v>
      </c>
      <c r="I19">
        <v>0.9</v>
      </c>
      <c r="J19" t="s">
        <v>112</v>
      </c>
      <c r="K19" t="s">
        <v>218</v>
      </c>
      <c r="L19" t="b">
        <v>1</v>
      </c>
    </row>
    <row r="20" spans="1:12" x14ac:dyDescent="0.35">
      <c r="A20" t="s">
        <v>19</v>
      </c>
      <c r="B20">
        <v>2019</v>
      </c>
      <c r="C20" t="s">
        <v>20</v>
      </c>
      <c r="D20" t="s">
        <v>177</v>
      </c>
      <c r="E20" t="b">
        <v>0</v>
      </c>
      <c r="F20" t="s">
        <v>204</v>
      </c>
      <c r="G20" t="s">
        <v>199</v>
      </c>
      <c r="I20">
        <v>1</v>
      </c>
      <c r="J20" t="s">
        <v>112</v>
      </c>
      <c r="K20" t="s">
        <v>218</v>
      </c>
      <c r="L20" t="b">
        <v>1</v>
      </c>
    </row>
    <row r="21" spans="1:12" x14ac:dyDescent="0.35">
      <c r="A21" t="s">
        <v>49</v>
      </c>
      <c r="B21">
        <v>2019</v>
      </c>
      <c r="C21" t="s">
        <v>184</v>
      </c>
      <c r="D21" t="s">
        <v>185</v>
      </c>
      <c r="E21" t="b">
        <v>0</v>
      </c>
      <c r="F21" t="s">
        <v>207</v>
      </c>
      <c r="G21" t="s">
        <v>199</v>
      </c>
      <c r="I21">
        <v>0.9</v>
      </c>
      <c r="J21" t="s">
        <v>112</v>
      </c>
      <c r="K21" t="s">
        <v>203</v>
      </c>
      <c r="L21" t="b">
        <v>1</v>
      </c>
    </row>
    <row r="22" spans="1:12" x14ac:dyDescent="0.35">
      <c r="A22" t="s">
        <v>50</v>
      </c>
      <c r="B22">
        <v>2019</v>
      </c>
      <c r="C22" t="s">
        <v>186</v>
      </c>
      <c r="D22" t="s">
        <v>187</v>
      </c>
      <c r="E22" t="b">
        <v>0</v>
      </c>
      <c r="F22" t="s">
        <v>208</v>
      </c>
      <c r="G22" t="s">
        <v>199</v>
      </c>
      <c r="I22">
        <v>1</v>
      </c>
      <c r="J22" t="s">
        <v>112</v>
      </c>
      <c r="K22" t="s">
        <v>203</v>
      </c>
      <c r="L22" t="b">
        <v>1</v>
      </c>
    </row>
    <row r="23" spans="1:12" x14ac:dyDescent="0.35">
      <c r="A23" t="s">
        <v>78</v>
      </c>
      <c r="B23">
        <v>2019</v>
      </c>
      <c r="C23" t="s">
        <v>79</v>
      </c>
      <c r="D23" t="s">
        <v>179</v>
      </c>
      <c r="E23" t="b">
        <v>0</v>
      </c>
      <c r="F23" t="s">
        <v>212</v>
      </c>
      <c r="G23" t="s">
        <v>199</v>
      </c>
      <c r="I23">
        <v>0.95</v>
      </c>
      <c r="J23" t="s">
        <v>112</v>
      </c>
      <c r="K23" t="s">
        <v>203</v>
      </c>
      <c r="L23" t="b">
        <v>1</v>
      </c>
    </row>
    <row r="25" spans="1:12" x14ac:dyDescent="0.35">
      <c r="A25" t="s">
        <v>227</v>
      </c>
    </row>
    <row r="26" spans="1:12" x14ac:dyDescent="0.35">
      <c r="A26" t="s">
        <v>0</v>
      </c>
      <c r="B26" t="s">
        <v>1</v>
      </c>
      <c r="C26" t="s">
        <v>2</v>
      </c>
      <c r="D26" t="s">
        <v>3</v>
      </c>
      <c r="E26" t="s">
        <v>193</v>
      </c>
      <c r="F26" t="s">
        <v>194</v>
      </c>
      <c r="G26" t="s">
        <v>195</v>
      </c>
      <c r="H26" t="s">
        <v>196</v>
      </c>
      <c r="I26" t="s">
        <v>197</v>
      </c>
      <c r="J26" t="s">
        <v>109</v>
      </c>
      <c r="K26" t="s">
        <v>110</v>
      </c>
      <c r="L26" t="s">
        <v>225</v>
      </c>
    </row>
    <row r="27" spans="1:12" x14ac:dyDescent="0.35">
      <c r="A27" t="s">
        <v>99</v>
      </c>
      <c r="B27">
        <v>2019</v>
      </c>
      <c r="C27" t="s">
        <v>100</v>
      </c>
      <c r="D27" t="s">
        <v>101</v>
      </c>
      <c r="E27" t="b">
        <v>1</v>
      </c>
      <c r="F27" t="s">
        <v>216</v>
      </c>
      <c r="G27" t="s">
        <v>203</v>
      </c>
      <c r="H27" t="s">
        <v>203</v>
      </c>
      <c r="I27">
        <v>0.9</v>
      </c>
      <c r="J27" t="s">
        <v>173</v>
      </c>
      <c r="K27" t="s">
        <v>223</v>
      </c>
      <c r="L27" t="b">
        <v>0</v>
      </c>
    </row>
  </sheetData>
  <conditionalFormatting sqref="J18:J23">
    <cfRule type="containsText" dxfId="5" priority="5" operator="containsText" text="Exclude">
      <formula>NOT(ISERROR(SEARCH("Exclude",J18)))</formula>
    </cfRule>
    <cfRule type="containsText" dxfId="4" priority="6" operator="containsText" text="Include">
      <formula>NOT(ISERROR(SEARCH("Include",J18)))</formula>
    </cfRule>
  </conditionalFormatting>
  <conditionalFormatting sqref="M21">
    <cfRule type="containsText" dxfId="3" priority="3" operator="containsText" text="Exclude">
      <formula>NOT(ISERROR(SEARCH("Exclude",M21)))</formula>
    </cfRule>
    <cfRule type="containsText" dxfId="2" priority="4" operator="containsText" text="Include">
      <formula>NOT(ISERROR(SEARCH("Include",M21)))</formula>
    </cfRule>
  </conditionalFormatting>
  <conditionalFormatting sqref="J27">
    <cfRule type="containsText" dxfId="1" priority="1" operator="containsText" text="Exclude">
      <formula>NOT(ISERROR(SEARCH("Exclude",J27)))</formula>
    </cfRule>
    <cfRule type="containsText" dxfId="0" priority="2" operator="containsText" text="Include">
      <formula>NOT(ISERROR(SEARCH("Include",J27)))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Stage_6_API_50</vt:lpstr>
      <vt:lpstr>ID_Lookup</vt:lpstr>
      <vt:lpstr>Stage_6_FF_50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2025-09-05T09:59:43Z</dcterms:modified>
</cp:coreProperties>
</file>