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1FD5076D-EABD-4865-B1AB-3E15D3F75BFB}" xr6:coauthVersionLast="47" xr6:coauthVersionMax="47" xr10:uidLastSave="{00000000-0000-0000-0000-000000000000}"/>
  <bookViews>
    <workbookView xWindow="-110" yWindow="-110" windowWidth="19420" windowHeight="10300" activeTab="4" xr2:uid="{66513E08-89B8-4D61-A86D-819C01466699}"/>
  </bookViews>
  <sheets>
    <sheet name="Stage_6_API_200" sheetId="1" r:id="rId1"/>
    <sheet name="ID_Lookup" sheetId="5" r:id="rId2"/>
    <sheet name="Stage_6_FF_200" sheetId="2" r:id="rId3"/>
    <sheet name="Merged results table" sheetId="3" r:id="rId4"/>
    <sheet name="Evaluating Results" sheetId="4" r:id="rId5"/>
  </sheets>
  <definedNames>
    <definedName name="_xlnm._FilterDatabase" localSheetId="3" hidden="1">'Merged results table'!$A$1:$L$29</definedName>
    <definedName name="_xlnm._FilterDatabase" localSheetId="2" hidden="1">Stage_6_FF_200!$A$1:$H$201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6" i="4" s="1"/>
  <c r="C3" i="4"/>
  <c r="B8" i="4" s="1"/>
  <c r="B4" i="4"/>
  <c r="B9" i="4" s="1"/>
  <c r="C4" i="4"/>
  <c r="B7" i="4" s="1"/>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H2" i="2"/>
  <c r="G2" i="2"/>
  <c r="B12" i="4" l="1"/>
  <c r="B11" i="4"/>
</calcChain>
</file>

<file path=xl/sharedStrings.xml><?xml version="1.0" encoding="utf-8"?>
<sst xmlns="http://schemas.openxmlformats.org/spreadsheetml/2006/main" count="2305" uniqueCount="823">
  <si>
    <t>id</t>
  </si>
  <si>
    <t>Year</t>
  </si>
  <si>
    <t>Title</t>
  </si>
  <si>
    <t>Abstract</t>
  </si>
  <si>
    <t>J500</t>
  </si>
  <si>
    <t>The lifetime costs of pediatric abusive head trauma and a cost-effectiveness analysis of the Period of Purple crying program in British Columbia, Canada</t>
  </si>
  <si>
    <t>J501</t>
  </si>
  <si>
    <t>Impact of Weekend Treatment on Short-term and Long-term Survival Following Urgent Repair of Ruptured Aortic Aneurysms in Germany</t>
  </si>
  <si>
    <t>J502</t>
  </si>
  <si>
    <t>Pdb16 Assessment of Cost-Effectiveness of a 0.2 Mcg/Day Fluocinolone Acetonide (Fac) Implant in Patients with Chronic Diabetic Macular Oedema (Dmo) in an Eye with Cataract</t>
  </si>
  <si>
    <t>J503</t>
  </si>
  <si>
    <t>Fluorides for preventing early tooth decay (demineralised lesions) during fixed brace treatment</t>
  </si>
  <si>
    <t>J504</t>
  </si>
  <si>
    <t>Pmh28 Assessing the Life-Cycle Value Added of Second-Generation Antipsychotics in Sweden and the Uk: The Case of Risperidone</t>
  </si>
  <si>
    <t>J505</t>
  </si>
  <si>
    <t>Fetal fibronectin testing for reducing the risk of preterm birth</t>
  </si>
  <si>
    <t>J506</t>
  </si>
  <si>
    <t>Cervical assessment by ultrasound for preventing preterm delivery</t>
  </si>
  <si>
    <t>J507</t>
  </si>
  <si>
    <t>J508</t>
  </si>
  <si>
    <t>Adalimumab for non-infectious uveitis: Is it cost-effective?</t>
  </si>
  <si>
    <t>J509</t>
  </si>
  <si>
    <t>Burden of varicella complications in secondary care, England, 2004 to 2017</t>
  </si>
  <si>
    <t>J510</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</si>
  <si>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</si>
  <si>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</si>
  <si>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</si>
  <si>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</si>
  <si>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</si>
  <si>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</si>
  <si>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</si>
  <si>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J514</t>
  </si>
  <si>
    <t>J515</t>
  </si>
  <si>
    <t>What evidence is available to support the development of a regional specialist neurorehabilitation outreach service</t>
  </si>
  <si>
    <t>J516</t>
  </si>
  <si>
    <t>Mixed exercise training for adults with fibromyalgia</t>
  </si>
  <si>
    <t>J517</t>
  </si>
  <si>
    <t>The health economics of ankle and foot sprains and fractures: A systematic review of English-language published papers. Part 2: The direct and indirect costs of injury</t>
  </si>
  <si>
    <t>J518</t>
  </si>
  <si>
    <t>143. Chiropractors treating patients with acute lower back pain in a spine treatment pathway model: a five-year prospective cohort study</t>
  </si>
  <si>
    <t>J519</t>
  </si>
  <si>
    <t>Lateral flow urine lipoarabinomannan assay for detecting active tuberculosis in people living with HIV</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</si>
  <si>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</si>
  <si>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</si>
  <si>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</si>
  <si>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</si>
  <si>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</si>
  <si>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J522</t>
  </si>
  <si>
    <t>Continuous subcutaneous insulin infusion versus multiple daily injection regimens in children and young people at diagnosis of type 1 diabetes: Pragmatic randomised controlled trial and economic evaluation</t>
  </si>
  <si>
    <t>J523</t>
  </si>
  <si>
    <t>J524</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</si>
  <si>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</si>
  <si>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</si>
  <si>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</si>
  <si>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</si>
  <si>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</si>
  <si>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</si>
  <si>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</si>
  <si>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</si>
  <si>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J528</t>
  </si>
  <si>
    <t>J529</t>
  </si>
  <si>
    <t>Endometrial resection and ablation techniques for heavy menstrual bleeding</t>
  </si>
  <si>
    <t>J530</t>
  </si>
  <si>
    <t>Cyclical progestogens for heavy menstrual bleeding</t>
  </si>
  <si>
    <t>J531</t>
  </si>
  <si>
    <t>SAT-017 End Stage Renal Disease in Ghana</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</si>
  <si>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</si>
  <si>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</si>
  <si>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</si>
  <si>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</si>
  <si>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</si>
  <si>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</si>
  <si>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</si>
  <si>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</si>
  <si>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</si>
  <si>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</si>
  <si>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J536</t>
  </si>
  <si>
    <t>Context-Specific Economic Evaluation for Molecular Pathology Tests: An Application in Colorectal Cancer in the West of Scotland</t>
  </si>
  <si>
    <t>J537</t>
  </si>
  <si>
    <t>Screening Women for Abdominal Aortic Aneurysms: Clinical and Economic Effectiveness Results from a Discrete Event Simulation Model</t>
  </si>
  <si>
    <t>J538</t>
  </si>
  <si>
    <t>Herbal medicinal products or preparations for neuropathic pain</t>
  </si>
  <si>
    <t>J539</t>
  </si>
  <si>
    <t>J540</t>
  </si>
  <si>
    <t>Conservative management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</si>
  <si>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</si>
  <si>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</si>
  <si>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</si>
  <si>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</si>
  <si>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J543</t>
  </si>
  <si>
    <t>Laparoscopically assisted versus open oesophagectomy for patients with oesophageal cancer - The Randomised Oesophagectomy: Minimally Invasive or Open (ROMIO) study: Protocol for a randomised controlled trial (RCT)</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</si>
  <si>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</si>
  <si>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</si>
  <si>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</si>
  <si>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</si>
  <si>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</si>
  <si>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</si>
  <si>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</si>
  <si>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</si>
  <si>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</si>
  <si>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</si>
  <si>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</si>
  <si>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</si>
  <si>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</si>
  <si>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</si>
  <si>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</si>
  <si>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</si>
  <si>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</si>
  <si>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</si>
  <si>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</si>
  <si>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</si>
  <si>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</si>
  <si>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</si>
  <si>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</si>
  <si>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</si>
  <si>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</si>
  <si>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</si>
  <si>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</si>
  <si>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</si>
  <si>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</si>
  <si>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</si>
  <si>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</si>
  <si>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</si>
  <si>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</si>
  <si>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</si>
  <si>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</si>
  <si>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</si>
  <si>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</si>
  <si>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</si>
  <si>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</si>
  <si>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</si>
  <si>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</si>
  <si>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</si>
  <si>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</si>
  <si>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</si>
  <si>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</si>
  <si>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</si>
  <si>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</si>
  <si>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</si>
  <si>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</si>
  <si>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</si>
  <si>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</si>
  <si>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</si>
  <si>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</si>
  <si>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</si>
  <si>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</si>
  <si>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</si>
  <si>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</si>
  <si>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</si>
  <si>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</si>
  <si>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</si>
  <si>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</si>
  <si>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</si>
  <si>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</si>
  <si>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</si>
  <si>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</si>
  <si>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</si>
  <si>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</si>
  <si>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</si>
  <si>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</si>
  <si>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</si>
  <si>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API_Include</t>
  </si>
  <si>
    <t>API_Exclude</t>
  </si>
  <si>
    <t>FF_Include</t>
  </si>
  <si>
    <t>FF_Exclude</t>
  </si>
  <si>
    <t>Confusion Matrix</t>
  </si>
  <si>
    <t>Accuracy</t>
  </si>
  <si>
    <t>Precision</t>
  </si>
  <si>
    <t>True Positives</t>
  </si>
  <si>
    <t>True Negatives</t>
  </si>
  <si>
    <t>False Positives</t>
  </si>
  <si>
    <t>False Negatives</t>
  </si>
  <si>
    <t>Notes</t>
  </si>
  <si>
    <t>Exclude</t>
  </si>
  <si>
    <t>Id_flag</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</si>
  <si>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Ãƒâ€šÃ‚Â© 2019</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</si>
  <si>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Ãƒâ€šÃ‚Â© 2019</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</si>
  <si>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Ãƒâ€šÃ‚Â© 2019 Author(s).</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</si>
  <si>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Ãƒâ€šÃ‚Â© Published by the BMJ Publishing Group Limited.</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</si>
  <si>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Ãƒâ€šÃ‚Â©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</si>
  <si>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ParticipantÃƒÂ¢Ã¢â€šÂ¬Ã‚Âassessed outcomes, such as perception of DLs, and oral healthÃƒÂ¢Ã¢â€šÂ¬Ã‚Ârelated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ParallelÃƒÂ¢Ã¢â€šÂ¬Ã‚Âgroup, randomised controlled trials comparing the use of a fluorideÃƒÂ¢Ã¢â€šÂ¬Ã‚Âcontaining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(nonÃƒÂ¢Ã¢â€šÂ¬Ã‚Âfluoride)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lowÃƒÂ¢Ã¢â€šÂ¬Ã‚Âcertainty evidence). One placebo (nonÃƒÂ¢Ã¢â€šÂ¬Ã‚Âfluoride)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highÃƒÂ¢Ã¢â€šÂ¬Ã‚Âconcentration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comparisons:ÃƒÂ¢Ã¢â€šÂ¬Ã‚Â¨ ÃƒÂ¢Ã¢â€šÂ¬Ã‚Â an amine fluoride and stannous fluoride toothpaste/mouthrinse combination versus a sodium fluoride toothpaste/mouthrinse,ÃƒÂ¢Ã¢â€šÂ¬Ã‚Â¨ ÃƒÂ¢Ã¢â€šÂ¬Ã‚Â an amine fluoride gel versus a nonÃƒÂ¢Ã¢â€šÂ¬Ã‚Âfluoride placebo applied by participants at home once a week and by professional application every three months,ÃƒÂ¢Ã¢â€šÂ¬Ã‚Â¨ ÃƒÂ¢Ã¢â€šÂ¬Ã‚Â resinÃƒÂ¢Ã¢â€šÂ¬Ã‚Âmodified glass ionomer cement versus lightÃƒÂ¢Ã¢â€šÂ¬Ã‚Âcured composite resin for bonding orthodontic brackets,ÃƒÂ¢Ã¢â€šÂ¬Ã‚Â¨ ÃƒÂ¢Ã¢â€šÂ¬Ã‚Â a 250 ppm F mouthrinse versus 0 ppm F placebo mouthrinse,ÃƒÂ¢Ã¢â€šÂ¬Ã‚Â¨ ÃƒÂ¢Ã¢â€šÂ¬Ã‚Â the use of an intraoral fluorideÃƒÂ¢Ã¢â€šÂ¬Ã‚Âreleasing glass bead device attached to the brace versus a daily fluoride mouthrinse. The last two comparisons involved studies that were assessed at high risk of bias, because a substantial number of participants were lost to followÃƒÂ¢Ã¢â€šÂ¬Ã‚Âup.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followÃƒÂ¢Ã¢â€šÂ¬Ã‚Âup studies, in different settings, to confirm external validity. A patientÃƒÂ¢Ã¢â€šÂ¬Ã‚Âreported outcome, such as concern about the aesthetics of any DLs, was still not included as an outcome in any study. Reports of adverse effects from topical fluoride applications were rare and unlikely to be significant. One study involving fluorideÃƒÂ¢Ã¢â€šÂ¬Ã‚Âcontaining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ÃƒÂ¢Ã¢â€šÂ¬Ã‚Â¨ Ugly white or brown marks sometimes appear on the teeth during treatment with braces to straighten teeth. These are due to early tooth decay and usually occur with fixed, gluedÃƒÂ¢Ã¢â€šÂ¬Ã‚Âon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ÃƒÂ¢Ã¢â€šÂ¬Ã‚Â¨ Wearing a fixed brace makes it harder for people to keep their teeth clean and may also cause pain. Pain can make it more difficult for people to brush their teeth. This can lead to a buildÃƒÂ¢Ã¢â€šÂ¬Ã‚Âup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ÃƒÂ¢Ã¢â€šÂ¬Ã‚Â¨ This review is upÃƒÂ¢Ã¢â€šÂ¬Ã‚ÂtoÃƒÂ¢Ã¢â€šÂ¬Ã‚Âdate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treatments:ÃƒÂ¢Ã¢â€šÂ¬Ã‚Â¨ ÃƒÂ¢Ã¢â€šÂ¬Ã‚Â dentist or nurseÃƒÂ¢Ã¢â€šÂ¬Ã‚Âapplied fluoride e.g. varnish, gel or foam,ÃƒÂ¢Ã¢â€šÂ¬Ã‚Â¨ ÃƒÂ¢Ã¢â€šÂ¬Ã‚Â patientÃƒÂ¢Ã¢â€šÂ¬Ã‚Âapplied/used fluoride e.g. toothpaste, mouthwash, gel or foam, andÃƒÂ¢Ã¢â€šÂ¬Ã‚Â¨ ÃƒÂ¢Ã¢â€šÂ¬Ã‚Â materials that release fluoride over time e.g. glues, elastic bands. Key results ÃƒÂ¢Ã¢â€šÂ¬Ã‚Â¨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ÃƒÂ¢Ã¢â€šÂ¬Ã‚Â¨ The level of belief we have in these findings is low, due to the lack of studies testing the same fluorides and showing the same results. We suggest that more, wellÃƒÂ¢Ã¢â€šÂ¬Ã‚Âconducted studies should be done in this area.</t>
  </si>
  <si>
    <t>- Background Fetal fibronectin (FFN) is an extracellular matrix glycoprotein localized at the maternalÃƒÂ¢Ã¢â€šÂ¬Ã‚Âfetal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ChildbirthÃƒÂ¢Ã¢â€šÂ¬Ã¢â€žÂ¢s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lowÃƒÂ¢Ã¢â€šÂ¬Ã‚Âquality evidence). However, management based on knowledge of FFN results may make little or no difference to preterm birth before 34 (RR 1.09, 95% CI 0.54 to 2.18; 4 trials; 357 women; lowÃƒÂ¢Ã¢â€šÂ¬Ã‚Âquality evidence) or maternal hospitalization (RR 1.06, 95% CI 0.79 to 1.43; 5 trials; 441 women; lowÃƒÂ¢Ã¢â€šÂ¬Ã‚Âquality evidence). The evidence for preterm birth before 32 weeks is uncertain because the quality was found to be very low (average RR 0.79, 95% CI 0.16 to 3.96; 4 trials; 357 women; very lowÃƒÂ¢Ã¢â€šÂ¬Ã‚Âquality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CostÃƒÂ¢Ã¢â€šÂ¬Ã‚Âeffectiveness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ÃƒÂ¢Ã¢â€šÂ¬Ã‹Å“glueÃƒÂ¢Ã¢â€šÂ¬Ã¢â€žÂ¢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womenÃƒÂ¢Ã¢â€šÂ¬Ã¢â€žÂ¢s gestational age at delivery; babies with a birthweight less than 2500 g; newborn deaths; the number of babies with respiratory distress syndrome; giving steroids to mature the unborn babiesÃƒÂ¢Ã¢â€šÂ¬Ã¢â€žÂ¢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</si>
  <si>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Treatment for hepatorenal syndrome in people with decompensated liver cirrhosis: a network metaÃƒÂ¢Ã¢â€šÂ¬Ã‚Âanalysis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</si>
  <si>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metaÃƒÂ¢Ã¢â€šÂ¬Ã‚Âanalysis with OpenBUGS using Bayesian methods and calculated the odds ratio (OR), rate ratio, hazard ratio (HR), and mean difference (MD) with 95% credible intervals (CrI) based on an availableÃƒÂ¢Ã¢â€šÂ¬Ã‚Âcase analysis, according to National Institute of Health and Care Excellence Decision Support Unit guidance. Main results We included a total of 25 trials (1263 participants; 12 interventions) in the review. TwentyÃƒÂ¢Ã¢â€šÂ¬Ã‚Âthree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followÃƒÂ¢Ã¢â€šÂ¬Ã‚Âup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followÃƒÂ¢Ã¢â€šÂ¬Ã‚Âup between the different interventions. None of the trials reported healthÃƒÂ¢Ã¢â€šÂ¬Ã‚Ârelated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followÃƒÂ¢Ã¢â€šÂ¬Ã‚Âup (four trials; 342 participants), or other features of decompensation at maximal followÃƒÂ¢Ã¢â€šÂ¬Ã‚Âup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metaÃƒÂ¢Ã¢â€šÂ¬Ã‚Âanalysis,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lowÃƒÂ¢Ã¢â€šÂ¬Ã‚Âcertainty evidence, there is no evidence of benefit or harm of any of the interventions for hepatorenal syndrome with regards to the following outcomes: allÃƒÂ¢Ã¢â€šÂ¬Ã‚Âcause mortality, serious adverse events (proportion), number of serious adverse events per participant, any adverse events (proportion), liver transplantation, or other decompensation events. LowÃƒÂ¢Ã¢â€šÂ¬Ã‚Âcertainty evidence suggests that albumin plus noradrenaline had fewer 'any adverse events per participant' than albumin plus terlipressin. LowÃƒÂ¢Ã¢â€šÂ¬Ã‚Â or very lowÃƒÂ¢Ã¢â€šÂ¬Ã‚Âcertainty evidence also found that albumin plus midodrine plus octreotide and albumin alone had lower recovery from hepatorenal syndrome compared with albumin plus terlipressin. Future randomised clinical trials should be adequately powered; employ blinding, avoid postÃƒÂ¢Ã¢â€šÂ¬Ã‚Ârandomisation dropouts or planned crossÃƒÂ¢Ã¢â€šÂ¬Ã‚Âovers (or perform an intentionÃƒÂ¢Ã¢â€šÂ¬Ã‚ÂtoÃƒÂ¢Ã¢â€šÂ¬Ã‚Âtreat analysis); and report clinically important outcomes such as mortality, healthÃƒÂ¢Ã¢â€šÂ¬Ã‚Ârelated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metaÃƒÂ¢Ã¢â€šÂ¬Ã‚Âanalysis' or 'multiple treatment comparisons'). The aim is to gather reliable evidence on the relative benefits and harms of the different treatments. Date of literature search ÃƒÂ¢Ã¢â€šÂ¬Ã‚Â¨ December 2018 Key messages ÃƒÂ¢Ã¢â€šÂ¬Ã‚Â¨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HealthÃƒÂ¢Ã¢â€šÂ¬Ã‚Ârelated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liverÃƒÂ¢Ã¢â€šÂ¬Ã‚Âtransplanted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nonÃƒÂ¢Ã¢â€šÂ¬Ã‚Âserious complications, time to liver transplantation, recovery from hepatorenal syndrome, and disappearance of symptoms. What were the main results of the review? The 25 studies included a small number of participants (1263 participants). Study data were sparse. TwentyÃƒÂ¢Ã¢â€šÂ¬Ã‚Âthree studies with 1185 participants provided data for analyses. The followÃƒÂ¢Ã¢â€šÂ¬Ã‚Âup in the trials ranged from one week to six months. The review shows that: ÃƒÂ¢Ã¢â€šÂ¬Ã‚Â About 60 out of every 100 people died within three months, and 35 out of every 100 people recovered from hepatorenal syndrome. ÃƒÂ¢Ã¢â€šÂ¬Ã‚Â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ÃƒÂ¢Ã¢â€šÂ¬Ã‚Â None of the trials reported healthÃƒÂ¢Ã¢â€šÂ¬Ã‚Ârelated quality of life. ÃƒÂ¢Ã¢â€šÂ¬Ã‚Â The number of complications of any severity was lower with albumin plus noradrenaline than albumin plus terlipressin. ÃƒÂ¢Ã¢â€šÂ¬Ã‚Â Recovery from hepatorenal syndrome may be lower with albumin plus midodrine plus octreotide and albumin alone than albumin plus terlipressin and albumin plus noradrenaline. ÃƒÂ¢Ã¢â€šÂ¬Ã‚Â We have very low confidence in the overall results. ÃƒÂ¢Ã¢â€šÂ¬Ã‚Â Future trials with proper design and quality are needed to clarify the best treatment for people with advanced liver disease having hepatorenal syndrome.</t>
  </si>
  <si>
    <t>Perioperative betaÃƒÂ¢Ã¢â€šÂ¬Ã‚Âblockers for preventing surgeryÃƒÂ¢Ã¢â€šÂ¬Ã‚Ârelated mortality and morbidity in adults undergoing nonÃƒÂ¢Ã¢â€šÂ¬Ã‚Âcardiac surgery</t>
  </si>
  <si>
    <t>- Background Randomized controlled trials (RCTs) have yielded conflicting results regarding the ability of betaÃƒÂ¢Ã¢â€šÂ¬Ã‚Âblockers to influence perioperative cardiovascular morbidity and mortality. Thus routine prescription of these drugs in an unselected population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nonÃƒÂ¢Ã¢â€šÂ¬Ã‚Âcardiac surgery only. Objectives To assess the effectiveness of perioperatively administered betaÃƒÂ¢Ã¢â€šÂ¬Ã‚Âblockers for the prevention of surgeryÃƒÂ¢Ã¢â€šÂ¬Ã‚Ârelated mortality and morbidity in adults undergoing nonÃƒÂ¢Ã¢â€šÂ¬Ã‚Âcardiac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nonÃƒÂ¢Ã¢â€šÂ¬Ã‚Âcardiac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quasiÃƒÂ¢Ã¢â€šÂ¬Ã‚Ârandomized studies. All participants were undergoing nonÃƒÂ¢Ã¢â€šÂ¬Ã‚Âcardiac surgery, and types of surgery ranged from low to high risk. Types of betaÃƒÂ¢Ã¢â€šÂ¬Ã‚Âblockers were: propranolol, metoprolol, esmolol, landiolol, nadolol, atenolol, labetalol, oxprenolol, and pindolol. In nine studies, betaÃƒÂ¢Ã¢â€šÂ¬Ã‚Âblockers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multiÃƒÂ¢Ã¢â€šÂ¬Ã‚Âarm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openÃƒÂ¢Ã¢â€šÂ¬Ã‚Âlabel study design. Only two studies were prospectively registered with clinical trials registers, which limited the assessment of reporting bias. In six studies, participants in the control group were given betaÃƒÂ¢Ã¢â€šÂ¬Ã‚Âblockers as rescue therapy during the study period. The evidence for allÃƒÂ¢Ã¢â€šÂ¬Ã‚Âcause mortality at 30 days was uncertain; based on the risk of death in the control group of 25 per 1000, the effect with betaÃƒÂ¢Ã¢â€šÂ¬Ã‚Âblockers was between two fewer and 13 more per 1000 (risk ratio (RR) 1.17, 95% confidence interval (CI) 0.89 to 1.54; 16 studies, 11,446 participants; lowÃƒÂ¢Ã¢â€šÂ¬Ã‚Âcertainty evidence). BetaÃƒÂ¢Ã¢â€šÂ¬Ã‚Âblockers may reduce the incidence of myocardial infarction by 13 fewer incidences per 1000 (RR 0.72, 95% CI 0.60 to 0.87; 12 studies, 10,520 participants; lowÃƒÂ¢Ã¢â€šÂ¬Ã‚Âcertainty evidence). We found no evidence of a difference in cerebrovascular events (RR 1.65, 95% CI 0.97 to 2.81; 6 studies, 9460 participants; lowÃƒÂ¢Ã¢â€šÂ¬Ã‚Âcertainty evidence), or in ventricular arrhythmias (RR 0.72, 95% CI 0.35 to 1.47; 5 studies, 47 participants; very lowÃƒÂ¢Ã¢â€šÂ¬Ã‚Âcertainty evidence). BetaÃƒÂ¢Ã¢â€šÂ¬Ã‚Âblockers may reduce atrial fibrillation or flutter by 26 fewer incidences per 1000 (RR 0.41, 95% CI 0.21 to 0.79; 9 studies, 9080 participants; lowÃƒÂ¢Ã¢â€šÂ¬Ã‚Âcertainty evidence). However, betaÃƒÂ¢Ã¢â€šÂ¬Ã‚Âblockers may increase bradycardia by 55 more incidences per 1000 (RR 2.49, 95% CI 1.74 to 3.56; 49 studies, 12,239 participants; lowÃƒÂ¢Ã¢â€šÂ¬Ã‚Âcertainty evidence), and hypotension by 44 more per 1000 (RR 1.40, 95% CI 1.29 to 1.51; 49 studies, 12,304 participants; moderateÃƒÂ¢Ã¢â€šÂ¬Ã‚Âcertainty evidence). We downgraded the certainty of the evidence owing to study limitations; some studies had high risks of bias, and the effects were sometimes altered when we excluded studies with a standard care control group (including only placeboÃƒÂ¢Ã¢â€šÂ¬Ã‚Âcontrolled trials showed an increase in early mortality and cerebrovascular events with betaÃƒÂ¢Ã¢â€šÂ¬Ã‚Âblockers). We also downgraded for inconsistency; one large, wellÃƒÂ¢Ã¢â€šÂ¬Ã‚Âconducted, international study found a reduction in myocardial infarction, and an increase in cerebrovascular events and allÃƒÂ¢Ã¢â€šÂ¬Ã‚Âcause mortality, when betaÃƒÂ¢Ã¢â€šÂ¬Ã‚Âblockers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allÃƒÂ¢Ã¢â€šÂ¬Ã‚Âcause mortality with perioperative betaÃƒÂ¢Ã¢â€šÂ¬Ã‚Âblockers was uncertain. We found no evidence of a difference in cerebrovascular events or ventricular arrhythmias, and the certainty of the evidence for these outcomes was low and very low. We found lowÃƒÂ¢Ã¢â€šÂ¬Ã‚Âcertainty evidence that betaÃƒÂ¢Ã¢â€šÂ¬Ã‚Âblockers may reduce atrial fibrillation and myocardial infarctions. However, betaÃƒÂ¢Ã¢â€šÂ¬Ã‚Âblockers may increase bradycardia (lowÃƒÂ¢Ã¢â€šÂ¬Ã‚Âcertainty evidence) and probably increase hypotension (moderateÃƒÂ¢Ã¢â€šÂ¬Ã‚Âcertainty evidence). Further evidence from large placeboÃƒÂ¢Ã¢â€šÂ¬Ã‚Âcontrolled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BetaÃƒÂ¢Ã¢â€šÂ¬Ã‚Âblockers to prevent death or serious events after surgery not involving the heart This review assessed evidence from randomized controlled trials (RCTs) on whether betaÃƒÂ¢Ã¢â€šÂ¬Ã‚Âblockers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BetaÃƒÂ¢Ã¢â€šÂ¬Ã‚Âblockers are drugs that block the action of adrenaline and noradrenaline on the heart. BetaÃƒÂ¢Ã¢â€šÂ¬Ã‚Âblockers can slow down the heart, and reduce blood pressure, and this may reduce the risk of serious events. However, betaÃƒÂ¢Ã¢â€šÂ¬Ã‚Âblockers may lead to a very low heart rate or very low blood pressure which could increase the risk of death or a stroke. Prevention of early complications after surgery is important, but using betaÃƒÂ¢Ã¢â€šÂ¬Ã‚Âblockers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betaÃƒÂ¢Ã¢â€šÂ¬Ã‚Âblockers used in the studies were: propranolol, metoprolol, esmolol, landiolol, nadolol, atenolol, labetalol, oxprenolol, and pindolol. Studies compared these betaÃƒÂ¢Ã¢â€šÂ¬Ã‚Âblockers with either a placebo (disguised to look like a betaÃƒÂ¢Ã¢â€šÂ¬Ã‚Âblocker but containing no medicine) or with standard care. Key results BetaÃƒÂ¢Ã¢â€šÂ¬Ã‚Âblockers may make l ttle or no difference to the number of people who die within 30 days of surgery (16 studies, 11,446 participants; lowÃƒÂ¢Ã¢â€šÂ¬Ã‚Âcertainty evidence), have a stroke (6 studies, 9460 participants; lowÃƒÂ¢Ã¢â€šÂ¬Ã‚Âcertainty evidence), or experience ventricular arrhythmias (irregular heartbeat rhythms, starting in the main chambers of the heart, that are potentially lifeÃƒÂ¢Ã¢â€šÂ¬Ã‚Âthreatening and may need immediate medical treatment; 5 studies, 476 participants; very lowÃƒÂ¢Ã¢â€šÂ¬Ã‚Âcertainty evidence). We found that betaÃƒÂ¢Ã¢â€šÂ¬Ã‚Âblockers may reduce atrial fibrillation (an irregular heartbeat, starting in the atrial chambers of the heart, that increases the risk of stroke if untreated; 9 studies, 9080 participants; low certaintyÃƒÂ¢Ã¢â€šÂ¬Ã‚Âevidence), and the number of people who have a heart attack (12 studies, 10,520 participants; lowÃƒÂ¢Ã¢â€šÂ¬Ã‚Âcertainty evidence). However, taking betaÃƒÂ¢Ã¢â€šÂ¬Ã‚Âblockers may increase the number of people who experience a very low heart rate (49 studies, 12,239 participants; lowÃƒÂ¢Ã¢â€šÂ¬Ã‚Âcertainty evidence), or very low blood pressure (49 studies, 12,304 participants; moderateÃƒÂ¢Ã¢â€šÂ¬Ã‚Âcertainty evidence), around the time of surgery. In a few studies, we also found little or no difference in the number of people who died after 30 days, who died because of a heart problem, or had heart failure. We found no evidence of whether betaÃƒÂ¢Ã¢â€šÂ¬Ã‚Âblockers alter the length of time in hospital. No studies assessed whether people who were given betaÃƒÂ¢Ã¢â€šÂ¬Ã‚Âblockers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placeboÃƒÂ¢Ã¢â€šÂ¬Ã‚Âcontrolled studies or studies that reported how participants were randomized. We also found one large, wellÃƒÂ¢Ã¢â€šÂ¬Ã‚Âconducted, international study that had different findings to the smaller studies. It showed a reduction in heart attacks and an increase in stroke and allÃƒÂ¢Ã¢â€šÂ¬Ã‚Âcause mortality when betaÃƒÂ¢Ã¢â€šÂ¬Ã‚Âblockers were used, whilst the other studies did not show a clear effect. We were also less certain of the findings for outcomes with few studies, such as for ventricular arrhythmias. Conclusion Although betaÃƒÂ¢Ã¢â€šÂ¬Ã‚Âblockers may make little or no difference to the number of people who die within 30 days, have a stroke, or have ventricular arrhythmias, they may reduce atrial fibrillation and heart attacks. Taking betaÃƒÂ¢Ã¢â€šÂ¬Ã‚Âblockers may increase the number of people with a very low heart rate or very low blood pressure around the time of surgery. Further evidence from large, placeboÃƒÂ¢Ã¢â€šÂ¬Ã‚Âcontrolled trials is likely to increase the certainty of these findings, and we recommend the assessment of impact on quality of life.</t>
  </si>
  <si>
    <t>Perioperative betaÃƒÂ¢Ã¢â€šÂ¬Ã‚Âblockers for preventing surgeryÃƒÂ¢Ã¢â€šÂ¬Ã‚Ârelated mortality and morbidity in adults undergoing cardiac surgery</t>
  </si>
  <si>
    <t>- Background Randomized controlled trials (RCTs) have yielded conflicting results regarding the ability of betaÃƒÂ¢Ã¢â€šÂ¬Ã‚Âblockers to influence perioperative cardiovascular morbidity and mortality. Thus routine prescription of these drugs in unselected patients remains a controversial issue. A previous version of this review assessing the effectiveness of perioperative betaÃƒÂ¢Ã¢â€šÂ¬Ã‚Âblockers in cardiac and nonÃƒÂ¢Ã¢â€šÂ¬Ã‚Âcardiac surgery was last published in 2018. The previous review has now been split into two reviews according to type of surgery. This is an update and assesses the evidence in cardiac surgery only. Objectives To assess the effectiveness of perioperatively administered betaÃƒÂ¢Ã¢â€šÂ¬Ã‚Âblockers for the prevention of surgeryÃƒÂ¢Ã¢â€šÂ¬Ã‚Ârelated mortality and morbidity in adults undergoing cardiac surgery. Search methods We searched CENTRAL, MEDLINE, Embase, CINAHL, Biosis Previews and Conference Proceedings Citation IndexÃƒÂ¢Ã¢â€šÂ¬Ã‚ÂScience on 28 June 2019. We searched clinical trials registers and grey literature, and conducted backwardÃƒÂ¢Ã¢â€šÂ¬Ã‚Â and forwardÃƒÂ¢Ã¢â€šÂ¬Ã‚Âcitation searching of relevant articles. Selection criteria We included RCTs and quasiÃƒÂ¢Ã¢â€šÂ¬Ã‚Ârandomized studies comparing betaÃƒÂ¢Ã¢â€šÂ¬Ã‚Âblockers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betaÃƒÂ¢Ã¢â€šÂ¬Ã‚Âblocker, and studies in which betaÃƒÂ¢Ã¢â€šÂ¬Ã‚Âblockers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quasiÃƒÂ¢Ã¢â€šÂ¬Ã‚Ârandomized and the remaining were RCTs. All participants were undergoing cardiac surgery, and in most studies, at least some of the participants were previously taking betaÃƒÂ¢Ã¢â€šÂ¬Ã‚Âblockers. Types of betaÃƒÂ¢Ã¢â€šÂ¬Ã‚Âblockers were: propranolol, metoprolol, sotalol, esmolol, landiolol, acebutolol, timolol, carvedilol, nadolol, and atenolol. In twelve studies, betaÃƒÂ¢Ã¢â€šÂ¬Ã‚Âblockers were titrated according to heart rate or blood pressure. Duration of administration varied between studies, as did the time at which drugs were administered; in nine studies this was before surgery, in 20 studies during surgery, and in the remaining studies betaÃƒÂ¢Ã¢â€šÂ¬Ã‚Âblockers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betaÃƒÂ¢Ã¢â€šÂ¬Ã‚Âblockers as rescue therapy during the study period, and all studies in which the control was standard care were at high risk of performance bias because of the openÃƒÂ¢Ã¢â€šÂ¬Ã‚Âlabel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lowÃƒÂ¢Ã¢â€šÂ¬Ã‚Âcertainty evidence that betaÃƒÂ¢Ã¢â€šÂ¬Ã‚Âblockers may make little or no difference to allÃƒÂ¢Ã¢â€šÂ¬Ã‚Âcause mortality at 30 days (risk ratio (RR) 0.95, 95% confidence interval (CI) 0.47 to 1.90; 29 studies, 4099 participants). For myocardial infarctions, we found no evidence of a difference in events (RR 1.05, 95% CI 0.72 to 1.52; 25 studies, 3946 participants; lowÃƒÂ¢Ã¢â€šÂ¬Ã‚Âcertainty evidence). Few study authors reported cerebrovascular events, and the evidence was uncertain (RR 1.37, 95% CI 0.51 to 3.67; 5 studies, 1471 participants; very lowÃƒÂ¢Ã¢â€šÂ¬Ã‚Âcertainty evidence). Based on a control risk of 54 per 1000, we found lowÃƒÂ¢Ã¢â€šÂ¬Ã‚Âcertainty evidence that betaÃƒÂ¢Ã¢â€šÂ¬Ã‚Âblockers may reduce episodes of ventr cular arrhythmias by 32 episodes per 1000 (RR 0.40, 95% CI 0.25 to 0.63; 12 studies, 2296 participants). For atrial fibrillation or flutter, there may be 163 fewer incidences with betaÃƒÂ¢Ã¢â€šÂ¬Ã‚Âblockers, based on a control risk of 327 incidences per 1000 (RR 0.50, 95% CI 0.42 to 0.59; 40 studies, 5650 participants; lowÃƒÂ¢Ã¢â€šÂ¬Ã‚Âcertainty evidence). However, the evidence for bradycardia and hypotension was less certain. We found that betaÃƒÂ¢Ã¢â€šÂ¬Ã‚Âblockers may make little or no difference to bradycardia (RR 1.63, 95% CI 0.92 to 2.91; 12 studies, 1640 participants; lowÃƒÂ¢Ã¢â€šÂ¬Ã‚Âcertainty evidence), or hypotension (RR 1.84, 95% CI 0.89 to 3.80; 10 studies, 1538 participants; lowÃƒÂ¢Ã¢â€šÂ¬Ã‚Âcertainty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allÃƒÂ¢Ã¢â€šÂ¬Ã‚Âcause mortality, myocardial infarction, cerebrovascular events, hypotension and bradycardia. However, there may be a reduction in atrial fibrillation and ventricular arrhythmias when betaÃƒÂ¢Ã¢â€šÂ¬Ã‚Âblockers are used. A larger sample size is likely to increase the certainty of this evidence. Four studies awaiting classification may alter the conclusions of this review. Plain language summary BetaÃƒÂ¢Ã¢â€šÂ¬Ã‚Âblockers to prevent death or serious events after heart surgery This review assessed evidence of whether betaÃƒÂ¢Ã¢â€šÂ¬Ã‚Âblockers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BetaÃƒÂ¢Ã¢â€šÂ¬Ã‚Âblockers are drugs that block the action of adrenaline and noradrenaline on the heart. BetaÃƒÂ¢Ã¢â€šÂ¬Ã‚Âblockers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quasiÃƒÂ¢Ã¢â€šÂ¬Ã‚Ârandomized (participants were allocated to groups by methods such as using hospital record numbers or dates of birth). The types of betaÃƒÂ¢Ã¢â€šÂ¬Ã‚Âblockers were: propranolol, metoprolol, sotalol, esmolol, landiolol, acebutolol, timolol, carvedilol, nadolol, and atenolol. These betaÃƒÂ¢Ã¢â€šÂ¬Ã‚Âblockers were compared with either a placebo (disguised to look like a betaÃƒÂ¢Ã¢â€šÂ¬Ã‚Âblocker but containing no medicine) or with standard care. BetaÃƒÂ¢Ã¢â€šÂ¬Ã‚Âblockers were started before surgery, during surgery or at the latest by the end of the first day after surgery. The length of time betaÃƒÂ¢Ã¢â€šÂ¬Ã‚Âblockers were given varied between studies. In most studies, at least some of the people were already taking betaÃƒÂ¢Ã¢â€šÂ¬Ã‚Âblockers, which would be expected for people who had conditions that needed heart surgery. Key results BetaÃƒÂ¢Ã¢â€šÂ¬Ã‚Âblockers probably make little or no difference to the number of people who die (29 studies, 4099 participants) or have a heart attack (25 studies, 3946 participants) within 30 days of surgery. This w s supported by lowÃƒÂ¢Ã¢â€šÂ¬Ã‚Âcertainty evidence. Few studies reported on people who had a stroke, and we were uncertain whether or not betaÃƒÂ¢Ã¢â€šÂ¬Ã‚Âblockers reduced strokes because the certainty of the evidence was very low (5 studies, 1471 participants). BetaÃƒÂ¢Ã¢â€šÂ¬Ã‚Âblockers may reduce atrial fibrillation, which is an irregular heartbeat starting in the atrial chambers of the heart that increases the risk of stroke if untreated (40 studies, 5650 participants; lowÃƒÂ¢Ã¢â€šÂ¬Ã‚Âcertainty evidence). BetaÃƒÂ¢Ã¢â€šÂ¬Ã‚Âblockers may also reduce ventricular arrhythmias, which are potentially lifeÃƒÂ¢Ã¢â€šÂ¬Ã‚Âthreatening irregular heartbeat rhythms originating in the main chambers of the heart, and which may need immediate medical treatment (12 studies, 2296 participants). We found that betaÃƒÂ¢Ã¢â€šÂ¬Ã‚Âblockers may make little or no difference to whether people experience a very low heart rate or very low blood pressure. We were uncertain whether betaÃƒÂ¢Ã¢â€šÂ¬Ã‚Âblockers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betaÃƒÂ¢Ã¢â€šÂ¬Ã‚Âblockers had a shorter hospital stay by about half a day (14 studies, 2450 participants; lowÃƒÂ¢Ã¢â€šÂ¬Ã‚Âcertainty evidence). No studies assessed whether people on betaÃƒÂ¢Ã¢â€šÂ¬Ã‚Âblockers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placeboÃƒÂ¢Ã¢â€šÂ¬Ã‚Âcontrol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BetaÃƒÂ¢Ã¢â€šÂ¬Ã‚Âblockers may be beneficial for people who are undergoing cardiac surgery because they may reduce the number of people who experience atrial fibrillation and ventricular arrhythmias. BetaÃƒÂ¢Ã¢â€šÂ¬Ã‚Âblockers may make little or no difference to the other outcomes in this review, including death, heart attacks or stroke.</t>
  </si>
  <si>
    <t>- Background Cerebral palsy (CP) is the most common cause of physical disabilities in children in highÃƒÂ¢Ã¢â€šÂ¬Ã‚Âincome countries. Spasticity is the most common motor disturbance in CP. Botulinum toxin type A (BoNTÃƒÂ¢Ã¢â€šÂ¬Ã‚ÂA) is considered the firstÃƒÂ¢Ã¢â€šÂ¬Ã‚Âline treatment for focal spasticity in people with CP. Objectives To evaluate the effectiveness and safety of BoNTÃƒÂ¢Ã¢â€šÂ¬Ã‚ÂA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BoNTÃƒÂ¢Ã¢â€šÂ¬Ã‚ÂA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metaÃƒÂ¢Ã¢â€šÂ¬Ã‚Âanalyses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BoNTÃƒÂ¢Ã¢â€šÂ¬Ã‚ÂA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BoNTÃƒÂ¢Ã¢â€šÂ¬Ã‚ÂA versus usual care or physiotherapy BoNTÃƒÂ¢Ã¢â€šÂ¬Ã‚ÂA might improve overall gait scores at mediumÃƒÂ¢Ã¢â€šÂ¬Ã‚Âterm followÃƒÂ¢Ã¢â€šÂ¬Ã‚Âup (MD 2.80, 95% CI 1.55 to 4.05; 1 study, 40 children; very lowÃƒÂ¢Ã¢â€šÂ¬Ã‚Âquality evidence) and is moderately effective at improving function at shortÃƒÂ¢Ã¢â€šÂ¬Ã‚Âterm (SMD 0.59, 95% CI 0.23 to 0.95; 2 studies, 123 children) and mediumÃƒÂ¢Ã¢â€šÂ¬Ã‚Âterm (SMD 1.04, 95% CI 0.16 to 1.91; 4 studies, 191 children) followÃƒÂ¢Ã¢â€šÂ¬Ã‚Âup (all very lowÃƒÂ¢Ã¢â€šÂ¬Ã‚Âquality evidence). BoNTÃƒÂ¢Ã¢â€šÂ¬Ã‚ÂA improves ankle range of motion, satisfaction, and ankle plantarflexors spasticity at one or more time points (very lowÃƒÂ¢Ã¢â€šÂ¬Ã‚Âquality evidence). The proportion of adverse events in the BoNTÃƒÂ¢Ã¢â€šÂ¬Ã‚ÂA group was 0.37 (95% CI 0.08 to 0.66; I 2 = 95%; very lowÃƒÂ¢Ã¢â€šÂ¬Ã‚Âquality evidence). No adverse events were reported in the control group. BoNTÃƒÂ¢Ã¢â€šÂ¬Ã‚ÂA versus placebo or sham BoNTÃƒÂ¢Ã¢â€šÂ¬Ã‚ÂA improves overall gait scores at shortÃƒÂ¢Ã¢â€šÂ¬Ã‚Âterm (RR 1.66, 95% CI 1.16 to 2.37, P = 0.006; 4 studies, 261 assessments) and mediumÃƒÂ¢Ã¢â€šÂ¬Ã‚Âterm (RR 1.90, 95% CI 1.32 to 2.74, P &lt; 0.001; 3 studies, 248 assessments) followÃƒÂ¢Ã¢â€šÂ¬Ã‚Âup, and may improve peak ankle dorsiflexion in stance (MD 15.90 degrees, 95% CI 4.87 to 26.93, P = 0.005; 1 study, 19 children) and in swing (MD 10.20 degrees, 95% CI 4.01 to 16.39, P = 0.001; 1 study, 19 children) at shortÃƒÂ¢Ã¢â€šÂ¬Ã‚Âterm followÃƒÂ¢Ã¢â€šÂ¬Ã‚Âup (all moderateÃƒÂ¢Ã¢â€šÂ¬Ã‚Âquality evidence). BoNTÃƒÂ¢Ã¢â€šÂ¬Ã‚ÂA is not more effective than placebo or sham at improving function at shortÃƒÂ¢Ã¢â€šÂ¬Ã‚Âterm (SMD 0.24, 95% CI ÃƒÂ¢Ã‹â€ Ã¢â‚¬â„¢0.35 to 0.83, P = 0.42; 4 studies, 305 children) or longÃƒÂ¢Ã¢â€šÂ¬Ã‚Âterm (SMD ÃƒÂ¢Ã‹â€ Ã¢â‚¬â„¢0.07, 95% CI ÃƒÂ¢Ã‹â€ Ã¢â‚¬â„¢0.48 to 0.35, P = 0.76; 2 studies, 91 children) followÃƒÂ¢Ã¢â€šÂ¬Ã‚Âup, but has a small positive effect at mediumÃƒÂ¢Ã¢â€šÂ¬Ã‚Âterm followÃƒÂ¢Ã¢â€šÂ¬Ã‚Âup (SMD 0.28, 95% CI 0.06 to 0.49, P = 0.01; 5 studies, 327 children) (all moderateÃƒÂ¢Ã¢â€šÂ¬Ã‚Âquality evidence). BoNTÃƒÂ¢Ã¢â€šÂ¬Ã‚ÂA improves passive ankle range of motion, satisfaction, and ankle plantarflexors spasticity at one or more time points (moderateÃƒÂ¢Ã¢â€šÂ¬Ã‚Âquality evidence). There was no difference between groups in the rate of adverse events at shortÃƒÂ¢Ã¢â€šÂ¬Ã‚Âterm followÃƒÂ¢Ã¢â€šÂ¬Ã‚Âup (RR 1.29, 95% CI 0.87 to 1.93, P = 0.21; 12 studies, 918 children; moderateÃƒÂ¢Ã¢â€šÂ¬Ã‚Âquality evidence). BoNTÃƒÂ¢Ã¢â€šÂ¬Ã‚ÂA versus serial casting There was no difference between groups for overall gait scores at shortÃƒÂ¢Ã¢â€šÂ¬Ã‚Âterm (MD 0.00, 95% CI ÃƒÂ¢Ã‹â€ Ã¢â‚¬â„¢1.66 to 1.66); mediumÃƒÂ¢Ã¢â€šÂ¬Ã‚Âterm (MD 0.65, 95% CI ÃƒÂ¢Ã‹â€ Ã¢â‚¬â„¢1.21 to 2.51); or longÃƒÂ¢Ã¢â€šÂ¬Ã‚Âterm (MD 0.46, 95% CI ÃƒÂ¢Ã‹â€ Ã¢â‚¬â„¢1.33 to 2.25) followÃƒÂ¢Ã¢â€šÂ¬Ã‚Âup in one study with 18 children (moderateÃƒÂ¢Ã¢â€šÂ¬Ã‚Âquality evidence). BoNTÃƒÂ¢Ã¢â€šÂ¬Ã‚ÂA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(moderateÃƒÂ¢Ã¢â€šÂ¬Ã‚Â and lowÃƒÂ¢Ã¢â€šÂ¬Ã‚Âquality evidence). BoNTÃƒÂ¢Ã¢â€šÂ¬Ã‚ÂA is not more effective than serial casting at improving function, ankle range of motion, and spasticity at any time point (moderateÃƒÂ¢Ã¢â€šÂ¬Ã‚Â and lowÃƒÂ¢Ã¢â€šÂ¬Ã‚Âquality evidence). BoNTÃƒÂ¢Ã¢â€šÂ¬Ã‚ÂA is not associated with a higher risk of adverse events than serial casting (RR 0.59, 95% CI 0.03 to 11.03; 3 studies, 64 children; lowÃƒÂ¢Ã¢â€šÂ¬Ã‚Âquality evidence). BoNTÃƒÂ¢Ã¢â€šÂ¬Ã‚ÂA versus orthoses There was no difference between groups for function at mediumÃƒÂ¢Ã¢â€šÂ¬Ã‚Âterm followÃƒÂ¢Ã¢â€šÂ¬Ã‚Âup (MD 11.14, 95% CI ÃƒÂ¢Ã‹â€ Ã¢â‚¬â„¢0.05 to 22.33; 1 study, 43 children), but BoNTÃƒÂ¢Ã¢â€šÂ¬Ã‚ÂA is more effective than orthoses at improving hip range of motion and hip adductors spasticity (all very lowÃƒÂ¢Ã¢â€šÂ¬Ã‚Âquality evidence). Authors' conclusions The quality of the evidence was low or very low for most of the outcomes analysed. We found limited evidence that BoNTÃƒÂ¢Ã¢â€šÂ¬Ã‚ÂA is more effective than placebo or a nonÃƒÂ¢Ã¢â€šÂ¬Ã‚Âplacebo control at improving gait, joint range of motion, satisfaction, and lower limb spasticity in children with CP, whereas the results for function were contradictory. The rate of adverse events with BoNTÃƒÂ¢Ã¢â€šÂ¬Ã‚ÂA is similar to placebo. BoNTÃƒÂ¢Ã¢â€šÂ¬Ã‚ÂA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nonÃƒÂ¢Ã¢â€šÂ¬Ã‚Âprogressive,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(BoNTÃƒÂ¢Ã¢â€šÂ¬Ã‚ÂA; a poisonous biological substance that is thought to relieve spasticity by reducing muscle overactivity when injected into the muscle). This review looked at the effects of BoNTÃƒÂ¢Ã¢â€šÂ¬Ã‚ÂA. Review question The aim of this review was to assess and summarise scientific studies comparing BoNTÃƒÂ¢Ã¢â€šÂ¬Ã‚ÂA injections to other treatments for lower limb spasticity in children with CP. Study characteristics We found 31 studies assessing 1508 participants. The use of BoNTÃƒÂ¢Ã¢â€šÂ¬Ã‚ÂA in the lower limb muscles was compared to: (1) children's regular care or physiotherapy, (2) placebo (fake injections), (3) a series of belowÃƒÂ¢Ã¢â€šÂ¬Ã‚Âknee plaster casts, and (4) leg splints. Key results Children receiving BoNTÃƒÂ¢Ã¢â€šÂ¬Ã‚ÂA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BoNTÃƒÂ¢Ã¢â€šÂ¬Ã‚ÂA injections. The rate of side effects was similar when comparing BoNTÃƒÂ¢Ã¢â€šÂ¬Ã‚ÂA injections to placebo. BoNTÃƒÂ¢Ã¢â€šÂ¬Ã‚ÂA injections and plaster cas s below the knee produced similar benefits in walking and joint motion and relieving spasms. In addition, BoNTÃƒÂ¢Ã¢â€šÂ¬Ã‚ÂA provided better results in terms of joint range of motion compared to a specific type of splinting (Johnstone pressure splints). Quality of the evidence We considered the quality of the evidence as very low for the comparison BoNTÃƒÂ¢Ã¢â€šÂ¬Ã‚ÂA versus usual care or physiotherapy; moderate for the comparison BoNTÃƒÂ¢Ã¢â€šÂ¬Ã‚ÂA versus placebo; moderate and low for the comparison BoNTÃƒÂ¢Ã¢â€šÂ¬Ã‚ÂA versus plaster casts; and very low for the comparison BoNTÃƒÂ¢Ã¢â€šÂ¬Ã‚ÂA versus splints. Conclusion There is limited evidence that, compared to placebo or regular care, BoNTÃƒÂ¢Ã¢â€šÂ¬Ã‚ÂA improves walking, joint motion, satisfaction with the outcome of treatment, and muscle spasticity in children with CP. The rate of side effects with BoNTÃƒÂ¢Ã¢â€šÂ¬Ã‚ÂA was similar to placebo. BoNTÃƒÂ¢Ã¢â€šÂ¬Ã‚ÂA was no better than plaster casts in any of our analyses, but was better than splints at improving range of motion and spasticity.</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</si>
  <si>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firstÃƒÂ¢Ã¢â€šÂ¬Ã‚Âline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ShortÃƒÂ¢Ã¢â€šÂ¬Ã‚Âcycle progestogen therapy during the luteal phase (medroxyprogesterone acetate or norethisterone for 7 to 10 days, from day 15 to 19) was inferior to other medical therapy, including tranexamic acid, danazol and the progestogenÃƒÂ¢Ã¢â€šÂ¬Ã‚Âreleasing intrauterine system (PgÃƒÂ¢Ã¢â€šÂ¬Ã‚ÂIUS (off the market since 2001)), releasing 60 mcg of progesterone daily, with respect to reduction of menstrual blood loss (mean difference (MD) 37.29, 95% confidence interval (CI) 17.67 to 56.91; I 2 = 50%; 6 trials, 145 women, lowÃƒÂ¢Ã¢â€šÂ¬Ã‚Âquality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LongÃƒÂ¢Ã¢â€šÂ¬Ã‚Âcycle progestogen therapy (medroxyprogesterone acetate or norethisterone), from day 5 to day 26 of the menstrual cycle, is also inferior compared to the levonorgestrelÃƒÂ¢Ã¢â€šÂ¬Ã‚Âreleasing intrauterine system (LNGÃƒÂ¢Ã¢â€šÂ¬Ã‚ÂIUS), tranexamic acid and ormeloxifene, ut may be similar to the combined vaginal ring with respect to reduction of menstrual blood loss (MD 16.88, 95% CI 10.93 to 22.84; I 2 = 87%; 4 trials, 355 women, very lowÃƒÂ¢Ã¢â€šÂ¬Ã‚Âquality evidence). There was no clear evidence of a difference between progestogen therapy long cycle and other medical therapy in terms of headache (OR 1.45, 95% CI 0.40 to 5.31; I 2 = 0%; 2 trials, 189 women; lowÃƒÂ¢Ã¢â€šÂ¬Ã‚Âquality evidence). Breakthrough bleeding or spotting was more likely in women with the LNGÃƒÂ¢Ã¢â€šÂ¬Ã‚ÂIUS (OR 0.18, 95% CI 0.06 to 0.55; I 2 = 0%; 3 trials, 220 women; lowÃƒÂ¢Ã¢â€šÂ¬Ã‚Âquality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LowÃƒÂ¢Ã¢â€šÂ¬Ã‚Â or very lowÃƒÂ¢Ã¢â€šÂ¬Ã‚Âquality evidence suggests that shortÃƒÂ¢Ã¢â€šÂ¬Ã‚Âcourse progestogen was inferior to other medical therapy, including tranexamic acid, danazol and the PgÃƒÂ¢Ã¢â€šÂ¬Ã‚ÂIUS with respect to reduction of menstrual blood loss. Long cycle progestogen therapy (medroxyprogesterone acetate or norethisterone) was also inferior to the LNGÃƒÂ¢Ã¢â€šÂ¬Ã‚ÂIUS,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PgÃƒÂ¢Ã¢â€šÂ¬Ã‚ÂIUS.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levonorgestrelÃƒÂ¢Ã¢â€šÂ¬Ã‚Âreleasing intrauterine device. No studies in this comparison reported on quality of life. Satisfaction with treatment was similar to women using the combined vaginal ring, but there were no data to compare satisfaction between long cycle and LNGÃƒÂ¢Ã¢â€šÂ¬Ã‚ÂIUS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</si>
  <si>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studyÃƒÂ¢Ã¢â€šÂ¬Ã‚Âbased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ÃƒÂ¢Ã¢â€šÂ¬Ã‹Å“transition to psychosisÃƒÂ¢Ã¢â€šÂ¬Ã¢â€žÂ¢. For details of other main outcomes please see 'Summary of findings' tables. In Group A (comparisons of absolute effects) we found no clear difference between amino acids and placebo (risk ratio (RR) 0.48 95% confidence interval (CI) 0.08 to 2.98; 2 RCTs, 52 participants; very lowÃƒÂ¢Ã¢â€šÂ¬Ã‚Âquality evidence). When omegaÃƒÂ¢Ã¢â€šÂ¬Ã‚Â3 fatty acids were compared to placebo, fewer participants given the omegaÃƒÂ¢Ã¢â€šÂ¬Ã‚Â3 (10%) transitioned to psychosis compared to the placebo group (33%) during longÃƒÂ¢Ã¢â€šÂ¬Ã‚Âterm followÃƒÂ¢Ã¢â€šÂ¬Ã‚Âup of seven years (RR 0.24 95% CI 0.09 to 0.67; 1 RCT, 81 participants; lowÃƒÂ¢Ã¢â€šÂ¬Ã‚Âquality evidence). In Group B (comparisons where complex interactions are probable) and in the subgroup focusing on antipsychotic drugs added to specific care packages, the amisulpiride + needsÃƒÂ¢Ã¢â€šÂ¬Ã‚Âfocused intervention (NFI) compared to NFI comparison (no reporting of transition to psychosis; 1 RCT, 102 participants; very lowÃƒÂ¢Ã¢â€šÂ¬Ã‚Âquality evidence) and the olanzapine + supportive intervention compared to supportive intervention alone comparison (RR 0.58 95% CI 0.28 to 1.18; 1 RCT, 60 participants; very lowÃƒÂ¢Ã¢â€šÂ¬Ã‚Âquality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followÃƒÂ¢Ã¢â€šÂ¬Ã‚Âup by 18 months, compared with double that percentage in the supportive therapy alone group (RR 0.45 95% CI 0.23 to 0.89; 2 RCTs, 252 participants; very lowÃƒÂ¢Ã¢â€šÂ¬Ã‚Âquality evidence). The CBT + risperidone versus CBT + placebo comparison identified no clear difference between treatments (RR 1.02 95% CI 0.39 to 2.67; 1 RCT, 87 participants; very lowÃƒÂ¢Ã¢â€šÂ¬Ã‚Âquality evidence) and this also applies to the CBT + needsÃƒÂ¢Ã¢â€šÂ¬Ã‚Âbased intervention (NBI) + risperidone versus NBI comparison (RR 0.75 95% CI 0.39 to 1.46; 1 RCT, 59 participants; very lowÃƒÂ¢Ã¢â€šÂ¬Ã‚Âquality evidence). Group C (differential effects) also involved six comparisons. The first compared CBT with supportive therapy. No clear difference was found for the ÃƒÂ¢Ã¢â€šÂ¬Ã‹Å“transition to psychosisÃƒÂ¢Ã¢â€šÂ¬Ã¢â€žÂ¢ outcome (RR 0.74 95% CI 0.28 to 1.98; 1 RCT, 72 participants; very lowÃƒÂ¢Ã¢â€šÂ¬Ã‚Âquality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lowÃƒÂ¢Ã¢â€šÂ¬Ã‚Âquality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lowÃƒÂ¢Ã¢â€šÂ¬Ã‚Âquality evidence) and integrated treatment compared to standard treatment comparison (RR 0.57 95% CI 0.28 to 1.15; 1 RCT, 79 participants; very lowÃƒÂ¢Ã¢â€šÂ¬Ã‚Âquality evidence) no effects of any of these approaches was evident. Authors' conclusions There has been considerable research effort in this area and several interventions have been trialled. The evidence available suggests that omegaÃƒÂ¢Ã¢â€šÂ¬Ã‚Â3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highÃƒÂ¢Ã¢â€šÂ¬Ã‚Âquality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nonÃƒÂ¢Ã¢â€šÂ¬Ã‚Âspecific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omegaÃƒÂ¢Ã¢â€šÂ¬Ã‚Â3 fatty acids in terms of reduced transition to psychosis. Other studies found adding antipsychotic drugs to supportiveÃƒÂ¢Ã¢â€šÂ¬Ã‚Âcare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followÃƒÂ¢Ã¢â€šÂ¬Ã‚Âup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lowÃƒÂ¢Ã¢â€šÂ¬Ã‚Âquality evidence suggesting that omegaÃƒÂ¢Ã¢â€šÂ¬Ã‚Â3 fatty acids may be effective, but there is no highÃƒÂ¢Ã¢â€šÂ¬Ã‚Âquality evidence to suggest that any type of treatment is effective, and no firm conclusions can be made.</t>
  </si>
  <si>
    <t>- Background Acute anterior shoulder dislocation, which is the most common type of dislocation, usually results from an injury. Subsequently, the shoulder is less stable and is more susceptible to reÃƒÂ¢Ã¢â€šÂ¬Ã‚Âdislocation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quasiÃƒÂ¢Ã¢â€šÂ¬Ã‚Ârandomised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reÃƒÂ¢Ã¢â€šÂ¬Ã‚Âdislocation, patientÃƒÂ¢Ã¢â€šÂ¬Ã‚Âreported shoulder instability measures and return to preÃƒÂ¢Ã¢â€šÂ¬Ã‚Âinjury activities. Secondary outcomes included participant satisfaction, healthÃƒÂ¢Ã¢â€šÂ¬Ã‚Ârelated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quasiÃƒÂ¢Ã¢â€šÂ¬Ã‚Ârandomised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followÃƒÂ¢Ã¢â€šÂ¬Ã‚Âup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reÃƒÂ¢Ã¢â€šÂ¬Ã‚Âdislocation after 12 months' or longer followÃƒÂ¢Ã¢â€šÂ¬Ã‚Âup compared with immobilisation in internal rotation (55/245 versus 73/243; risk ratio (RR) 0.67, 95% confidence interval (CI) 0.38 to 1.19; 488 participants; 6 studies; IÃƒâ€šÃ‚Â² = 61%; very low certainty evidence). In a moderateÃƒÂ¢Ã¢â€šÂ¬Ã‚Ârisk population with an illustrative risk of 312 per 1000 people experiencing a dislocation in the internal rotation group, this equates to 103 fewer (95% CI 194 fewer to 60 more) reÃƒÂ¢Ã¢â€šÂ¬Ã‚Âdislocations after immobilisation in external rotation. Thus this result covers the possibility of a benefit for each intervention. Individually, the four studies (380 participants) reporting on validated patientÃƒÂ¢Ã¢â€šÂ¬Ã‚Âreported outcome measures for shoulder instability at a minimum of 12 months' followÃƒÂ¢Ã¢â€šÂ¬Ã‚Âup found no evidence of a clinically important difference between the two interventions. We are uncertain of the relative effects of the two methods of immobilisat on on resumption of preÃƒÂ¢Ã¢â€šÂ¬Ã‚Âinjury activities or sports. One study (169 participants) found no evidence of a difference between interventions in the return to preÃƒÂ¢Ã¢â€šÂ¬Ã‚Âinjury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goodÃƒÂ¢Ã¢â€šÂ¬Ã‚Âquality, wellÃƒÂ¢Ã¢â€šÂ¬Ã‚Âreported randomised controlled trials with longÃƒÂ¢Ã¢â€šÂ¬Ã‚Âterm followÃƒÂ¢Ã¢â€šÂ¬Ã‚Âup. Future research should aim to determine the optimal immobilisation duration, precise indications for immobilisation, optimal rehabilitation interventions, and the acceptability of these different interventions. Plain language summary NonÃƒÂ¢Ã¢â€šÂ¬Ã‚Âsurgical management after nonÃƒÂ¢Ã¢â€šÂ¬Ã‚Âsurgical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reÃƒÂ¢Ã¢â€šÂ¬Ã‚Âdislocation, especially in active young adults. Initial treatment involves putting the joint back in place. This is called ÃƒÂ¢Ã¢â€šÂ¬Ã‹Å“closed reductionÃƒÂ¢Ã¢â€šÂ¬Ã¢â€žÂ¢ when it is done without surgery. Subsequent treatment is often conservative (nonÃƒÂ¢Ã¢â€šÂ¬Ã‚Âsurgical)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reÃƒÂ¢Ã¢â€šÂ¬Ã‚Âdislocation, patientÃƒÂ¢Ã¢â€šÂ¬Ã‚Âreported shoulder instability measures (usually questionnaires) and return to preÃƒÂ¢Ã¢â€šÂ¬Ã‚Âinjury activities. Further outcomes of interest included patientsÃƒÂ¢Ã¢â€šÂ¬Ã¢â€žÂ¢ satisfaction with the intervention, healthÃƒÂ¢Ã¢â€šÂ¬Ã‚Ârelated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reÃƒÂ¢Ã¢â€šÂ¬Ã‚Âdislocation at oneÃƒÂ¢Ã¢â€šÂ¬Ã‚Âyear or more followÃƒÂ¢Ã¢â€šÂ¬Ã‚Âup compared with immobilisation in internal rotation. None of the four studies reporting on patientÃƒÂ¢Ã¢â€šÂ¬Ã‚Âreported outcome measures for shoulder instability at a minimum of oneÃƒÂ¢Ã¢â€šÂ¬Ã‚Âyear followÃƒÂ¢Ã¢â€šÂ¬Ã‚Âup found evidence of any important difference between the two interventions. We are uncertain of the relative effects of the two methods of immobilisation on resumption of preÃƒÂ¢Ã¢â€šÂ¬Ã‚Âinjury activities or sports. One study found no evidence of a difference between interventions in the return to preÃƒÂ¢Ã¢â€šÂ¬Ã‚Âinjury activity of the affected arm. Two other studies found greater return to sports in the external rotation group in a small group of participants who had sustained their injury during sports activities. None of the trials reported on participant satisfaction or healthÃƒÂ¢Ã¢â€šÂ¬Ã‚Ârelated quality of life. We are uncertain whether there is a difference between the two interventions in the number of participants experiencing instability, defined as either reÃƒÂ¢Ã¢â€šÂ¬Ã‚Âdislocation or subluxation (a partial dislocation). The reporting of adverse events (complications) was unsatisfactory. There were reports of nine cases of shortÃƒÂ¢Ã¢â€šÂ¬Ã‚Âterm shoulder stiffness in the external rotation group and two cases of underÃƒÂ¢Ã¢â€šÂ¬Ã‚Âarm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</si>
  <si>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include_stage6</t>
  </si>
  <si>
    <t>reason_stage6</t>
  </si>
  <si>
    <t>main_shift</t>
  </si>
  <si>
    <t>shifts_detected</t>
  </si>
  <si>
    <t>confidence_stage6</t>
  </si>
  <si>
    <t>Focuses on cost-effectiveness of a treatment, not NHS shifts.</t>
  </si>
  <si>
    <t>None</t>
  </si>
  <si>
    <t>Focuses on treatment efficacy, not NHS shifts.</t>
  </si>
  <si>
    <t>Prevention</t>
  </si>
  <si>
    <t>Focuses on treatment comparison, not aligned with NHS shifts.</t>
  </si>
  <si>
    <t>Focuses on perioperative beta-blockers, not NHS shifts.</t>
  </si>
  <si>
    <t>Focuses on treatment post-injury, not on NHS Three Shifts.</t>
  </si>
  <si>
    <t>Focus on prevention through diet and physical activity interventions.</t>
  </si>
  <si>
    <t>No shift</t>
  </si>
  <si>
    <t>Prevention?</t>
  </si>
  <si>
    <t>Community</t>
  </si>
  <si>
    <t>Digital</t>
  </si>
  <si>
    <t>Community - also Prevention</t>
  </si>
  <si>
    <t>Prevention (but more focussed on the model)</t>
  </si>
  <si>
    <t>No shift (could be Prevention)</t>
  </si>
  <si>
    <t xml:space="preserve">No shift </t>
  </si>
  <si>
    <t>FF_include_stage6</t>
  </si>
  <si>
    <t>Focuses on treatment rather than prevention or community care.</t>
  </si>
  <si>
    <t>Focuses on pharmaceutical value, not NHS shifts.</t>
  </si>
  <si>
    <t>Focus on preventing preterm birth aligns with prevention shift.</t>
  </si>
  <si>
    <t>Focuses on cost-effectiveness of a drug, not NHS Three Shifts.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</si>
  <si>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Ãƒâ€šÃ‚Â© 2019 European Centre for Disease Prevention and Control (ECDC). All rights reserved.</t>
  </si>
  <si>
    <t>Focuses on varicella burden, not on NHS shifts.</t>
  </si>
  <si>
    <t>Focus on cost and access, not NHS shifts.</t>
  </si>
  <si>
    <t>Focuses on cost and access, not NHS Three Shifts.</t>
  </si>
  <si>
    <t>ÃƒÂ¢Ã¢â€šÂ¬Ã¢â‚¬Â¹Primary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</si>
  <si>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InÃƒÂ¢Ã¢â€šÂ¬Ã‚ÂProcess &amp; Other NonÃƒÂ¢Ã¢â€šÂ¬Ã‚ÂIndexed Citations); Ovid Embase and EBSCO CINAHL Plus. We also searched clinical trials registries for ongoing and unpublished studies, and scanned reference lists of relevant included studies as well as reviews, metaÃƒÂ¢Ã¢â€šÂ¬Ã‚Âanalyses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fullÃƒÂ¢Ã¢â€šÂ¬Ã‚Âtext publications, applied the inclusion criteria, and extracted data. We pooled data using a randomÃƒÂ¢Ã¢â€šÂ¬Ã‚Âeffects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infectionÃƒÂ¢Ã¢â€šÂ¬Ã‚Âfree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ÃƒÂ¢Ã¢â€šÂ¬Ã‚Â1.31, 95% CI ÃƒÂ¢Ã¢â€šÂ¬Ã‚Â2.03 to ÃƒÂ¢Ã¢â€šÂ¬Ã‚Â0.59; 1 study, 182 participants). The certainty of evidence for this outcome was judged to be moderate (we downgraded our assessment by one level for imprecision). We are uncertain whether primary closure improves the proportion of dog bite wounds that are infectionÃƒÂ¢Ã¢â€šÂ¬Ã‚Âfree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highÃƒÂ¢Ã¢â€šÂ¬Ã‚Âcertainty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lowerÃƒÂ¢Ã¢â€šÂ¬Ã‚Âincome countries bites can also be caused by wild animals. Dogs are generally responsible for the majority of bites. Bite wounds are at high risk of infection as microbes are transmitted into the wound from the animal's mouth. In lowerÃƒÂ¢Ã¢â€šÂ¬Ã‚Âincome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infectionÃƒÂ¢Ã¢â€šÂ¬Ã‚Âfree compared with no closure (very lowÃƒÂ¢Ã¢â€šÂ¬Ã‚Âcertainty evidence from two studies including a total of 782 people) and compared with delayed closure (very lowÃƒÂ¢Ã¢â€šÂ¬Ã‚Âcertainty evidence from one study with a total of 120 people). There is little difference in the appearance of dog bite wounds when primary closure is compared with no closure (moderateÃƒÂ¢Ã¢â€šÂ¬Ã‚Âcertainty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</si>
  <si>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Focuses on wound closure methods, not NHS shifts.</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</si>
  <si>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(XpressIveÃƒâ€šÃ‚Â©) and Discrete-Even Simulation (Simul8 Ãƒâ€šÃ‚Â©).Various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</si>
  <si>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Explores moving neurorehabilitation from hospital to community outreach.</t>
  </si>
  <si>
    <t>Focuses on drug cost optimisation, not NHS shifts.</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</si>
  <si>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Ãƒâ€šÃ‚Â© 2019</t>
  </si>
  <si>
    <t>Focuses on drug uptake, not NHS shifts.</t>
  </si>
  <si>
    <t>Focuses on treatment comparison, not on NHS Three Shifts.</t>
  </si>
  <si>
    <t>Focuses on perioperative beta-blockers, not aligned with NHS shifts.</t>
  </si>
  <si>
    <t>- Background Heavy menstrual bleeding (HMB) is a significant health problem in premenopausal women; it can reduce their quality of life and can cause social disruption and physical problems such as iron deficiency anaemia. FirstÃƒÂ¢Ã¢â€šÂ¬Ã‚Âline treatment has traditionally consisted of medical therapy (hormonal and nonÃƒÂ¢Ã¢â€šÂ¬Ã‚Âhormonal),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FirstÃƒÂ¢Ã¢â€šÂ¬Ã‚Âgeneration techniques require visualisation of the uterus with a hysteroscope during the procedure; although it is safe, this procedure requires specific technical skills. Newer techniques for endometrial ablation (secondÃƒÂ¢Ã¢â€šÂ¬Ã‚Â and thirdÃƒÂ¢Ã¢â€šÂ¬Ã‚Âgeneration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firstÃƒÂ¢Ã¢â€šÂ¬Ã‚Â and secondÃƒÂ¢Ã¢â€šÂ¬Ã‚Âgeneration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secondÃƒÂ¢Ã¢â€šÂ¬Ã‚Âgeneration versus firstÃƒÂ¢Ã¢â€šÂ¬Ã‚Âgeneration (i.e. gold standard hysteroscopic ablative) techniques revealed no evidence of differences in amenorrhoea at 1 year and 2 to 5 years' followÃƒÂ¢Ã¢â€šÂ¬Ã‚Âup (risk ratio (RR) 0.99, 95% confidence interval (CI) 0.78 to 1.27; 12 studies; 2145 women; IÃƒâ€šÃ‚Â² = 77%; and RR 1.16, 95% CI 0.78 to 1.72; 672 women; 4 studies; IÃƒâ€šÃ‚Â² = 80%; very lowÃƒÂ¢Ã¢â€šÂ¬Ã‚Âquality evidence) and showed subjective improvement at 1 year followÃƒÂ¢Ã¢â€šÂ¬Ã‚Âup based on a Pictorial Blood Assessment Chart (PBAC) (&lt; 75 or acceptable improvement) (RR 1.03, 95% CI 0.98 to 1.09; 5 studies; 1282 women; IÃƒâ€šÃ‚Â² = 0%; and RR 1.12, 95% CI 0.97 to 1.28; 236 women; 1 study; lowÃƒÂ¢Ã¢â€šÂ¬Ã‚Âquality evidence). Study results showed no difference in patient satisfaction between secondÃƒÂ¢Ã¢â€šÂ¬Ã‚Â and firstÃƒÂ¢Ã¢â€šÂ¬Ã‚Âgeneration techniques at 1 year followÃƒÂ¢Ã¢â€šÂ¬Ã‚Âup (RR 1.01, 95% CI 0.98 to 1.04; 11 studies; 1750 women; IÃƒâ€šÃ‚Â² = 36%; lowÃƒÂ¢Ã¢â€šÂ¬Ã‚Âquality evidence) nor at 2 to 5 years' followÃƒÂ¢Ã¢â€šÂ¬Ã‚Âup (RR 1.02, 95% CI 0.93 t 1.13; 672 women; 4 studies; IÃƒâ€šÃ‚Â² = 81%). Compared with firstÃƒÂ¢Ã¢â€šÂ¬Ã‚Âgeneration techniques, secondÃƒÂ¢Ã¢â€šÂ¬Ã‚Âgeneration endometrial ablation techniques were associated with shorter operating times (mean difference (MD) ÃƒÂ¢Ã¢â€šÂ¬Ã‚Â13.52 minutes, 95% CI ÃƒÂ¢Ã¢â€šÂ¬Ã‚Â16.90 to ÃƒÂ¢Ã¢â€šÂ¬Ã‚Â10.13; 9 studies; 1822 women; lowÃƒÂ¢Ã¢â€šÂ¬Ã‚Âquality evidence) and more often were performed under local rather than general anaesthesia (RR 2.8, 95% CI 1.8 to 4.4; 6 studies; 1434 women; lowÃƒÂ¢Ã¢â€šÂ¬Ã‚Âquality evidence). We are uncertain whether perforation rates differed between secondÃƒÂ¢Ã¢â€šÂ¬Ã‚Â and firstÃƒÂ¢Ã¢â€šÂ¬Ã‚Âgeneration techniques (RR 0.32, 95% CI 0.10 to 1.01; 1885 women; 8 studies; IÃƒâ€šÃ‚Â² = 0%). Trials reported little or no difference between secondÃƒÂ¢Ã¢â€šÂ¬Ã‚Â and firstÃƒÂ¢Ã¢â€šÂ¬Ã‚Âgeneration techniques in requirement for additional surgery (ablation or hysterectomy) at 1 year followÃƒÂ¢Ã¢â€šÂ¬Ã‚Âup (RR 0.72, 95% CI 0.41 to 1.26; 6 studies: 935 women; lowÃƒÂ¢Ã¢â€šÂ¬Ã‚Âquality evidence). At 5 years, results showed probably little or no difference between groups in the requirement for hysterectomy (RR 0.85, 95% CI 0.59 to 1.22; 4 studies; 758 women; moderateÃƒÂ¢Ã¢â€šÂ¬Ã‚Âquality evidence). Authors' conclusions Approaches to endometrial ablation have evolved from firstÃƒÂ¢Ã¢â€šÂ¬Ã‚Âgeneration techniques to newer secondÃƒÂ¢Ã¢â€šÂ¬Ã‚Â and thirdÃƒÂ¢Ã¢â€šÂ¬Ã‚Âgeneration approaches. Current evidence suggests that compared to firstÃƒÂ¢Ã¢â€šÂ¬Ã‚Âgeneration techniques (endometrial laser ablation, transcervical resection of the endometrium, rollerball endometrial ablation), secondÃƒÂ¢Ã¢â€šÂ¬Ã‚Âgeneration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SecondÃƒÂ¢Ã¢â€šÂ¬Ã‚Âgeneration techniques are associated with shorter operating times and are performed more often under local rather than general anaesthesia. It is uncertain whether perforation rates differed between secondÃƒÂ¢Ã¢â€šÂ¬Ã‚Â and firstÃƒÂ¢Ã¢â€šÂ¬Ã‚Âgeneration techniques. Evidence was insufficient to show which secondÃƒÂ¢Ã¢â€šÂ¬Ã‚Âgeneration approaches were superior to others and to reveal the efficacy and safety of thirdÃƒÂ¢Ã¢â€šÂ¬Ã‚Âgeneration approaches versus firstÃƒÂ¢Ã¢â€šÂ¬Ã‚Â and secondÃƒÂ¢Ã¢â€šÂ¬Ã‚Âgeneration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firstÃƒÂ¢Ã¢â€šÂ¬Ã‚Â, secondÃƒÂ¢Ã¢â€šÂ¬Ã‚Â and thirdÃƒÂ¢Ã¢â€šÂ¬Ã‚Âgeneration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ModerateÃƒÂ¢Ã¢â€šÂ¬Ã‚Â to very lowÃƒÂ¢Ã¢â€šÂ¬Ã‚Âquality evidence suggests that firstÃƒÂ¢Ã¢â€šÂ¬Ã‚Â and secondÃƒÂ¢Ã¢â€šÂ¬Ã‚Âgeneration approaches were equally effective in the treatment of HMB. Newer (secondÃƒÂ¢Ã¢â€šÂ¬Ã‚Âgeneration) treatment approaches were safer in terms of rate of fluid overload, cervical lacerations, and haematometra, with similar rates of uterine perforation. The newer approaches (secondÃƒÂ¢Ã¢â€šÂ¬Ã‚Âgeneration ablation) w re quicker and were more likely to be done under local (rather than general) anaesthesia compared with firstÃƒÂ¢Ã¢â€šÂ¬Ã‚Âgeneration approaches. Most women in both groups were satisfied with results of the procedure. Not enough evidence is available to show which secondÃƒÂ¢Ã¢â€šÂ¬Ã‚Âgeneration approaches are superior to others, and information about thirdÃƒÂ¢Ã¢â€šÂ¬Ã‚Âgeneration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</si>
  <si>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Focuses on surgical techniques, not NHS Three Shifts.</t>
  </si>
  <si>
    <t>Focuses on treatment for heavy menstrual bleeding, not aligned with NHS shifts.</t>
  </si>
  <si>
    <t>Focuses on preventing psychosis in at-risk individuals.</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</si>
  <si>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Ãƒâ€šÃ‚Â© 2019 Cambridge University Press.</t>
  </si>
  <si>
    <t>Focuses on economic evaluation of tests, not on NHS Three Shifts.</t>
  </si>
  <si>
    <t>Focuses on screening effectiveness, not aligned with NHS shifts.</t>
  </si>
  <si>
    <t>Focuses on surgical treatment evaluation, not on NHS Three Shifts.</t>
  </si>
  <si>
    <t>Focus on preventive models for diet and physical activity.</t>
  </si>
  <si>
    <t>Personalised screening intervals prevent unnecessary appointments.</t>
  </si>
  <si>
    <t>Focus on prevention strategies for footcare services.</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</si>
  <si>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</si>
  <si>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</si>
  <si>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</si>
  <si>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Focuses on cost-effectiveness of a drug, not NHS shifts.</t>
  </si>
  <si>
    <t>J552</t>
  </si>
  <si>
    <t>PharmacyÃƒÂ¢Ã¢â€šÂ¬Ã‚Âbased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</si>
  <si>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pharmacistÃƒÂ¢Ã¢â€šÂ¬Ã‚Âbased interventions is not yet well understood. The degree to which a pharmacyÃƒÂ¢Ã¢â€šÂ¬Ã‚Âbased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pharmacyÃƒÂ¢Ã¢â€šÂ¬Ã‚Âbased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(selfÃƒÂ¢Ã¢â€šÂ¬Ã‚Â)monitoring of medication adherence offered by a healthcare professional outside the pharmacy team) at improving depression outcomes in adults. Search methods We searched the Cochrane Common Mental Disorders Controlled Trials Register (CCMDÃƒÂ¢Ã¢â€šÂ¬Ã‚ÂCTR)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clusterÃƒÂ¢Ã¢â€šÂ¬Ã‚ÂRCTs where a pharmacyÃƒÂ¢Ã¢â€šÂ¬Ã‚Âbased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nonÃƒÂ¢Ã¢â€šÂ¬Ã‚Âadherence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metaÃƒÂ¢Ã¢â€šÂ¬Ã‚Âanalyses, we synthesised results narratively. Main results Twelve studies (2215 participants) met the inclusion criteria and compared pharmacyÃƒÂ¢Ã¢â€šÂ¬Ã‚Âbased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pharmacyÃƒÂ¢Ã¢â€šÂ¬Ã‚Âbased management and the other better acceptability of the active control. One study reported that participants in the pharmacyÃƒÂ¢Ã¢â€šÂ¬Ã‚Âbased management group had better medication adherence than the control participants. One study reported adverse events with no difference between groups. The studies reported no other outcomes. MetaÃƒÂ¢Ã¢â€šÂ¬Ã‚Âanalyses comparing pharmacyÃƒÂ¢Ã¢â€šÂ¬Ã‚Âbased management with treatment as usual showed no evidence of a difference in the effect of the intervention on depression symptom change (dichotomous data; improvement in symptoms yes/no: risk ratio (RR), 0.95, 95% confidence interval (CI) 0.86 to 1.05; 4 RCTs, 475 participants; moderateÃƒÂ¢Ã¢â€šÂ¬Ã‚Âquality evidence; continuous data: standard mean difference (SMD) ÃƒÂ¢Ã¢â€šÂ¬Ã‚Â0.04, 95%</t>
  </si>
  <si>
    <t>Pharmacy-based management shifts care to community settings.</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</si>
  <si>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</si>
  <si>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</si>
  <si>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Ãƒâ€šÃ‚Â© 2019</t>
  </si>
  <si>
    <t>Focuses on cost analysis, not on NHS Three Shifts.</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</si>
  <si>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</si>
  <si>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</si>
  <si>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childÃƒÂ¢Ã¢â€šÂ¬Ã¢â€žÂ¢s wellÃƒÂ¢Ã¢â€šÂ¬Ã‚Âbeing,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InÃƒÂ¢Ã¢â€šÂ¬Ã‚ÂProcess,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quasiÃƒÂ¢Ã¢â€šÂ¬Ã‚Ârandomised, multiÃƒÂ¢Ã¢â€šÂ¬Ã‚Âarm studies, crossÃƒÂ¢Ã¢â€šÂ¬Ã‚Âover studies and clusterÃƒÂ¢Ã¢â€šÂ¬Ã‚Ârandomised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metaÃƒÂ¢Ã¢â€šÂ¬Ã‚Âanalysis was possible, we applied randomÃƒÂ¢Ã¢â€šÂ¬Ã‚Âeffects metaÃƒÂ¢Ã¢â€šÂ¬Ã‚Âanalysis using the MantelÃƒÂ¢Ã¢â€šÂ¬Ã‚ÂHaenszel method for dichotomous outcomes. Main results The review included 27 RCTs involving 1803 children. Of these, six were multiÃƒÂ¢Ã¢â€šÂ¬Ã‚Âarm and one was also a crossÃƒÂ¢Ã¢â€šÂ¬Ã‚Âover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lowÃƒÂ¢Ã¢â€šÂ¬Ã‚Âcertainty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lowÃƒÂ¢Ã¢â€šÂ¬Ã‚Âcertainty evidence). Voiding education with uroflowmetry feedback and urotherapy versus urotherapy alone. Slightly more children receiving voiding education with uroflow feedback and urotherapy may achieve continence (RR 1.13, 95% CI 0.87 to 1.45; 3 studies; n = 151; lowÃƒÂ¢Ã¢â€šÂ¬Ã‚Âcertainty evidence). Urotherapy with timer watch versus urotherapy alone. We are uncertain whether urotherapy plus timer watch increases the number of children achieving continence compared to urotherapy alone (RR 1.42, 95% CI 1.12 to 1.80; 1 study; n = 58; very lowÃƒÂ¢Ã¢â€šÂ¬Ã‚Âcertainty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lowÃƒÂ¢Ã¢â€šÂ¬Ã‚Âcertainty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lowÃƒÂ¢Ã¢â€šÂ¬Ã‚Âcertainty evidence). Individual conservative interventions versus nonÃƒÂ¢Ã¢â€šÂ¬Ã‚Âconservative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lowÃƒÂ¢Ã¢â€šÂ¬Ã‚Âcertainty evidence). TENS versus anticholinergics. We are uncertain whether there was any evidence of a difference between treatment groups in the proportions of children achieving continence (RR 0.81, 95% CI 0.05 to 12.50; 2 studies; n = 72; very lowÃƒÂ¢Ã¢â€šÂ¬Ã‚Âcertainty evidence). Combined conservative interventions versus nonÃƒÂ¢Ã¢â€šÂ¬Ã‚Âconservative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lowÃƒÂ¢Ã¢â€šÂ¬Ã‚Âcertainty evidence). Authors' conclusions The review found little reliable evidence that can help affected children, their carers and the clinicians working with them to make evidenceÃƒÂ¢Ã¢â€šÂ¬Ã‚Âbased treatment decisions. In this scenario, the clinical experience of individual clinicians and the support of carers may be the most valuable resources. More wellÃƒÂ¢Ã¢â€šÂ¬Ã‚Âdesigned research, with wellÃƒÂ¢Ã¢â€šÂ¬Ã‚Âdefined interventions and consistent outcome measurement, is needed. Plain language summary Conservative (nonÃƒÂ¢Ã¢â€šÂ¬Ã‚Âpharmaceutical and nonÃƒÂ¢Ã¢â€šÂ¬Ã‚Âsurgical)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upÃƒÂ¢Ã¢â€šÂ¬Ã‚ÂtoÃƒÂ¢Ã¢â€šÂ¬Ã‚Âdate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ÃƒÂ¢Ã¢â€šÂ¬Ã‚Â and sometimes carers ÃƒÂ¢Ã¢â€šÂ¬Ã‚Â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nonÃƒÂ¢Ã¢â€šÂ¬Ã‚Âserious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goodÃƒÂ¢Ã¢â€šÂ¬Ã‚Âquality research evidence that can help children, their carers and doctors and nurses to make decisions about treatments. More wellÃƒÂ¢Ã¢â€šÂ¬Ã‚Âdesigned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</si>
  <si>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Focus on treatment, not aligned with NHS shifts.</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</si>
  <si>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</si>
  <si>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</si>
  <si>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healthÃƒÂ¢Ã¢â€šÂ¬Ã‚Ârelated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webÃƒÂ¢Ã¢â€šÂ¬Ã‚Âbased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fullÃƒÂ¢Ã¢â€šÂ¬Ã‚Âtext articles, extracted data, and assessed risk of bias. For analysis, we used a randomÃƒÂ¢Ã¢â€šÂ¬Ã‚Âeffects statistical model for all metaÃƒÂ¢Ã¢â€šÂ¬Ã‚Âanalyses,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lowÃƒÂ¢Ã¢â€šÂ¬Ã‚Âcertainty evidence). For secondary malignancies, dietary interventions versus control trials reported little or no difference (risk ratio (RR) 0.99, 95% CI 0.84 to 1.15; 1 study; 3107 participants; lowÃƒÂ¢Ã¢â€šÂ¬Ã‚Âcertainty evidence). CoÃƒÂ¢Ã¢â€šÂ¬Ã‚Âmorbidities were not measured in any included trials. Subsequent outcomes reported after 12 months found that dietary interventions versus control probably make little or no difference in energy intake at 12 months (mean difference (MD) ÃƒÂ¢Ã¢â€šÂ¬Ã‚Â59.13 kcal, 95% CI ÃƒÂ¢Ã¢â€šÂ¬Ã‚Â159.05 to 37.79; 5 studies; 3283 participants; moderateÃƒÂ¢Ã¢â€šÂ¬Ã‚Âcertainty evidence). Dietary interventions versus control probably led to slight increases in fruit and vegetable servings (MD 0.41 servings, 95% CI 0.10 to 0.71; 5 studies; 834 participants; moderateÃƒÂ¢Ã¢â€šÂ¬Ã‚Âcertainty evidence); mixed results for fibre intake overall (MD 5.12 g, 95% CI 0.66 to 10.9; 2 studies; 3127 participants; very lowÃƒÂ¢Ã¢â€šÂ¬Ã‚Âcertainty evidence); and likely improvement in Diet Quality Index (MD 3.46, 95% CI 1.54 to 5.38; 747 participants; moderateÃƒÂ¢Ã¢â€šÂ¬Ã‚Âcertainty evidence). For anthropometry, dietary intervention versus control probably led to a slightly decreased body mass index (BMI) (MD ÃƒÂ¢Ã¢â€šÂ¬Ã‚Â0.79 kg/mÃƒâ€šÃ‚Â², 95% CI ÃƒÂ¢Ã¢â€šÂ¬Ã‚Â1.50 to ÃƒÂ¢Ã¢â€šÂ¬Ã‚Â0.07; 4 studies; 777 participants; moderateÃƒÂ¢Ã¢â€šÂ¬Ã‚Âcertainty evidence). Dietary interventions versus control probably had little or no effect on waistÃƒÂ¢Ã¢â€šÂ¬Ã‚ÂtoÃƒÂ¢Ã¢â€šÂ¬Ã‚Âhip ratio (MD ÃƒÂ¢Ã¢â€šÂ¬Ã‚Â0.01, 95% CI ÃƒÂ¢Ã¢â€šÂ¬Ã‚Â0.04 to 0.02; 2 studies; 106 participants; lowÃƒÂ¢Ã¢â€šÂ¬Ã‚Âcertainty evidence). For QoL, there were mixed results; several different quality assessment tools were used and evidence was of low to very lowÃƒÂ¢Ã¢â€šÂ¬Ã‚Âcertainty.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waistÃƒÂ¢Ã¢â€šÂ¬Ã‚ÂtoÃƒÂ¢Ã¢â€šÂ¬Ã‚Âhip ratio. For QoL, results were highly varied. Additional highÃƒÂ¢Ã¢â€šÂ¬Ã‚Âquality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ÃƒÂ¢Ã¢â€šÂ¬Ã‚Â¨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ÃƒÂ¢Ã¢â€šÂ¬Ã‚Â¨ This review evaluates evidence on dietary interventions for people after cancer. Quality of evidence ÃƒÂ¢Ã¢â€šÂ¬Ã‚Â¨ The quality of evidence is generally low to very low. Most studies did not evaluate dietary interventions for key review outcomes, particularly mortality and morbidity. However, a few study outcomes with moderateÃƒÂ¢Ã¢â€šÂ¬Ã‚Âcertainty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ÃƒÂ¢Ã¢â€šÂ¬Ã‚Â¨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(moderateÃƒÂ¢Ã¢â€šÂ¬Ã‚Âcertainty evidence ) . Evidence on dietary fibre was mixed for different advice on weight reducing or healthy eating. Dietary interventions compared to control probably improved the Diet Quality Index (moderateÃƒÂ¢Ã¢â€šÂ¬Ã‚Âcertainty evidence ) . For physical measurements, we found a probable reduction in body mass index (BMI) with dietary interventions compared to controls (moderateÃƒÂ¢Ã¢â€šÂ¬Ã‚Âcertainty evidence) but little evidence showing any change in waistÃƒÂ¢Ã¢â€šÂ¬Ã‚ÂtoÃƒÂ¢Ã¢â€šÂ¬Ã‚Âhip ratio (lowÃƒÂ¢Ã¢â€šÂ¬Ã‚Âcertainty evidence ) . For quality of life (QoL), results were mixed due to the wide variety of tools used. No adverse events were reported. Conclusion ÃƒÂ¢Ã¢â€šÂ¬Ã‚Â¨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</si>
  <si>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Focuses on dietary interventions, not NHS Three Shifts.</t>
  </si>
  <si>
    <t>J567</t>
  </si>
  <si>
    <t>Hospital nurseÃƒÂ¢Ã¢â€šÂ¬Ã‚Âstaffing models and patientÃƒÂ¢Ã¢â€šÂ¬Ã‚Â and staffÃƒÂ¢Ã¢â€šÂ¬Ã‚Ârelated outcomes</t>
  </si>
  <si>
    <t>- Background Nurses comprise the largest component of the health workforce worldwide and numerous models of workforce allocation and profile have been implemented. These include changes in skill mix, grade mix or qualification mix, staffÃƒÆ’Ã‚Â¢ÃƒÂ¢Ã¢â‚¬Å¡Ã‚Â¬Ãƒâ€šÃ‚Âallocation models, staffing levels, nursing shifts, or nursesÃƒÆ’Ã‚Â¢ÃƒÂ¢Ã¢â‚¬Å¡Ã‚Â¬ÃƒÂ¢Ã¢â‚¬Å¾Ã‚Â¢ work patterns. This is the first update of our review published in 2011. Objectives The purpose of this review was to explore the effect of hospital nurseÃƒÆ’Ã‚Â¢ÃƒÂ¢Ã¢â‚¬Å¡Ã‚Â¬Ãƒâ€šÃ‚Âstaffing models on patient and staffÃƒÆ’Ã‚Â¢ÃƒÂ¢Ã¢â‚¬Å¡Ã‚Â¬Ãƒâ€šÃ‚Ârelated outcomes in the hospital setting, specifically to identify which staffing model(s) are associated with: 1) better outcomes for patients, 2) better staffÃƒÆ’Ã‚Â¢ÃƒÂ¢Ã¢â‚¬Å¡Ã‚Â¬Ãƒâ€šÃ‚Ârelated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nonÃƒÆ’Ã‚Â¢ÃƒÂ¢Ã¢â‚¬Å¡Ã‚Â¬Ãƒâ€šÃ‚Ârandomised trials, controlled beforeÃƒÆ’Ã‚Â¢ÃƒÂ¢Ã¢â‚¬Å¡Ã‚Â¬Ãƒâ€šÃ‚Âafter studies and interruptedÃƒÆ’Ã‚Â¢ÃƒÂ¢Ã¢â‚¬Å¡Ã‚Â¬Ãƒâ€šÃ‚ÂtimeÃƒÆ’Ã‚Â¢ÃƒÂ¢Ã¢â‚¬Å¡Ã‚Â¬Ãƒâ€šÃ‚Âseries or repeatedÃƒÆ’Ã‚Â¢ÃƒÂ¢Ã¢â‚¬Å¡Ã‚Â¬Ãƒâ€šÃ‚Âmeasures studies of interventions relating to hospital nurseÃƒÆ’Ã‚Â¢ÃƒÂ¢Ã¢â‚¬Å¡Ã‚Â¬Ãƒâ€šÃ‚Âstaffing models. Participants were patients and nursing staff working in hospital settings. We included any objective reported measure of patientÃƒÆ’Ã‚Â¢ÃƒÂ¢Ã¢â‚¬Å¡Ã‚Â¬Ãƒâ€šÃ‚Â, staffÃƒÆ’Ã‚Â¢ÃƒÂ¢Ã¢â‚¬Å¡Ã‚Â¬Ãƒâ€šÃ‚Ârelated, or economic outcome. The most important outcomes included in this review were: nursingÃƒÆ’Ã‚Â¢ÃƒÂ¢Ã¢â‚¬Å¡Ã‚Â¬Ãƒâ€šÃ‚Âstaff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nurseÃƒÆ’Ã‚Â¢ÃƒÂ¢Ã¢â‚¬Å¡Ã‚Â¬Ãƒâ€šÃ‚Âstaffing models: ÃƒÆ’Ã‚Â¢ÃƒÂ¢Ã¢â‚¬Å¡Ã‚Â¬Ãƒâ€šÃ‚Â introduction of advanced or specialist nurses to the nursing workforce; ÃƒÆ’Ã‚Â¢ÃƒÂ¢Ã¢â‚¬Å¡Ã‚Â¬Ãƒâ€šÃ‚Â introduction of nursing assistive personnel to the hospital workforce; ÃƒÆ’Ã‚Â¢ÃƒÂ¢Ã¢â‚¬Å¡Ã‚Â¬Ãƒâ€šÃ‚Â primary nursing; and ÃƒÆ’Ã‚Â¢ÃƒÂ¢Ã¢â‚¬Å¡Ã‚Â¬Ãƒâ€šÃ‚Â staffing models. The studies were conducted in the USA, the Netherlands, UK, Australia, and Canada and included patients with cancer, asthma, diabetes and chronic illness, on medical, acute care, intensive care and longÃƒÆ’Ã‚Â¢ÃƒÂ¢Ã¢â‚¬Å¡Ã‚Â¬Ãƒâ€šÃ‚Âstay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nursingÃƒÆ’Ã‚Â¢ÃƒÂ¢Ã¢â‚¬Å¡Ã‚Â¬Ãƒâ€šÃ‚Âstaff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nurseÃƒÆ’Ã‚Â¢ÃƒÂ¢Ã¢â‚¬Å¡Ã‚Â¬Ãƒâ€šÃ‚Âstaffing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lessÃƒÆ’Ã‚Â¢ÃƒÂ¢Ã¢â‚¬Å¡Ã‚Â¬Ãƒâ€šÃ‚Âqualified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nursingÃƒÆ’Ã‚Â¢ÃƒÂ¢Ã¢â‚¬Å¡Ã‚Â¬Ãƒâ€šÃ‚Âstaff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nursingÃƒÆ’Ã‚Â¢ÃƒÂ¢Ã¢â‚¬Å¡Ã‚Â¬Ãƒâ€šÃ‚Âstaff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nurseÃƒÆ’Ã‚Â¢ÃƒÂ¢Ã¢â‚¬Å¡Ã‚Â¬Ãƒâ€šÃ‚Âstaffing models. One nurseÃƒÆ’Ã‚Â¢ÃƒÂ¢Ã¢â‚¬Å¡Ã‚Â¬Ãƒâ€šÃ‚Âstaffing model study tested hospital units scheduling their own nursing shifts (selfÃƒÆ’Ã‚Â¢ÃƒÂ¢Ã¢â‚¬Å¡Ã‚Â¬Ãƒâ€šÃ‚Âstaffing), and the other study compared different ways to schedule nursing shifts. We cannot be sure about the impact of primary nursing or nurseÃƒÆ’Ã‚Â¢ÃƒÂ¢Ã¢â‚¬Å¡Ã‚Â¬Ãƒâ€šÃ‚Âstaffing models on nurse resignations or costs because the research is very limited. How upÃƒÆ’Ã‚Â¢ Ãƒâ€šÃ‚ÂtoÃƒÆ’Ã‚Â¢ÃƒÂ¢Ã¢â‚¬Å¡Ã‚Â¬Ãƒâ€šÃ‚Âdate is this review? The review authors searched for studies that had been published up to March 2018.</t>
  </si>
  <si>
    <t>Focuses on hospital staffing, not NHS shifts.</t>
  </si>
  <si>
    <t>J570</t>
  </si>
  <si>
    <t>Interventions for involving older patients with multiÃƒÂ¢Ã¢â€šÂ¬Ã‚Âmorbidity in decisionÃƒÂ¢Ã¢â€šÂ¬Ã‚Âmaking during primary care consultations</t>
  </si>
  <si>
    <t>- Background Older patients with multiple health problems (multiÃƒÂ¢Ã¢â€šÂ¬Ã‚Âmorbidity) value being involved in decisionÃƒÂ¢Ã¢â€šÂ¬Ã‚Âmaking about their health care. However, they are less frequently involved than younger patients. To maximise quality of life, dayÃƒÂ¢Ã¢â€šÂ¬Ã‚ÂtoÃƒÂ¢Ã¢â€šÂ¬Ã‚Âday function, and patient safety, older patients require support to identify unmet healthcare needs and to prioritise treatment options. Objectives To assess the effects of interventions for older patients with multiÃƒÂ¢Ã¢â€šÂ¬Ã‚Âmorbidity aiming to involve them in decisionÃƒÂ¢Ã¢â€šÂ¬Ã‚Âmaking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clusterÃƒÂ¢Ã¢â€šÂ¬Ã‚ÂRCTs, and quasiÃƒÂ¢Ã¢â€šÂ¬Ã‚ÂRCTs of interventions to involve patients in decisionÃƒÂ¢Ã¢â€šÂ¬Ã‚Âmaking about their health care versus usual care/control/another intervention, for patients aged 65 years and older with multiÃƒÂ¢Ã¢â€šÂ¬Ã‚Âmorbidity in primary care. Data collection and analysis We used standard Cochrane methodological procedures. MetaÃƒÂ¢Ã¢â€šÂ¬Ã‚Âanalysis was not possible; therefore we prepared a narrative synthesis. Main results We included three studies involving 1879 participants: two RCTs and one clusterÃƒÂ¢Ã¢â€šÂ¬Ã‚ÂRCT. Interventions consisted of: Ãƒâ€šÃ‚Â· patient workshop and individual coaching using behaviour change techniques; Ãƒâ€šÃ‚Â· individual patient coaching utilising cognitiveÃƒÂ¢Ã¢â€šÂ¬Ã‚Âbehavioural therapy and motivational interviewing; and Ãƒâ€šÃ‚Â· holistic patient review, multiÃƒÂ¢Ã¢â€šÂ¬Ã‚Âdisciplinary practitioner training, and organisational change. No studies reported the primary outcome ÃƒÂ¢Ã¢â€šÂ¬Ã‹Å“patient involvement in decisionÃƒÂ¢Ã¢â€šÂ¬Ã‚ÂmakingÃƒÂ¢Ã¢â€šÂ¬Ã¢â€žÂ¢ or the primary adverse outcome ÃƒÂ¢Ã¢â€šÂ¬Ã‹Å“less patient involvement as a result of the interventionÃƒÂ¢Ã¢â€šÂ¬Ã¢â€žÂ¢. Comparing interventions (patient workshop and individual coaching, holistic patient review plus practitioner training, and organisational change) to usual care: we are uncertain whether interventions had any effect on patient reports of high selfÃƒÂ¢Ã¢â€šÂ¬Ã‚Ârated health (risk ratio (RR) 1.40, 95% confidence interval (CI) 0.36 to 5.49; very lowÃƒÂ¢Ã¢â€šÂ¬Ã‚Âcertainty evidence) or on patient enablement (mean difference (MD) 0.60, 95% CI ÃƒÂ¢Ã¢â€šÂ¬Ã‚Â9.23 to 10.43; very lowÃƒÂ¢Ã¢â€šÂ¬Ã‚Âcertainty evidence) compared with usual care. Interventions probably had no effect on healthÃƒÂ¢Ã¢â€šÂ¬Ã‚Ârelated quality of life (adjusted difference in means 0.00, 95% CI ÃƒÂ¢Ã¢â€šÂ¬Ã‚Â0.02 to 0.02; moderateÃƒÂ¢Ã¢â€šÂ¬Ã‚Âcertainty evidence) or on medication adherence (MD 0.06, 95% CI ÃƒÂ¢Ã¢â€šÂ¬Ã‚Â0.05 to 0.17; moderateÃƒÂ¢Ã¢â€šÂ¬Ã‚Âcertainty evidence) but probably improved the number of patients discussing their priorities (adjusted odds ratio 1.85, 95% CI 1.44 to 2.38; moderateÃƒÂ¢Ã¢â€šÂ¬Ã‚Âcertainty evidence) and probably increased the number of nurse consultations (incident rate ratio from adjusted multiÃƒÂ¢Ã¢â€šÂ¬Ã‚Âlevel Poisson model 1.37, 95% CI 1.17 to 1.61; moderateÃƒÂ¢Ã¢â€šÂ¬Ã‚Âcertainty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attentionÃƒÂ¢Ã¢â€šÂ¬Ã‚Âcontrol conditions: we are uncertain whether interventions affect patientÃƒÂ¢Ã¢â€šÂ¬Ã‚Âreported high selfÃƒÂ¢Ã¢â€šÂ¬Ã‚Ârated health (RR 0.38, 95% CI 0.15 to 1.00, favouring attention control, with very lowÃƒÂ¢Ã¢â€šÂ¬Ã‚Âcertainty evidence; RR 2.17, 95% CI 0.85 to 5.52, favouring the intervention, with very lowÃƒÂ¢Ã¢â€šÂ¬Ã‚Âcertain y evidence). We are uncertain whether interventions affect patient enablement and engagement by increasing either patient activation (MD 1.20, 95% CI ÃƒÂ¢Ã¢â€šÂ¬Ã‚Â8.21 to 10.61; very lowÃƒÂ¢Ã¢â€šÂ¬Ã‚Âcertainty evidence) or selfÃƒÂ¢Ã¢â€šÂ¬Ã‚Âefficacy (MD 0.29, 95% CI ÃƒÂ¢Ã¢â€šÂ¬Ã‚Â0.21 to 0.79; very lowÃƒÂ¢Ã¢â€šÂ¬Ã‚Âcertainty evidence); or whether interventions affect the number of general practice visits (MD 0.51, 95% CI ÃƒÂ¢Ã¢â€šÂ¬Ã‚Â0.34 to 1.36; very lowÃƒÂ¢Ã¢â€šÂ¬Ã‚Âcertainty evidence), compared to attentionÃƒÂ¢Ã¢â€šÂ¬Ã‚Âcontrol conditions. The intervention may however lead to more patientÃƒÂ¢Ã¢â€šÂ¬Ã‚Âreported changes in management of their health conditions (RR 1.82, 95% CI 1.35 to 2.44; lowÃƒÂ¢Ã¢â€šÂ¬Ã‚Âcertainty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decisionÃƒÂ¢Ã¢â€šÂ¬Ã‚Âmaking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longÃƒÂ¢Ã¢â€šÂ¬Ã‚Âterm health problem in decisionÃƒÂ¢Ã¢â€šÂ¬Ã‚Âmaking during primary care consultations Background The number of older people with more than one longÃƒÂ¢Ã¢â€šÂ¬Ã‚Âterm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longÃƒÂ¢Ã¢â€šÂ¬Ã‚Âterm health problem in decisionÃƒÂ¢Ã¢â€šÂ¬Ã‚Âmaking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longÃƒÂ¢Ã¢â€šÂ¬Ã‚Âterm health problems on average. Interventions investigated included: Ãƒâ€šÃ‚Â· patient workshops and individual patient coaching; Ãƒâ€šÃ‚Â· patient coaching including cognitiveÃƒÂ¢Ã¢â€šÂ¬Ã‚Âbehavioural therapy; and Ãƒâ€šÃ‚Â· wholeÃƒÂ¢Ã¢â€šÂ¬Ã‚Âperson patient review, practitioner training, and organisational changes. All studies were funded by national research bodies. Key results None of the studies reported the main outcome ÃƒÂ¢Ã¢â€šÂ¬Ã‹Å“patient involvement in decisionÃƒÂ¢Ã¢â€šÂ¬Ã‚Âmaking about their health careÃƒÂ¢Ã¢â€šÂ¬Ã¢â€žÂ¢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longÃƒÂ¢Ã¢â€šÂ¬Ã‚Âterm health problem in decisionÃƒÂ¢Ã¢â€šÂ¬Ã‚Âmaking about their health care can improve their selfÃƒÂ¢Ã¢â€šÂ¬Ã‚Ârated health or healthcare engagement, or make any difference in selfÃƒÂ¢Ã¢â€šÂ¬Ã‚Âefficacy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patientÃƒÂ¢Ã¢â€šÂ¬Ã¢â€žÂ¢s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</si>
  <si>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Focus on decision-making, not on NHS shifts.</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</si>
  <si>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</si>
  <si>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</si>
  <si>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</si>
  <si>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Evaluates community-based care for anorexia nervosa.</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</si>
  <si>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</si>
  <si>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</si>
  <si>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</si>
  <si>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Focus on risk-tailored screening aligns with prevention shift.</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</si>
  <si>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</si>
  <si>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</si>
  <si>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Ãƒâ€šÃ‚Â© 2019 Callender et al. This is an open access article distributed under the terms of the Creative Commons Attribution License, which permits unrestricted use, distribution, and reproduction in any medium, provided the original author and source are credited.</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</si>
  <si>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</si>
  <si>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</si>
  <si>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metaÃƒÂ¢Ã¢â€šÂ¬Ã‚Âanalysis using a MantelÃƒÂ¢Ã¢â€šÂ¬Ã‚ÂHaenszel randomÃƒÂ¢Ã¢â€šÂ¬Ã‚Âeffects model to generate risk ratios (RRs) and 95% confidence intervals (CIs). Main results We identified seven studies including 1774 participants. We judged three studies to be at high risk of bias and four to be at unclear risk. Each study provided faceÃƒÂ¢Ã¢â€šÂ¬Ã‚ÂtoÃƒÂ¢Ã¢â€šÂ¬Ã‚Âface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oneÃƒÂ¢Ã¢â€šÂ¬Ã‚Âoff advice on how to quit. Participants in both intervention and control arms received equivalent smoking cessation pharmacotherapy in all but one study. All studies took place in highÃƒÂ¢Ã¢â€šÂ¬Ã‚Âincome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followÃƒÂ¢Ã¢â€šÂ¬Ã‚Âup (RR 2.30, 95% CI 1.33 to 3.97; I 2 = 54%; lowÃƒÂ¢Ã¢â€šÂ¬Ã‚Âcertainty evidence). Authors' conclusions Community pharmacists can provide effective behavioural support to people trying to stop smoking. However, this conclusion is based on lowÃƒÂ¢Ã¢â€šÂ¬Ã‚Âcertainty evidence, limited by risk of bias and imprecision. Further research could change this conclusion. Plain language summary Does quitÃƒÂ¢Ã¢â€šÂ¬Ã‚Âsmoking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faceÃƒÂ¢Ã¢â€šÂ¬Ã‚ÂtoÃƒÂ¢Ã¢â€šÂ¬Ã‚Âface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lowÃƒÂ¢Ã¢â€šÂ¬Ã‚Âquality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</si>
  <si>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Community pharmacies provide accessible smoking cessation support.</t>
  </si>
  <si>
    <t>Community; Prevention</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</si>
  <si>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</si>
  <si>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</si>
  <si>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quasiÃƒÂ¢Ã¢â€šÂ¬Ã‚ÂRCTs examining the medical treatment of any of the four major types of botulism (infant intestinal botulism, foodÃƒÂ¢Ã¢â€šÂ¬Ã‚Âborne botulism, wound botulism, and adult intestinal toxemia). Potential medical treatments included equine serum trivalent botulism antitoxin, humanÃƒÂ¢Ã¢â€šÂ¬Ã‚Âderived botulinum immune globulin intravenous (BIGÃƒÂ¢Ã¢â€šÂ¬Ã‚ÂIV), plasma exchange, 3,4ÃƒÂ¢Ã¢â€šÂ¬Ã‚Âdiaminopyridine, and guanidine. Data collection and analysis We followed standard Cochrane methodology. Our primary outcome was inÃƒÂ¢Ã¢â€šÂ¬Ã‚Âhospital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BIGÃƒÂ¢Ã¢â€šÂ¬Ã‚ÂIV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intentionÃƒÂ¢Ã¢â€šÂ¬Ã‚ÂtoÃƒÂ¢Ã¢â€šÂ¬Ã‚Âtreat principles, and possibly some betweenÃƒÂ¢Ã¢â€šÂ¬Ã‚Âtreatment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(BIGÃƒÂ¢Ã¢â€šÂ¬Ã‚ÂIV: 2.60 weeks, 95% confidence interval (CI) 1.95 to 3.25; control: 5.70 weeks, 95% CI 4.40 to 7.00; mean difference (MD) ÃƒÂ¢Ã¢â€šÂ¬Ã‚Â3.10 weeks, 95% CI ÃƒÂ¢Ã¢â€šÂ¬Ã‚Â4.52 to ÃƒÂ¢Ã¢â€šÂ¬Ã‚Â1.68; moderateÃƒÂ¢Ã¢â€šÂ¬Ã‚Âcertainty evidence); mechanical ventilation (BIGÃƒÂ¢Ã¢â€šÂ¬Ã‚ÂIV: 1.80 weeks, 95% CI 1.20 to 2.40; control: 4.40 weeks, 95% CI 3.00 to 5.80; MD ÃƒÂ¢Ã¢â€šÂ¬Ã‚Â2.60 weeks, 95% CI ÃƒÂ¢Ã¢â€šÂ¬Ã‚Â4.06 to ÃƒÂ¢Ã¢â€šÂ¬Ã‚Â1.14; lowÃƒÂ¢Ã¢â€šÂ¬Ã‚Âcertainty evidence); and tube or parenteral feeding (BIGÃƒÂ¢Ã¢â€šÂ¬Ã‚ÂIV: 3.60 weeks, 95% CI 1.70 to 5.50; control: 10.00 weeks, 95% CI 6.85 to 13.15; MD ÃƒÂ¢Ã¢â€šÂ¬Ã‚Â6.40 weeks, 95% CI ÃƒÂ¢Ã¢â€šÂ¬Ã‚Â10.00 to ÃƒÂ¢Ã¢â€šÂ¬Ã‚Â2.80; moderateÃƒÂ¢Ã¢â€šÂ¬Ã‚Âcertainty evidence), but not on proportion of participants with adverse events or complications (BIGÃƒÂ¢Ã¢â€šÂ¬Ã‚ÂIV: 63.08%; control: 68.75%; risk ratio 0.92, 95% CI 0.72 to 1.18; absolute risk reduction 0.06, 95% CI 0.22 to ÃƒÂ¢Ã¢â€šÂ¬Ã‚Â0.11; moderateÃƒÂ¢Ã¢â€šÂ¬Ã‚Âcertainty evidence). Authors' conclusions We found lowÃƒÂ¢Ã¢â€šÂ¬Ã‚Â and moderateÃƒÂ¢Ã¢â€šÂ¬Ã‚Âcertainty evidence supporting the use of BIGÃƒÂ¢Ã¢â€šÂ¬Ã‚ÂIV in infant intestinal botulism. A single RCT demonstrated that BIGÃƒÂ¢Ã¢â€šÂ¬Ã‚ÂIV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(humanÃƒÂ¢Ã¢â€šÂ¬Ã‚Âderived botulinum immune globulin intravenous, or BIGÃƒÂ¢Ã¢â€šÂ¬Ã‚ÂIV). FiftyÃƒÂ¢Ã¢â€šÂ¬Ã‚Ânine infants received BIGÃƒÂ¢Ã¢â€šÂ¬Ã‚ÂIV,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BIGÃƒÂ¢Ã¢â€šÂ¬Ã‚ÂIV spent, on average, about three weeks less time in hospital (i.e. 3.1 weeks versus 5.7 weeks) than infants who received the inactive treatment, and spent about three weeks less on a ventilator (1.8 weeks versus 4.4 weeks). The average duration of tube feeding in the BIGÃƒÂ¢Ã¢â€šÂ¬Ã‚ÂIV group was more than six weeks less than in the placebo group (i.e. 3.6 versus 10 weeks). The risk of harmful effects of the treatment was probably no greater with BIGÃƒÂ¢Ã¢â€šÂ¬Ã‚ÂIV than with the inactive treatment. The evidence was mostly of moderate certainty (low certainty for time spent on a ventilator). The review shows that BIGÃƒÂ¢Ã¢â€šÂ¬Ã‚ÂIV probably shortens hospitalization; may shorten time spent on a ventilator; and probably reduces the duration of tube feeding compared to placebo. On the other hand, we found no evidence for or against botulism antitoxin or other treatments for botulism. The evidence is upÃƒÂ¢Ã¢â€šÂ¬Ã‚ÂtoÃƒÂ¢Ã¢â€šÂ¬Ã‚Âdate to January 2018, when we updated the searches and found no new trials.</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</si>
  <si>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</si>
  <si>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</si>
  <si>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Ãƒâ€šÃ‚Â© 2019 Author(s).</t>
  </si>
  <si>
    <t>Focus on cost savings from generics, not NHS Three Shifts.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</si>
  <si>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</si>
  <si>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</si>
  <si>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</si>
  <si>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Focuses on cost-effectiveness of treatments, not NHS shifts.</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</si>
  <si>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</si>
  <si>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</si>
  <si>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recoveryÃƒÂ¢Ã¢â€šÂ¬Ã‚Âoriented approach in healthcare for people with mental illness. Objectives To assess the effects of peerÃƒÂ¢Ã¢â€šÂ¬Ã‚Âsupport interventions for people with schizophrenia or other serious mental disorders, compared to standard care or other supportive or psychosocial interventions not from peers. Search methods We searched the Cochrane Schizophrenia Group's StudyÃƒÂ¢Ã¢â€šÂ¬Ã‚ÂBased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randomÃƒÂ¢Ã¢â€šÂ¬Ã‚Âeffects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lowÃƒÂ¢Ã¢â€šÂ¬Ã‚Âquality evidence) or allÃƒÂ¢Ã¢â€šÂ¬Ã‚Âcause death in the long term (RR 1.52, 95% CI 0.43 to 5.31; participants = 555; studies = 1, very lowÃƒÂ¢Ã¢â€šÂ¬Ã‚Âquality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clinicianÃƒÂ¢Ã¢â€šÂ¬Ã‚Âled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peerÃƒÂ¢Ã¢â€šÂ¬Ã‚Âsupport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highÃƒÂ¢Ã¢â€šÂ¬Ã‚Âquality evidence from relevant randomised clinical trials (studies where people are randomly put into one of two or more treatment groups) so we could assess the effects of peerÃƒÂ¢Ã¢â€šÂ¬Ã‚Âsupport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clinicianÃƒÂ¢Ã¢â€šÂ¬Ã‚Âled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clinicianÃƒÂ¢Ã¢â€šÂ¬Ã‚Âled support (where a health professional provided support). However, there were no useable data for this comparison reported for the main outcomes. Conclusions We have little confidence in the above findings. Currently, there is no highÃƒÂ¢Ã¢â€šÂ¬Ã‚Âquality evidence available to either support or refute the effectiveness of peerÃƒÂ¢Ã¢â€šÂ¬Ã‚Âsupport interventions for people with schizophrenia or other serious mental illnesses.</t>
  </si>
  <si>
    <t>Focuses on peer support, not on NHS Three Shifts.</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</si>
  <si>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</si>
  <si>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</si>
  <si>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Ãƒâ€šÃ‚Â© 2019 Diabetes UK</t>
  </si>
  <si>
    <t>Focus on preventing diabetes complications aligns with prevention shift.</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</si>
  <si>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</si>
  <si>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</si>
  <si>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participantÃƒÂ¢Ã¢â€šÂ¬Ã‚Â and investigatorÃƒÂ¢Ã¢â€šÂ¬Ã‚Ârated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followÃƒÂ¢Ã¢â€šÂ¬Ã‚Âup period. Clinical heterogeneity in treatments and outcome measures was evident. Few studies performed headÃƒÂ¢Ã¢â€šÂ¬Ã‚ÂtoÃƒÂ¢Ã¢â€šÂ¬Ã‚Âhead comparisons of different interventions. Risk of bias varied considerably, with only five studies at low risk in all domains. TwentyÃƒÂ¢Ã¢â€šÂ¬Ã‚Âtwo studies were industryÃƒÂ¢Ã¢â€šÂ¬Ã‚Âfunded.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participantÃƒÂ¢Ã¢â€šÂ¬Ã‚Ârated control of symptoms compared to vehicle (risk ratio (RR) 2.32, 95% confidence interval (CI) 1.38 to 3.91; number needed to treat for an additional beneficial outcome (NNTB) 3, 95% CI 2 to 8; 1 study, 125 participants); the effect of clobetasol compared to vehicle for investigatorÃƒÂ¢Ã¢â€šÂ¬Ã‚Ârated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investigatorÃƒÂ¢Ã¢â€šÂ¬Ã‚Ârated symptom control compared to twice weekly (RR 1.23, 95% CI 0.94 to 1.61; 1 study, 72 participants) after remission is reached. ParticipantÃƒÂ¢Ã¢â€šÂ¬Ã‚Ârated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investigatorÃƒÂ¢Ã¢â€šÂ¬Ã‚Ârated symptom control when compared to local narrowÃƒÂ¢Ã¢â€šÂ¬Ã‚Âband UVB after 12 weeks of treatment (RR 0.50, 95% CI 0.22 to 1.16; 1 study, 60 participants). However, the 95% CI indicates that PUVA might make little or no difference. ParticipantÃƒÂ¢Ã¢â€šÂ¬Ã‚Ârated symptoms were not measured. Adverse events (mainly erythema) were reported by 9/30 participants in the narrowÃƒÂ¢Ã¢â€šÂ¬Ã‚Âband UVB group versus none in the PUVA group. This evidence was rated as moderate certainty. Topical calcineurin inhibitors: tacrolimus 0.1% over two weeks probably improves investigatorÃƒÂ¢Ã¢â€šÂ¬Ã‚Ârated symptom control measured after three weeks compared to vehicle (14/14 tacrolimus versus 0/14 vehicle; 1 study). ParticipantÃƒÂ¢Ã¢â€šÂ¬Ã‚Ârated symptoms were not measured. Four of 14 people in the tacroli us group versus zero in the vehicle group had wellÃƒÂ¢Ã¢â€šÂ¬Ã‚Âtolerated application site burning/itching. A withinÃƒÂ¢Ã¢â€šÂ¬Ã‚Âparticipant study in 16 participants compared 0.1% tacrolimus to 0.1% mometasone furoate but did not measure investigatorÃƒÂ¢Ã¢â€šÂ¬Ã‚Â or participantÃƒÂ¢Ã¢â€šÂ¬Ã‚Ârated symptoms. Both treatments were well tolerated when assessed at two weeks during four weeks of treatment. Evidence from these studies was rated as moderate certainty. Oral interventions: oral cyclosporin 3 mg/kg/d probably slightly improves investigatorÃƒÂ¢Ã¢â€šÂ¬Ã‚Ârated (RR 1.88, 95% CI 0.88 to 3.99; 1 study, 34 participants) or participantÃƒÂ¢Ã¢â€šÂ¬Ã‚Ârated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investigatorÃƒÂ¢Ã¢â€šÂ¬Ã‚Ârated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participantÃƒÂ¢Ã¢â€šÂ¬Ã‚Ârated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moderateÃƒÂ¢Ã¢â€šÂ¬Ã‚Âcertainty evidence), but the risk of headache increased with alitretinoin 30 mg (RR 3.43, 95% CI 2.45 to 4.81; 2 studies, n = 1210; highÃƒÂ¢Ã¢â€šÂ¬Ã‚Âcertainty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WellÃƒÂ¢Ã¢â€šÂ¬Ã‚Âdesigned and wellÃƒÂ¢Ã¢â€šÂ¬Ã‚Âreported, longÃƒÂ¢Ã¢â€šÂ¬Ã‚Âterm (more than three months), headÃƒÂ¢Ã¢â€šÂ¬Ã‚ÂtoÃƒÂ¢Ã¢â€šÂ¬Ã‚Âhead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workÃƒÂ¢Ã¢â€šÂ¬Ã‚Ârelated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TwentyÃƒÂ¢Ã¢â€šÂ¬Ã‚Âtwo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participantÃƒÂ¢Ã¢â€šÂ¬Ã‚Ârated good/excellent control of hand eczema when compared to vehicle (516 versus 222 per 1000), but the difference between groups was less clear for investigatorÃƒÂ¢Ã¢â€šÂ¬Ã‚Ârated control, and more adverse events were reported with clobetasol propionate (178 versus 79 per 1000) (all based on moderateÃƒÂ¢Ã¢â€šÂ¬Ã‚Âcertainty evidence). Mometasone furoate cream used thrice weekly may slightly improve investigatorÃƒÂ¢Ã¢â€šÂ¬Ã‚Ârated good/excellent control compared to twice weekly treatment, and participantÃƒÂ¢Ã¢â€šÂ¬Ã‚Ârated control was not measured. Mild skin thinning occurred in both groups, but cases were few (all based on lowÃƒÂ¢Ã¢â€šÂ¬Ã‚Âcertainty evidence). Irradiation with UV light: various types of irradiation (i.e. exposure to radiation) were compared. Local PUVA may improve investigatorÃƒÂ¢Ã¢â€šÂ¬Ã‚Ârated good/excellent control compared to narrowÃƒÂ¢Ã¢â€šÂ¬Ã‚Âband UVB (400 versus 200 per 1000); however, we are uncertain of this finding because results also show that local PUVA may make little or no difference. ParticipantÃƒÂ¢Ã¢â€šÂ¬Ã‚Ârated symptoms were not measured. Nine out of 30 participants in the narrowÃƒÂ¢Ã¢â€šÂ¬Ã‚Âband UVB group reported adverse events (mainly redness) compared to none in the PUVA group (all based on moderateÃƒÂ¢Ã¢â€šÂ¬Ã‚Âcertainty evidence). Topical calcineurin inhibitors: people receiving tacrolimus are probably more likely to achieve improved investigatorÃƒÂ¢Ã¢â€šÂ¬Ã‚Ârated good/excellent symptom control compared to those given vehicle (14/14 participants with tacrolimus compared to none with vehicle), but participantÃƒÂ¢Ã¢â€šÂ¬Ã‚Ârated control of symptoms was not measured. Four of 14 people in the tacrolimus group versus zero in the vehicle group had wellÃƒÂ¢Ã¢â€šÂ¬Ã‚Âtolerated application site burning/itching. One small study compared tacrolimus to mometasone furoate, which were both well tolerated, but did not measure investigatorÃƒÂ¢Ã¢â€šÂ¬Ã‚Â or participantÃƒÂ¢Ã¢â€šÂ¬Ã‚Ârated control (all based on moderateÃƒÂ¢Ã¢â€šÂ¬Ã‚Âcertainty evidence). Oral interventions: oral immunosuppressant (a drug that hinders the immune response) cyclosporin probably slightly improves investigatorÃƒÂ¢Ã¢â€šÂ¬Ã‚Â or participantÃƒÂ¢Ã¢â€šÂ¬Ã‚Ârated control of good/excellent symptoms compared to topical betamethasone cream (a corticosteroid). The risk of adverse events such as dizziness was similar between groups (all based on moderateÃƒÂ¢Ã¢â€šÂ¬Ã‚Âcertainty evidence). The oral vitamin A derivative (retinoid) alitretinoin (10 mg) achieved investigatorÃƒÂ¢Ã¢â€šÂ¬Ã‚Ârated good/excellent symptom control in 307 compared to 194 participants per 1000 with placebo, and alitretinoin 30 mg achieved investigatorÃƒÂ¢Ã¢â€šÂ¬Ã‚Ârated control in 432 compared to 157 participants per 1000 with placebo. Similar results were shown for participantÃƒÂ¢Ã¢â€šÂ¬Ã‚Ârated control (highÃƒÂ¢Ã¢â€šÂ¬Ã‚Âcertainty evidence). When the dosage of alitretinoin was increased to 30 mg, risk of headache was higher compared to placebo (74 versus 251 per 1000; highÃƒÂ¢Ã¢â€šÂ¬Ã‚Âcertainty evidence), but this probably does not differ between alitretinoin 10 mg and placebo (based on moderateÃƒÂ¢Ã¢â€šÂ¬Ã‚Âcertainty evidence). Quality of the evidence The quality of evidence was mainly moderate, with most analyses based on single studies that had small sample sizes; therefore, some results should be interpreted with care.</t>
  </si>
  <si>
    <t>Focuses on treatment efficacy, not aligned with NHS shifts.</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</si>
  <si>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</si>
  <si>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</si>
  <si>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Ãƒâ€šÃ‚Â© 2021 European Society for Medical Oncology</t>
  </si>
  <si>
    <t>Focuses on treatment response prediction, not NHS shifts.</t>
  </si>
  <si>
    <t>J2833</t>
  </si>
  <si>
    <t>Mobile phoneÃƒÂ¢Ã¢â€šÂ¬Ã‚Âbased interventions for improving adherence to medication prescribed for the primary prevention of cardiovascular disease in adults</t>
  </si>
  <si>
    <t>- Background Cardiovascular disease (CVD) is a major cause of disability and mortality globally. Premature fatal and nonÃƒÂ¢Ã¢â€šÂ¬Ã‚Âfatal CVD is considered to be largely preventable through the control of risk factors by lifestyle modifications and preventive medication. LipidÃƒÂ¢Ã¢â€šÂ¬Ã‚Âlowering and antihypertensive drug therapies for primary prevention are costÃƒÂ¢Ã¢â€šÂ¬Ã‚Âeffective in reducing CVD morbidity and mortality among highÃƒÂ¢Ã¢â€šÂ¬Ã‚Ârisk people and are recommended by international guidelines. However, adherence to medication prescribed for the prevention of CVD can be poor. Approximately 9% of CVD cases in the EU are attributed to poor adherence to vascular medications. LowÃƒÂ¢Ã¢â€šÂ¬Ã‚Âcost,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oneÃƒÂ¢Ã¢â€šÂ¬Ã‚Âyear followÃƒÂ¢Ã¢â€šÂ¬Ã‚Âup in order that the outcome measures related to longerÃƒÂ¢Ã¢â€šÂ¬Ã‚Âterm, sustained medication adherence behaviours and outcomes. Eligible comparators were usual care or control groups receiving no mobile phoneÃƒÂ¢Ã¢â€šÂ¬Ã‚Âdelivered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communityÃƒÂ¢Ã¢â€šÂ¬Ã‚Âbased primary and tertiary care or outpatient clinics. The interventions varied widely from those delivered solely through short messaging service (SMS) to those involving a combination of modes of delivery, such as SMS in addition to healthcare worker training, faceÃƒÂ¢Ã¢â€šÂ¬Ã‚ÂtoÃƒÂ¢Ã¢â€šÂ¬Ã‚Âface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metaÃƒÂ¢Ã¢â€šÂ¬Ã‚Âanalyses. The body of evidence for the effect of mobile phoneÃƒÂ¢Ã¢â€šÂ¬Ã‚Âbased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lowÃƒÂ¢Ã¢â€šÂ¬Ã‚Âdensity lipoprotein cholesterol (LDLÃƒÂ¢Ã¢â€šÂ¬Ã‚ÂC), two studies found evidence for a small beneficial intervention effect on reducing LDLÃƒÂ¢Ã¢â€šÂ¬Ã‚ÂC (ÃƒÂ¢Ã‹â€ Ã¢â‚¬â„¢5.30 mg/dL, 95% confidence interval (CI) ÃƒÂ¢Ã‹â€ Ã¢â‚¬â„¢8.30 to ÃƒÂ¢Ã‹â€ Ã¢â‚¬â„¢2.30; and ÃƒÂ¢Ã‹â€ Ã¢â‚¬â„¢9.20 mg/dL, 95% CI ÃƒÂ¢Ã‹â€ Ã¢â‚¬â„¢17.70 to ÃƒÂ¢Ã‹â€ Ã¢â‚¬â„¢0.70). The other three studies found results varying from a small reduction (ÃƒÂ¢Ã‹â€ Ã¢â‚¬â„¢7.7 mg/dL) to a small increase in LDLÃƒÂ¢Ã¢â€šÂ¬Ã‚ÂC (0.77 mg/dL). All of which had wide confidence intervals that included no effect. Across 13 studies (25,166 participants) measuring systolic blood pressure, effect estimates ranged from a large reduction (MD ÃƒÂ¢Ã‹â€ Ã¢â‚¬â„¢12.45 mmHg, 95% CI ÃƒÂ¢Ã‹â€ Ã¢â‚¬â„¢15.02 to ÃƒÂ¢Ã‹â€ Ã¢â‚¬â„¢9.88) to a small increase (MD 2.80 mmHg, 95% CI 0.30 to 5.30). We found a similar range of effect estimates for diastolic BP, ranging from ÃƒÂ¢Ã‹â€ Ã¢â‚¬â„¢12.23 mmHg (95% CI ÃƒÂ¢Ã‹â€ Ã¢â‚¬â„¢14.03 to ÃƒÂ¢Ã‹â€ Ã¢â‚¬â„¢10.43) to 1.64 mmHg (95% CI ÃƒÂ¢Ã‹â€ Ã¢â‚¬â„¢0.55 to 3.83) (11 trials, 19,716 participants). Four trials showed intervention benefits for systolic and diastolic BP with confidence intervals excluding no effect, and among these were all three of the trials evaluating selfÃƒÂ¢Ã¢â€šÂ¬Ã‚Âmonitoring of blood pressure with mobile phoneÃƒÂ¢Ã¢â€šÂ¬Ã‚Âbased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ÃƒÂ¢Ã‹â€ Ã¢â‚¬â„¢1.55 mmHg, 95% CI ÃƒÂ¢Ã‹â€ Ã¢â‚¬â„¢3.36 to 0.25; I 2 = 0%) and small increases in controlled BP (OR 1.32, 95% CI 1.06 to 1.65; I 2 = 0%). Based on four studies (12,439 participants), there was very lowÃƒÂ¢Ã¢â€šÂ¬Ã‚Âcertainty evidence (downgraded twice for imprecision and once for risk of bias) relating to the intervention effect on combined (fatal and nonÃƒÂ¢Ã¢â€šÂ¬Ã‚Âfatal) CVD events. Two studies (2535 participants) provided lowÃƒÂ¢Ã¢â€šÂ¬Ã‚Âcertainty evidence for the effect of the intervention on cognitive outcomes, with little or no difference between trial arms for perceived quality of care and satisfaction with treatment. There was moderateÃƒÂ¢Ã¢â€šÂ¬Ã‚Âcertainty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interventionÃƒÂ¢Ã¢â€šÂ¬Ã‚Ârelated adverse events. One study stated that potential side effects were similar between groups. One study reported a similar number of deaths in each arm, but did not provide further information relating to potential adverse events. Authors' conclusions There is lowÃƒÂ¢Ã¢â€šÂ¬Ã‚Âcertainty evidence on the effects of mobile phoneÃƒÂ¢Ã¢â€šÂ¬Ã‚Âdelivered interventions to increase adherence to medication prescribed for the primary prevention of CVD. Trials of BP selfÃƒÂ¢Ã¢â€šÂ¬Ã‚Âmonitoring with mobileÃƒÂ¢Ã¢â€šÂ¬Ã‚Âphone telemedicine support reported modest benefits. One trial at low risk of bias reported modest reductions in LDL cholesterol but no benefits for BP. There is moderateÃƒÂ¢Ã¢â€šÂ¬Ã‚Âcertainty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lowÃƒÂ¢Ã¢â€šÂ¬Ã‚Âcost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SelfÃƒÂ¢Ã¢â€šÂ¬Ã‚Âmonitoring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</si>
  <si>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Mobile interventions for medication adherence in CVD prevention.</t>
  </si>
  <si>
    <t>Digital; Prevention</t>
  </si>
  <si>
    <t>J2835</t>
  </si>
  <si>
    <t>Anticholinergics combined with alphaÃƒÂ¢Ã¢â€šÂ¬Ã‚Âblockers for treating lower urinary tract symptoms related to benign prostatic obstruction</t>
  </si>
  <si>
    <t>- Background Lower urinary tract symptoms (LUTS) due to benign prostatic obstruction (BPO) represent one of the most common clinical complaints in men. AlphaÃƒÂ¢Ã¢â€šÂ¬Ã‚Âblockers are widely used as firstÃƒÂ¢Ã¢â€šÂ¬Ã‚Âline therapy for men with LUTS secondary to BPO, but up to one third of men report no improvement in their LUTS after taking alphaÃƒÂ¢Ã¢â€šÂ¬Ã‚Âblockers. Anticholinergics used in addition to alphaÃƒÂ¢Ã¢â€šÂ¬Ã‚Âblockers may help improve symptoms but it is uncertain how effective they are. Objectives To assess the effects of combination therapy with anticholinergics and alphaÃƒÂ¢Ã¢â€šÂ¬Ã‚Âblockers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alphaÃƒÂ¢Ã¢â€šÂ¬Ã‚Âblockers monotherapy, and combination therapy versus anticholinergics monotherapy. Data collection and analysis Two review authors independently screened the literature, extracted data, and assessed risk of bias. We performed statistical analyses using a randomÃƒÂ¢Ã¢â€šÂ¬Ã‚Âeffects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singleÃƒÂ¢Ã¢â€šÂ¬Ã‚Âcenter setting, while 11 used a multiÃƒÂ¢Ã¢â€šÂ¬Ã‚Âcenter setting. We only found shortÃƒÂ¢Ã¢â€šÂ¬Ã‚Âterm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ÃƒÂ¢Ã¢â€šÂ¬Ã¢â‚¬Å“2.73, 95% confidence interval (CI) ÃƒÂ¢Ã¢â€šÂ¬Ã¢â‚¬Å“5.55 to 0.08; lowÃƒÂ¢Ã¢â€šÂ¬Ã‚Âcertainty evidence). We are very uncertain about the effect of combination therapy on quality of life (QoL) (MD ÃƒÂ¢Ã¢â€šÂ¬Ã¢â‚¬Å“0.97, 95% CI ÃƒÂ¢Ã¢â€šÂ¬Ã¢â‚¬Å“2.11 to 0.16; very lowÃƒÂ¢Ã¢â€šÂ¬Ã‚Âcertainty evidence). Combination therapy likely increases adverse events (risk ratio (RR) 1.24, 95% CI 1.04 to 1.47; moderateÃƒÂ¢Ã¢â€šÂ¬Ã‚Âcertainty evidence); based on 252 adverse events per 1000 participants in the placebo group, this corresponds to 61 more adverse events (95% CI 10 more to 119 more) per 1000 participants treated with combination therapy. Combination therapy versus alphaÃƒÂ¢Ã¢â€šÂ¬Ã‚Âblockers alone: based on 22 studies with 4904 randomized participants, we are very uncertain about the effect of combination therapy on urologic symptom scores (MD ÃƒÂ¢Ã¢â€šÂ¬Ã¢â‚¬Å“2.04, 95% CI ÃƒÂ¢Ã¢â€šÂ¬Ã¢â‚¬Å“3.56 to ÃƒÂ¢Ã¢â€šÂ¬Ã¢â‚¬Å“0.52; very lowÃƒÂ¢Ã¢â€šÂ¬Ã‚Âcertainty evidence) and QoL (MD ÃƒÂ¢Ã¢â€šÂ¬Ã¢â‚¬Å“0.71, 95% CI ÃƒÂ¢Ã¢â€šÂ¬Ã¢â‚¬Å“1.03 to ÃƒÂ¢Ã¢â€šÂ¬Ã¢â‚¬Å“0.38; very lowÃƒÂ¢Ã¢â€šÂ¬Ã‚Âcertainty evidence). Combination therapy may result in little or no difference in adverse events rate (RR 1.10, 95% CI 0.90 to 1.34; lowÃƒÂ¢Ã¢â€šÂ¬Ã‚Âcertainty evidence); based on 228 adverse events per 1000 participants in the alphaÃƒÂ¢Ã¢â€šÂ¬Ã‚Âblocker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ÃƒÂ¢Ã¢â€šÂ¬Ã¢â‚¬Å“3.71, 95% CI ÃƒÂ¢Ã¢â€šÂ¬Ã¢â‚¬Å“9.41 to 1.98; very lowÃƒÂ¢Ã¢â€šÂ¬Ã‚Âcertainty evidence). Combination therapy may result in an improvement in QoL (MD ÃƒÂ¢Ã¢â€šÂ¬Ã¢â‚¬Å“1.49, 95% CI ÃƒÂ¢Ã¢â€šÂ¬Ã¢â‚¬Å“1.88 to ÃƒÂ¢Ã¢â€šÂ¬Ã¢â‚¬Å“1.11; lo ÃƒÂ¢Ã¢â€šÂ¬Ã‚Âcertainty evidence). Combination therapy likely results in little to no difference in adverse events (RR 1.26, 95% CI 0.81 to 1.95; moderateÃƒÂ¢Ã¢â€šÂ¬Ã‚Âcertainty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alphaÃƒÂ¢Ã¢â€šÂ¬Ã‚Âblockers are associated with little or uncertain effects on urologic symptom scores compared to placebo, alphaÃƒÂ¢Ã¢â€šÂ¬Ã‚Âblockers, or anticholinergics monotherapy. However, combination therapy may result in an improvement in quality of life compared to anticholinergics monotherapy, but an uncertain effect compared to placebo, or alphaÃƒÂ¢Ã¢â€šÂ¬Ã‚Âblockers. Combination therapy likely increases adverse events compared to placebo, but not compared to alphaÃƒÂ¢Ã¢â€šÂ¬Ã‚Âblockers or anticholinergics monotherapy. The findings of this review were limited by study limitations, inconsistency, and imprecision. We were unable to conduct any of the predefined subgroup analyses. Plain language summary Anticholinergics combined with alphaÃƒÂ¢Ã¢â€šÂ¬Ã‚Âblockers for treating lower urinary tract symptoms related to benign prostatic obstruction Review question Is combination therapy with anticholinergics, a type of medicine that can relieve abnormal bladder contraction (where a man cannot control when he urinates), and alphaÃƒÂ¢Ã¢â€šÂ¬Ã‚Âblockers,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alphaÃƒÂ¢Ã¢â€šÂ¬Ã‚Âblockers have been used to relieve the urinary symptoms, up to one third of men get no benefit. Combination therapy with alphaÃƒÂ¢Ã¢â€šÂ¬Ã‚Âblockers and anticholinergics provides a treatment option for men with urinary symptoms. Study characteristics The search is upÃƒÂ¢Ã¢â€šÂ¬Ã‚ÂtoÃƒÂ¢Ã¢â€šÂ¬Ã‚Âdate to 7 August 2020. We identified 23 studies involving 6285 men. Five studies compared combination therapy with anticholinergics and alphaÃƒÂ¢Ã¢â€šÂ¬Ã‚Âblockers versus placebo (a pill with no therapeutic effects). A total of 22 studies compared combination therapy with anticholinergics and alphaÃƒÂ¢Ã¢â€šÂ¬Ã‚Âblockers versus alphaÃƒÂ¢Ã¢â€šÂ¬Ã‚Âblockers alone. Three studies compared combination therapy with anticholinergics and alphaÃƒÂ¢Ã¢â€šÂ¬Ã‚Âblockers versus anticholinergics alone. The followÃƒÂ¢Ã¢â€šÂ¬Ã‚Âup period in the studies ranged from 12 weeks to one year. Key results Combination therapy versus placebo: combination therapy with anticholinergics and alphaÃƒÂ¢Ã¢â€šÂ¬Ã‚Âblockers was associated with little effect in urinary symptoms and uncertain improvement on quality of life, but combination therapy may increase unwanted side effects. Combination therapy versus alphaÃƒÂ¢Ã¢â€šÂ¬Ã‚Âblockers: combination therapy with anticholinergics and alphaÃƒÂ¢Ã¢â€šÂ¬Ã‚Âblockers may have uncertain effects on improvement of urinary symptoms and quality of life compared to alphaÃƒÂ¢Ã¢â€šÂ¬Ã‚Âblockers alone. Combination therapy may not increase unwanted side effects. Combination therapy compared to anticholinergics: combination therapy with anticholinergics and alphaÃƒÂ¢Ã¢â€šÂ¬Ã‚Âblockers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</si>
  <si>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Focuses on medication efficacy, not NHS Three Shifts.</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</si>
  <si>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</si>
  <si>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</si>
  <si>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ÃƒÂ¢Ã¢â€šÂ¬Ã‚Â cholinesterase inhibitors (donepezil, galantamine and rivastigmine) and memantine ÃƒÂ¢Ã¢â€šÂ¬Ã‚Â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carerÃƒÂ¢Ã¢â€šÂ¬Ã‚Ârelated outcomes. Search methods We searched the Cochrane Dementia and Cognitive Improvement GroupÃƒÂ¢Ã¢â€šÂ¬Ã¢â€žÂ¢s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fullÃƒÂ¢Ã¢â€šÂ¬Ã‚Âtext articles for inclusion, extracted data from included trials and assessed risk of bias using the Cochrane risk of bias tool. Where trials were sufficiently similar, we pooled data for outcomes in the short term (up to 2 months after randomisation), medium term (3ÃƒÂ¢Ã¢â€šÂ¬Ã‚Â11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ÃƒÂ¢Ã¢â€šÂ¬Ã‚Â0.42, 95% confidence interval (CI) ÃƒÂ¢Ã¢â€šÂ¬Ã‚Â0.64 to ÃƒÂ¢Ã¢â€šÂ¬Ã‚Â0.21; 4 studies; low certainty), but the effect in the medium term is very uncertain (SMD ÃƒÂ¢Ã¢â€šÂ¬Ã‚Â0.40, 95% CI ÃƒÂ¢Ã¢â€šÂ¬Ã‚Â0.87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ÃƒÂ¢Ã¢â€šÂ¬Ã‚Â0.62; 95% CI ÃƒÂ¢Ã¢â€šÂ¬Ã‚Â0.94 to ÃƒÂ¢Ã¢â€šÂ¬Ã‚Â0.31). Data from one longerÃƒÂ¢Ã¢â€šÂ¬Ã‚Âterm study suggest that discontinuing a cholinesterase inhibitor is probably associated with worse cognitive function at 12 months (mean difference (MD) ÃƒÂ¢Ã¢â€šÂ¬Ã‚Â2.09 Standardised MiniÃƒÂ¢Ã¢â€šÂ¬Ã‚ÂMental State Examination (SMMSE) points, 95% CI ÃƒÂ¢Ã¢â€šÂ¬Ã‚Â3.43 to ÃƒÂ¢Ã¢â€šÂ¬Ã‚Â0.75; moderate certainty). Discontinuation may make little or no difference to functional status in the short term (SM ÃƒÂ¢Ã¢â€šÂ¬Ã‚Â0.25, 95% CI ÃƒÂ¢Ã¢â€šÂ¬Ã‚Â0.54 to 0.04; 2 studies; low certainty), and its effect in the medium term is uncertain (SMD ÃƒÂ¢Ã¢â€šÂ¬Ã‚Â0.38, 95% CI ÃƒÂ¢Ã¢â€šÂ¬Ã‚Â0.74 to ÃƒÂ¢Ã¢â€šÂ¬Ã‚Â0.01; 2 studies; very low certainty). After 12 months, discontinuing a cholinesterase inhibitor probably results in greater functional impairment than continuing treatment (MD ÃƒÂ¢Ã¢â€šÂ¬Ã‚Â3.38 Bristol Activities of Daily Living Scale (BADLS) points, 95% CI ÃƒÂ¢Ã¢â€šÂ¬Ã‚Â6.67 to ÃƒÂ¢Ã¢â€šÂ¬Ã‚Â0.10; one study; moderate certainty). Discontinuation may be associated with a worsening of neuropsychiatric symptoms over the short term and medium term, although we cannot exclude a minimal effect (SMD ÃƒÂ¢Ã¢â€šÂ¬Ã‚Â 0.48, 95% CI ÃƒÂ¢Ã¢â€šÂ¬Ã‚Â0.82 to ÃƒÂ¢Ã¢â€šÂ¬Ã‚Â0.13; 2 studies; low certainty; and SMD ÃƒÂ¢Ã¢â€šÂ¬Ã‚Â0.27, 95% CI ÃƒÂ¢Ã¢â€šÂ¬Ã‚Â0.47 to ÃƒÂ¢Ã¢â€šÂ¬Ã‚Â0.08; 3 studies; low certainty, respectively). Data from one study suggest that discontinuing a cholinesterase inhibitor may result in little to no change in neuropsychiatric status at 12 months (MD ÃƒÂ¢Ã¢â€šÂ¬Ã‚Â0.87 Neuropsychiatric Inventory (NPI) points; 95% CI ÃƒÂ¢Ã¢â€šÂ¬Ã‚Â8.42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wellÃƒÂ¢Ã¢â€šÂ¬Ã‚Âdesigned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antiÃƒÂ¢Ã¢â€šÂ¬Ã‚Âdementia drugs in patients with dementia Background Dementia is the term used to describe a group of illnesses, usually developing in late life, in which there is a deterioration in a personÃƒÂ¢Ã¢â€šÂ¬Ã¢â€žÂ¢s ability to think, remember, communicate and manage daily activities independently. It can be caused by several different brain diseases, but the most common form is dementia due to AlzheimerÃƒÂ¢Ã¢â€šÂ¬Ã¢â€žÂ¢s disease. At the moment, there are no medical treatments which can prevent dementia or stop it from progressing, but there are two classes of drugs ÃƒÂ¢Ã¢â€šÂ¬Ã¢â‚¬Å“ the cholinesterase inhibitors (donepezil, rivastigmine and galantamine) and memantine ÃƒÂ¢Ã¢â€šÂ¬Ã‚Â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longÃƒÂ¢Ã¢â€šÂ¬Ã‚Âterm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AlzheimerÃƒÂ¢Ã¢â€šÂ¬Ã¢â€žÂ¢s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patientsÃƒÂ¢Ã¢â€šÂ¬Ã¢â€žÂ¢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AlzheimerÃƒÂ¢Ã¢â€šÂ¬Ã¢â€žÂ¢s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patientÃƒÂ¢Ã¢â€šÂ¬Ã¢â€žÂ¢s preferences, are also important.</t>
  </si>
  <si>
    <t>Focus on drug withdrawal effects in dementia, not NHS shifts.</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</si>
  <si>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</si>
  <si>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</si>
  <si>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Ãƒâ€šÃ‚Â© Queen's Printer and Controller of HMSO 2021.</t>
  </si>
  <si>
    <t>Focuses on occupational health, not NHS Three Shifts.</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</si>
  <si>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</si>
  <si>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</si>
  <si>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Ãƒâ€šÃ‚Â© Author(s) (or their employer(s)) 2020. Re-use permitted under CC BY-NC. No commercial re-use. See rights and permissions. Published by BMJ.</t>
  </si>
  <si>
    <t>Community-based support for carers of stroke survivors.</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</si>
  <si>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</si>
  <si>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</si>
  <si>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Ãƒâ€šÃ‚Â© Authors 2021</t>
  </si>
  <si>
    <t>Focuses on cost-effectiveness of procedures, not NHS shifts.</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</si>
  <si>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</si>
  <si>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</si>
  <si>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Ãƒâ€šÃ‚Â©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</si>
  <si>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</si>
  <si>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</si>
  <si>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Ãƒâ€šÃ‚Â© AANS 2021.</t>
  </si>
  <si>
    <t>Focuses on hospital efficiency, not community, digital, or prevention shifts.</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</si>
  <si>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</si>
  <si>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</si>
  <si>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</si>
  <si>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Focus on monitoring chronic conditions in primary care aligns with community shift.</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</si>
  <si>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</si>
  <si>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</si>
  <si>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</si>
  <si>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</si>
  <si>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</si>
  <si>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Ãƒâ€šÃ‚Â© 2021 Perkins et al.</t>
  </si>
  <si>
    <t>Focuses on treatment efficacy, not NHS Three Shifts.</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</si>
  <si>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</si>
  <si>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</si>
  <si>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quasiÃƒÂ¢Ã¢â€šÂ¬Ã‚ÂRCTs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patientÃƒÂ¢Ã¢â€šÂ¬Ã‚Âreported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quasiÃƒÂ¢Ã¢â€šÂ¬Ã‚ÂRCT,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lowÃƒÂ¢Ã¢â€šÂ¬Ã‚Âcertainty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lowÃƒÂ¢Ã¢â€šÂ¬Ã‚Âcertainty evidence of no clinically important difference between the two groups in patientÃƒÂ¢Ã¢â€šÂ¬Ã‚Ârated function or active finger range of motion at 6 or 12 months followÃƒÂ¢Ã¢â€šÂ¬Ã‚Âup. There is very lowÃƒÂ¢Ã¢â€šÂ¬Ã‚Âcertainty evidence of little betweenÃƒÂ¢Ã¢â€šÂ¬Ã‚Âgroup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selfÃƒÂ¢Ã¢â€šÂ¬Ã‚Ârated function, on range of movement during three to six months or numbers of participants experiencing adverse events. The very lowÃƒÂ¢Ã¢â€šÂ¬Ã‚Âcertainty evidence for poor (under oneÃƒÂ¢Ã¢â€šÂ¬Ã‚Âquarter that of normal) range of finger movement at one to three years followÃƒÂ¢Ã¢â€šÂ¬Ã‚Âup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lowÃƒÂ¢Ã¢â€šÂ¬Ã‚Âcertainty evidence of no difference in selfÃƒÂ¢Ã¢â€šÂ¬Ã‚Ârated function using the Disability of the Arm, Shoulder and Hand (DASH) functional assessment between the two groups at six months (one trial) or at 12 months (one trial). There is very lowÃƒÂ¢Ã¢â€šÂ¬Ã‚Âcertainty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lowÃƒÂ¢Ã¢â€šÂ¬Ã‚Âcertainty. Authors' conclusions There is a lack of evidence from RCTs on most of the rehabilitation interventions used following surgery for flexor tendon injuries of the hand. The limited and very lowÃƒÂ¢Ã¢â€šÂ¬Ã‚Âcertainty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ÃƒÂ¢Ã¢â€šÂ¬Ã¢â‚¬Å“ for example, because of a deep cut from broken glass ÃƒÂ¢Ã¢â€šÂ¬Ã¢â‚¬Å“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ÃƒÂ¢Ã¢â€šÂ¬Ã‚Â which approaches are most effect ve in restoring finger motion and function; and ÃƒÂ¢Ã¢â€šÂ¬Ã‚Â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ÃƒÂ¢Ã¢â€šÂ¬Ã‚Â no treatment; ÃƒÂ¢Ã¢â€šÂ¬Ã‚Â a placebo (dummy) treatment (in which, for example, someone thinks they may be receiving laser therapy but the machine is switched off); or ÃƒÂ¢Ã¢â€šÂ¬Ã‚Â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threeÃƒÂ¢Ã¢â€šÂ¬Ã‚Âquarters of them were male. Ten studies evaluated one each of eight different hand exercise programmes. The other seven studies evaluated a variety of other rehabilitation approaches, such as: ÃƒÂ¢Ã¢â€šÂ¬Ã‚Â laser therapy, in which light is directed at the tendons to encourage healing; ÃƒÂ¢Ã¢â€šÂ¬Ã‚Â ultrasound, in which sound waves are directed at the tendons to encourage healing; and ÃƒÂ¢Ã¢â€šÂ¬Ã‚Â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ÃƒÂ¢Ã¢â€šÂ¬Ã‚Â one study (84 people) that compared finger exercises against immobilisation; ÃƒÂ¢Ã¢â€šÂ¬Ã‚Â one study (53 people) that evaluated the effects of adding regular finger exercises (20 to 30 times every waking hour for four weeks from the first day after surgery) to ÃƒÂ¢Ã¢â€šÂ¬Ã‹Å“passiveÃƒÂ¢Ã¢â€šÂ¬Ã¢â€žÂ¢ exercises (in which people regularly folded the fingers in the injured hand using the uninjured hand); and ÃƒÂ¢Ã¢â€šÂ¬Ã‚Â three studies (190 people) that evaluated the effects of adding ÃƒÂ¢Ã¢â€šÂ¬Ã‹Å“place and holdÃƒÂ¢Ã¢â€šÂ¬Ã¢â€žÂ¢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cliniciansÃƒÂ¢Ã¢â€šÂ¬Ã¢â€žÂ¢ and patientsÃƒÂ¢Ã¢â€šÂ¬Ã¢â€žÂ¢ choice of rehabilitation after surgery for flexor tendon injuries. How upÃƒÂ¢Ã¢â€šÂ¬Ã‚ÂtoÃƒÂ¢Ã¢â€šÂ¬Ã‚Âdate is this review? The evidence in this Cochrane Review is current to August 2020.</t>
  </si>
  <si>
    <t>Focuses on rehabilitation post-surgery, not aligned with NHS shifts.</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</si>
  <si>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</si>
  <si>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</si>
  <si>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Ãƒâ€šÃ‚Â© 2021 The Authors</t>
  </si>
  <si>
    <t>Focus on hospital infection control, not NHS shifts.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</si>
  <si>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</si>
  <si>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</si>
  <si>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</si>
  <si>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Focus on early detection and prevention of ovarian cancer.</t>
  </si>
  <si>
    <t>J2857</t>
  </si>
  <si>
    <t>Antiemetics for adults for prevention of nausea and vomiting caused by moderately or highly emetogenic chemotherapy: a network metaÃƒÂ¢Ã¢â€šÂ¬Ã‚Âanalysis</t>
  </si>
  <si>
    <t>- Background About 70% to 80% of adults with cancer experience chemotherapyÃƒÂ¢Ã¢â€šÂ¬Ã‚Âinduced nausea and vomiting (CINV). CINV remains one of the most distressing symptoms associated with cancer therapy and is associated with decreased adherence to chemotherapy. Combining 5ÃƒÂ¢Ã¢â€šÂ¬Ã‚ÂhydroxytryptamineÃƒÂ¢Ã¢â€šÂ¬Ã‚Â3 (5ÃƒÂ¢Ã¢â€šÂ¬Ã‚ÂHTÃƒÂ¢Ã¢â‚¬Å¡Ã†â€™) receptor antagonists with corticosteroids or additionally with neurokininÃƒÂ¢Ã¢â€šÂ¬Ã‚Â1 (NKÃƒÂ¢Ã¢â‚¬Å¡Ã‚Â) receptor antagonists is effective in preventing CINV among adults receiving highly emetogenic chemotherapy (HEC) or moderately emetogenic chemotherapy (MEC). Various treatment options are available, but direct headÃƒÂ¢Ã¢â€šÂ¬Ã‚ÂtoÃƒÂ¢Ã¢â€šÂ¬Ã‚Âhead comparisons do not allow comparison of all treatments versus another. Objectives ÃƒÂ¢Ã¢â€šÂ¬Ã‚Â¢ In adults with solid cancer or haematological malignancy receiving HEC ÃƒÂ¢Ã¢â€šÂ¬Ã‚Â To compare the effects of antiemetic treatment combinations including NKÃƒÂ¢Ã¢â‚¬Å¡Ã‚Â receptor antagonists, 5ÃƒÂ¢Ã¢â€šÂ¬Ã‚ÂHTÃƒÂ¢Ã¢â‚¬Å¡Ã†â€™ receptor antagonists, and corticosteroids on prevention of acute phase (Day 1), delayed phase (Days 2 to 5), and overall (Days 1 to 5) chemotherapyÃƒÂ¢Ã¢â€šÂ¬Ã‚Âinduced nausea and vomiting in network metaÃƒÂ¢Ã¢â€šÂ¬Ã‚Âanalysis (NMA) ÃƒÂ¢Ã¢â€šÂ¬Ã‚Â To generate a clinically meaningful treatment ranking according to treatment safety and efficacy ÃƒÂ¢Ã¢â€šÂ¬Ã‚Â¢ In adults with solid cancer or haematological malignancy receiving MEC ÃƒÂ¢Ã¢â€šÂ¬Ã‚Â To compare whether antiemetic treatment combinations including NKÃƒÂ¢Ã¢â‚¬Å¡Ã‚Â receptor antagonists, 5ÃƒÂ¢Ã¢â€šÂ¬Ã‚ÂHTÃƒÂ¢Ã¢â‚¬Å¡Ã†â€™ receptor antagonists, and corticosteroids are superior for prevention of acute phase (Day 1), delayed phase (Days 2 to 5), and overall (Days 1 to 5) chemotherapyÃƒÂ¢Ã¢â€šÂ¬Ã‚Âinduced nausea and vomiting to treatment combinations including 5ÃƒÂ¢Ã¢â€šÂ¬Ã‚ÂHTÃƒÂ¢Ã¢â‚¬Å¡Ã†â€™ receptor antagonists and corticosteroids solely, in network metaÃƒÂ¢Ã¢â€šÂ¬Ã‚Âanalysis ÃƒÂ¢Ã¢â€šÂ¬Ã‚Â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NKÃƒÂ¢Ã¢â‚¬Å¡Ã‚Â and 5ÃƒÂ¢Ã¢â€šÂ¬Ã‚ÂHTÃƒÂ¢Ã¢â‚¬Å¡Ã†â€™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onÃƒÂ¢Ã¢â€šÂ¬Ã‚Âstudy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NKÃƒÂ¢Ã¢â‚¬Å¡Ã‚Â and 5ÃƒÂ¢Ã¢â€šÂ¬Ã‚ÂHTÃƒÂ¢Ã¢â‚¬Å¡Ã†â€™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NKÃƒÂ¢Ã¢â‚¬Å¡Ã‚Â and 5ÃƒÂ¢Ã¢â€šÂ¬Ã‚ÂHTÃƒÂ¢Ã¢â‚¬Å¡Ã†â€™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lowÃƒÂ¢Ã¢â€šÂ¬Ã‚Âcertainty), aprepitant + ramosetron (753 of 1000; RR 1.07, 95% CI 0.95 to 1.21; low certainty), and fosaprepitant + palonosetron (746 of 1000; RR 1.06, 95% CI 0.96 to .19; low certainty). Netupitant + palonosetron (704 of 1000; RR 1.00, 95% CI 0.93 to 1.08; highÃƒÂ¢Ã¢â€šÂ¬Ã‚Âcertainty) and fosaprepitant + granisetron (697 of 1000; RR 0.99, 95% CI 0.93 to 1.06; highÃƒÂ¢Ã¢â€šÂ¬Ã‚Âcertainty)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NKÃƒÂ¢Ã¢â‚¬Å¡Ã‚Â and 5ÃƒÂ¢Ã¢â€šÂ¬Ã‚ÂHTÃƒÂ¢Ã¢â‚¬Å¡Ã†â€™ inhibitors, or 5ÃƒÂ¢Ã¢â€šÂ¬Ã‚ÂHTÃƒÂ¢Ã¢â‚¬Å¡Ã†â€™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pairÃƒÂ¢Ã¢â€šÂ¬Ã‚Âwise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chemotherapyÃƒÂ¢Ã¢â€šÂ¬Ã‚Âinduced nausea and vomiting. For people receiving MEC, synthesised evidence does not suggest superiority for treatments including both NKÃƒÂ¢Ã¢â‚¬Å¡Ã‚Â and 5ÃƒÂ¢Ã¢â€šÂ¬Ã‚ÂHTÃƒÂ¢Ã¢â‚¬Å¡Ã†â€™ inhibitors when compared to treatments including 5ÃƒÂ¢Ã¢â€šÂ¬Ã‚ÂHTÃƒÂ¢Ã¢â‚¬Å¡Ã†â€™ inhibitors only. Rather, the results of our NMA suggest that the choice of 5ÃƒÂ¢Ã¢â€šÂ¬Ã‚ÂHTÃƒÂ¢Ã¢â‚¬Å¡Ã†â€™ inhibitor may have an impact on treatment efficacy in preventing CINV. When interpreting the results of this systematic review, it is important for the reader to understand that NMAs are no substitute for direct headÃƒÂ¢Ã¢â€šÂ¬Ã‚ÂtoÃƒÂ¢Ã¢â€šÂ¬Ã‚Âhead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metaÃƒÂ¢Ã¢â€šÂ¬Ã‚Âanalysis, we aimed to compare the benefits and harms of different drug combinations for prevention of CINV among people receiving HEC or MEC, and to identify treatment ranking. A network metaÃƒÂ¢Ã¢â€šÂ¬Ã‚Âanalysis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realÃƒÂ¢Ã¢â€šÂ¬Ã‚Âworld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realÃƒÂ¢Ã¢â€šÂ¬Ã‚Âworld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multipleÃƒÂ¢Ã¢â€šÂ¬Ã‚Âcomparison analyses are no substitute for headÃƒÂ¢Ã¢â€šÂ¬Ã‚ÂtoÃƒÂ¢Ã¢â€šÂ¬Ã‚Âhead comparisons, and that the results do not necessarily rule out differences that could be clinically relevant for some individuals. How upÃƒÂ¢Ã¢â€šÂ¬Ã‚ÂtoÃƒÂ¢Ã¢â€šÂ¬Ã‚Âdate is this evidence? Evidence is upÃƒÂ¢Ã¢â€šÂ¬Ã‚ÂtoÃƒÂ¢Ã¢â€šÂ¬Ã‚Âdate to 2 February 2021.</t>
  </si>
  <si>
    <t>J2858</t>
  </si>
  <si>
    <t>Secondary prevention of variceal bleeding in adults with previous oesophageal variceal bleeding due to decompensated liver cirrhosis: a network metaÃƒÂ¢Ã¢â€šÂ¬Ã‚Âanalysis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</si>
  <si>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betaÃƒÂ¢Ã¢â€šÂ¬Ã‚Âblockers,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metaÃƒÂ¢Ã¢â€šÂ¬Ã‚Âanalysis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of Health and Care Excellence Decision Support Unit guidance. Main results We included a total of 48 randomised clinical trials (3526 participants) in the review. FortyÃƒÂ¢Ã¢â€šÂ¬Ã‚Âsix trials (3442 participants) were included in one or more comparisons. The trials that provided the information included people with cirrhosis due to varied aetiologies. The followÃƒÂ¢Ã¢â€šÂ¬Ã‚Âup ranged from two months to 61 months. All the trials were at high risk of bias. A total of 12 interventions were compared in these trials (sclerotherapy, betaÃƒÂ¢Ã¢â€šÂ¬Ã‚Âblockers, variceal band ligation, betaÃƒÂ¢Ã¢â€šÂ¬Ã‚Âblockers plus sclerotherapy, no active intervention, TIPS (transjugular intrahepatic portosystemic shunt), betaÃƒÂ¢Ã¢â€šÂ¬Ã‚Âblockers plus nitrates, portocaval shunt, sclerotherapy plus variceal band ligation, betaÃƒÂ¢Ã¢â€šÂ¬Ã‚Âblockers plus nitrates plus variceal band ligation, betaÃƒÂ¢Ã¢â€šÂ¬Ã‚Âblockers plus variceal band ligation, sclerotherapy plus nitrates). Overall, 22.5% of the trial participants who received the reference treatment (chosen because this was the commonest treatment compared in the trials) of sclerotherapy died during the followÃƒÂ¢Ã¢â€šÂ¬Ã‚Âup period ranging from two months to 61 months. There was considerable uncertainty in the effects of interventions on mortality. Accordingly, none of the interventions showed superiority over another. None of the trials reported healthÃƒÂ¢Ã¢â€šÂ¬Ã‚Ârelated quality of life. Based on lowÃƒÂ¢Ã¢â€šÂ¬Ã‚Âcertainty evidence, variceal band ligation may result in fewer serious adverse events (number of people) than sclerotherapy (OR 0.19; 95% CrI 0.06 to 0.54; 1 trial; 100 participants). Based on low or very lowÃƒÂ¢Ã¢â€šÂ¬Ã‚Âcertainty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lowÃƒÂ¢Ã¢â€šÂ¬Ã‚Âcertainty evidence, TIPS may result in large decrease in symptomatic rebleed than variceal band ligation (HR 0.12; 95% CrI 0.03 to 0.41; 1 trial; 58 participants). Based on moderateÃƒÂ¢Ã¢â€šÂ¬Ã‚Âcertainty evidence, any variceal rebleed was probably lower in sclerotherapy than in no active intervention (HR 0.62; 95% CrI 0.35 to 0.99, direct comparison HR 0.66; 95% CrI 0.11 to 3.13; 3 trials; 296 participants), betaÃƒÂ¢Ã¢â€šÂ¬Ã‚Âblockers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lowÃƒÂ¢Ã¢â€šÂ¬Ã‚Âcertainty evidence, betaÃƒÂ¢Ã¢â€šÂ¬Ã‚Âblockers alone and TIPS might result in more, other compensation, events than sclerotherapy (rate ratio 2.37; 95% CrI 1.35 to 4.67; 1 trial; 65 participants and rate ratio 2.30; 95% CrI 1.20 to 4.65; 2 trials; 109 participants; lowÃƒÂ¢Ã¢â€šÂ¬Ã‚Âcertainty evidence). The evidence indicates considerable uncertainty about the effect of the interventions including those related to betaÃƒÂ¢Ã¢â€šÂ¬Ã‚Âblockers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BetaÃƒÂ¢Ã¢â€šÂ¬Ã‚Âblockers plus sclerotherapy and TIPS probably result in fewer 'any' variceal rebleeding than sclerotherapy. BetaÃƒÂ¢Ã¢â€šÂ¬Ã‚Âblockers alone and TIPS might result in more other compensation events than sclerotherapy. The evidence indicates considerable uncertainty about the effect of the interventions in the remaining comparisons. Accordingly, highÃƒÂ¢Ã¢â€šÂ¬Ã‚Âquality randomised comparative clinical trials are needed. Plain language summary Prevention of rebleeding from enlarged veins in the food pipe (oesophagus) resulting from advanced liver disease What is the aim of this Cochrane Review? ÃƒÂ¢Ã¢â€šÂ¬Ã‚Â¨To find out the best available preventive treatment for repeated bleeding from oesophageal varices (enlarged veins in the food pipe) in people with advanced liver disease (liver cirrhosis, or lateÃƒÂ¢Ã¢â€šÂ¬Ã‚Âstage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metaÃƒÂ¢Ã¢â€šÂ¬Ã‚Âanalysis'). Date of literature search ÃƒÂ¢Ã¢â€šÂ¬Ã‚Â¨December 2019 Key messages ÃƒÂ¢Ã¢â€šÂ¬Ã‚Â¨None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ÃƒÂ¢Ã¢â€šÂ¬Ã‚Â¨This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betaÃƒÂ¢Ã¢â€šÂ¬Ã‚Âblockers (drugs that slow the heart and decrease the force of heart pumping resulting in decrease pressure in the blood vessels), and TIPS (transjugular intrahepatic portosystemic shunt; an artificial channel that connects the different blood vessels that carry oxygenÃƒÂ¢Ã¢â€šÂ¬Ã‚Âdepleted blood (venous system)) within the liver to reduce the pressure builtÃƒÂ¢Ã¢â€šÂ¬Ã‚Âup in the portal venous system, one of the two venous systems draining the liver), portocaval shunt (performing surgery to create the artificial channel described for TIPS) among others. The review authors wanted to gather and analyse data on death, quality of life, serious and nonÃƒÂ¢Ã¢â€šÂ¬Ã‚Âserious adverse events, recurrence of bleeding, and development of other complications of advanced liver disease.ÃƒÂ¢Ã¢â€šÂ¬Ã‚Â¨ÃƒÂ¢Ã¢â€šÂ¬Ã‚Â¨ What were the main results of the review? ÃƒÂ¢Ã¢â€šÂ¬Ã‚Â¨The 48 studies included a small number of participants (3526 participants). Study data were sparse. FortyÃƒÂ¢Ã¢â€šÂ¬Ã‚Âsix studies with 3442 participants provided data for analyses. The followÃƒÂ¢Ã¢â€šÂ¬Ã‚Âup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following.ÃƒÂ¢Ã¢â€šÂ¬Ã‚Â¨ÃƒÂ¢Ã¢â€šÂ¬Ã‚Â The evidence indicates considerable uncertainty about the effect of the interventions on the risk of deathÃƒÂ¢Ã¢â€šÂ¬Ã‚Â¨ÃƒÂ¢Ã¢â€šÂ¬Ã‚Â Variceal band ligation might result in fewer serious adverse events than sclerotherapyÃƒÂ¢Ã¢â€šÂ¬Ã‚Â¨ÃƒÂ¢Ã¢â€šÂ¬Ã‚Â The evidence indicates considerable uncertainty about the effect of the interventions on serious and nonÃƒÂ¢Ã¢â€šÂ¬Ã‚Âserious adverse eventsÃƒÂ¢Ã¢â€šÂ¬Ã‚Â¨ÃƒÂ¢Ã¢â€šÂ¬Ã‚Â Sclerotherapy probably results in decrease in further bleeding than no treatmentÃƒÂ¢Ã¢â€šÂ¬Ã‚Â¨ÃƒÂ¢Ã¢â€šÂ¬Ã‚Â BetaÃƒÂ¢Ã¢â€šÂ¬Ã‚Âblockers plus sclerotherapy and TIPS probably result in a decrease in further bleeding than sclerotherapy aloneÃƒÂ¢Ã¢â€šÂ¬Ã‚Â¨ÃƒÂ¢Ã¢â€šÂ¬Ã‚Â Portocaval shunt may result in a decrease in further bleeding than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trials are needed to find out the best treatment for people with cirrhosis and previous bleeding from oesophageal varices.</t>
  </si>
  <si>
    <t>Focuses on treatment comparison, not on NHS shifts.</t>
  </si>
  <si>
    <t>J2861</t>
  </si>
  <si>
    <t>Integrated disease management interventions for patients with chronic obstructive pulmonary disease</t>
  </si>
  <si>
    <t>- Background People with chronic obstructive pulmonary disease (COPD) show considerable variation in symptoms, limitations, and wellÃƒÂ¢Ã¢â€šÂ¬Ã‚Âbeing; this often complicates medical care. A multiÃƒÂ¢Ã¢â€šÂ¬Ã‚Âdisciplinary and multiÃƒÂ¢Ã¢â€šÂ¬Ã‚Âcomponent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healthÃƒÂ¢Ã¢â€šÂ¬Ã‚Ârelated quality of life (QoL), exercise tolerance, and exacerbationÃƒÂ¢Ã¢â€šÂ¬Ã‚Ârelated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multiÃƒÂ¢Ã¢â€šÂ¬Ã‚Âdisciplinary (two or more healthcare providers) and multiÃƒÂ¢Ã¢â€šÂ¬Ã‚Âtreatment (two or more components) IDM programmes of at least three months' duration. Data collection and analysis Two review authors independently assessed trial quality and extracted data. If required, we contacted study authors to request additional data. We performed metaÃƒÂ¢Ã¢â€šÂ¬Ã‚Âanalyses using randomÃƒÂ¢Ã¢â€šÂ¬Ã‚Âeffects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metaÃƒÂ¢Ã¢â€šÂ¬Ã‚Âanalysis. FollowÃƒÂ¢Ã¢â€šÂ¬Ã‚Âup periods ranged between 3 and 48 months and were classified as shortÃƒÂ¢Ã¢â€šÂ¬Ã‚Âterm (up to 6 months), mediumÃƒÂ¢Ã¢â€šÂ¬Ã‚Âterm (6 to 15 months), and longÃƒÂ¢Ã¢â€šÂ¬Ã‚Âterm (longer than 15 months) followÃƒÂ¢Ã¢â€šÂ¬Ã‚Âup.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healthÃƒÂ¢Ã¢â€šÂ¬Ã‚Ârelated QoL as measured by St. George's Respiratory Questionnaire (SGRQ) total score at mediumÃƒÂ¢Ã¢â€šÂ¬Ã‚Âterm followÃƒÂ¢Ã¢â€šÂ¬Ã‚Âup (mean difference (MD) ÃƒÂ¢Ã¢â€šÂ¬Ã‚Â3.89, 95% confidence interval (CI) ÃƒÂ¢Ã¢â€šÂ¬Ã‚Â6.16 to ÃƒÂ¢Ã¢â€šÂ¬Ã‚Â1.63; 18 RCTs, 4321 participants; moderateÃƒÂ¢Ã¢â€šÂ¬Ã‚Âcertainty evidence). A comparable effect was observed at shortÃƒÂ¢Ã¢â€šÂ¬Ã‚Âterm followÃƒÂ¢Ã¢â€šÂ¬Ã‚Âup (MD ÃƒÂ¢Ã¢â€šÂ¬Ã‚Â3.78, 95% CI ÃƒÂ¢Ã¢â€šÂ¬Ã‚Â6.29 to ÃƒÂ¢Ã¢â€šÂ¬Ã‚Â1.28; 16 RCTs, 1788 participants). However, the common effect did not exceed the minimum clinically important difference (MCID) of 4 points. There was no significant difference between IDM and control for longÃƒÂ¢Ã¢â€šÂ¬Ã‚Âterm followÃƒÂ¢Ã¢â€šÂ¬Ã‚Âup and for generic QoL. IDM probably also leads to a large improvement in maximum and functional exercise capacity, as measured by sixÃƒÂ¢Ã¢â€šÂ¬Ã‚Âminute walking distance (6MWD), at mediumÃƒÂ¢Ã¢â€šÂ¬Ã‚Âterm followÃƒÂ¢Ã¢â€šÂ¬Ã‚Âup (MD 44.69, 95% CI 24.01 to 65.37; 13 studies, 2071 participants; moderateÃƒÂ¢Ã¢â€šÂ¬Ã‚Âcertainty evidence). The effect exceeded the MCID of 35 metres and was even greater at shortÃƒÂ¢Ã¢â€šÂ¬Ã‚Âterm (MD 52.26, 95% CI 32.39 to 72.74; 17 RCTs, 1390 participants) and longÃƒÂ¢Ã¢â€šÂ¬Ã‚Âterm (MD 48.83, 95% CI 16.37 to 80.49; 6 RCTs, 7288 participants) followÃƒÂ¢Ã¢â€šÂ¬Ã‚Âup. The number of participants with respiratoryÃƒÂ¢Ã¢â€šÂ¬Ã‚Ârelated admissions was reduced from 324 per 1000 participants in the control group to 235 per 1000 participants in the IDM group (odds ratio (OR) 0.64, 95% CI 0.50 to 0.81; 15 RCTs, median followÃƒÂ¢Ã¢â€šÂ¬Ã‚Âup 12 months, 4207 participants; highÃƒÂ¢Ã¢â€šÂ¬Ã‚Âcertainty evidence). Likewise, IDM probably results in a reduction in emergency department (ED) visits (OR 0.69, 95%CI 0.50 to 0.93; 9 RCTs, median followÃƒÂ¢Ã¢â€šÂ¬Ã‚Âup 12 months, 8791 participants; moderateÃƒÂ¢Ã¢â€šÂ¬Ã‚Âcertainty evidence), a slight reduction in allÃƒÂ¢Ã¢â€šÂ¬Ã‚Âcause hospital admissions (OR 0.75, 95%CI 0.57 to 0.98; 10 RCT , median followÃƒÂ¢Ã¢â€šÂ¬Ã‚Âup 12 months, 9030 participants; moderateÃƒÂ¢Ã¢â€šÂ¬Ã‚Âcertainty evidence), and fewer hospital days per person admitted (MD ÃƒÂ¢Ã¢â€šÂ¬Ã‚Â2.27, 95% CI ÃƒÂ¢Ã¢â€šÂ¬Ã‚Â3.98 to ÃƒÂ¢Ã¢â€šÂ¬Ã‚Â0.56; 14 RCTs, median followÃƒÂ¢Ã¢â€šÂ¬Ã‚Âup 12 months, 3563 participants; moderateÃƒÂ¢Ã¢â€šÂ¬Ã‚Âcertainty evidence). Statistically significant improvement was noted on the Medical Research Council (MRC) Dyspnoea Scale at shortÃƒÂ¢Ã¢â€šÂ¬Ã‚Â and mediumÃƒÂ¢Ã¢â€šÂ¬Ã‚Âterm followÃƒÂ¢Ã¢â€šÂ¬Ã‚Âup but not at longÃƒÂ¢Ã¢â€šÂ¬Ã‚Âterm followÃƒÂ¢Ã¢â€šÂ¬Ã‚Âup. No differences between groups were reported for mortality, courses of antibiotics/prednisolone, dyspnoea, and depression and anxiety scores. Subgroup analysis of dominant intervention components and regions of study suggested contextÃƒÂ¢Ã¢â€šÂ¬Ã‚Â and interventionÃƒÂ¢Ã¢â€šÂ¬Ã‚Âspecific effects. However, some subgroup analyses were marked by considerable heterogeneity or included few studies. These results should therefore be interpreted with caution. Authors' conclusions This review shows that IDM probably results in improvement in diseaseÃƒÂ¢Ã¢â€šÂ¬Ã‚Âspecific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processÃƒÂ¢Ã¢â€šÂ¬Ã‚Ârelated outcomes, longÃƒÂ¢Ã¢â€šÂ¬Ã‚Âterm followÃƒÂ¢Ã¢â€šÂ¬Ã‚Âup, and costÃƒÂ¢Ã¢â€šÂ¬Ã‚Âeffectiveness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selfÃƒÂ¢Ã¢â€šÂ¬Ã‚Âmanagement,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coÃƒÂ¢Ã¢â€šÂ¬Ã‚Âoperating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upÃƒÂ¢Ã¢â€šÂ¬Ã‚ÂtoÃƒÂ¢Ã¢â€šÂ¬Ã‚Âdate as of February 2021.</t>
  </si>
  <si>
    <t>IDM programs integrate care, aligning with Community shift.</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</si>
  <si>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</si>
  <si>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</si>
  <si>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</si>
  <si>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Study focuses on surgical outcomes, not NHS Three Shifts.</t>
  </si>
  <si>
    <t>J2865</t>
  </si>
  <si>
    <t>Intermittent catheter techniques, strategies and designs for managing longÃƒÂ¢Ã¢â€šÂ¬Ã‚Âterm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</si>
  <si>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costÃƒÂ¢Ã¢â€šÂ¬Ã‚Âeffectiveness. This is an update of a Cochrane Review first published in 2007. Objectives To assess the clinical and costÃƒÂ¢Ã¢â€šÂ¬Ã‚Âeffectiveness of different catheterisation techniques, strategies and catheter designs, and their impact, on UTI and other complications, and measures of satisfaction/quality of life among adults and children whose longÃƒÂ¢Ã¢â€šÂ¬Ã‚Âterm bladder condition is managed by intermittent catheterisation. Search methods We searched the Cochrane Incontinence Specialised Register, which contains trials identified from the Cochrane Central Register of Controlled Trials (CENTRAL), MEDLINE, MEDLINE InÃƒÂ¢Ã¢â€šÂ¬Ã‚ÂProcess,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crossÃƒÂ¢Ã¢â€šÂ¬Ã‚Âover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crossÃƒÂ¢Ã¢â€šÂ¬Ã‚Âover trials. Most were small (fewer than 60 participants completed), although three trials had more than 100 participants. Length of followÃƒÂ¢Ã¢â€šÂ¬Ã‚Âup ranged from one month to 12 months and there was considerable variation in definitions of UTI. Most of the data from crossÃƒÂ¢Ã¢â€šÂ¬Ã‚Âover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lowÃƒÂ¢Ã¢â€šÂ¬Ã‚Âcertainty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SingleÃƒÂ¢Ã¢â€šÂ¬Ã‚Âuse (sterile) catheter versus multipleÃƒÂ¢Ã¢â€šÂ¬Ã‚Âuse (clean) We are uncertain if there is any difference between singleÃƒÂ¢Ã¢â€šÂ¬Ã‚Âuse and multipleÃƒÂ¢Ã¢â€šÂ¬Ã‚Âuse catheters in terms of the risk of symptomatic UTI because the certainty of evidence is low and the 95% CI is consistent with possible benefit and possible harm (RR 0.98, 95% CI 0.55, 1.74; two studies; 97 participants). One study comparing singleÃƒÂ¢Ã¢â€šÂ¬Ã‚Âuse catheters to multipleÃƒÂ¢Ã¢â€šÂ¬Ã‚Âuse catheters reported zero adverse events in either group; no other adverse event data were reported for this comparison. We identified no data for participant satisfaction or preference. HydrophilicÃƒÂ¢Ã¢â€šÂ¬Ã‚Âcoated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hydrophilicÃƒÂ¢Ã¢â€šÂ¬Ã‚Âcoated catheters (RR 1.37, 95% CI 1.01 to 1.87; moderateÃƒÂ¢Ã¢â€šÂ¬Ã‚Âcertainty evidence). The evidence is uncertain if hydrophilicÃƒÂ¢Ã¢â€šÂ¬Ã‚Âcoated catheters compared with uncoated catheters has any effect on participant satisfaction measured on a 0ÃƒÂ¢Ã¢â€šÂ¬Ã‚Â10 scale (MD 0.7 higher, 95% CI 0.19 to 1.21; very lowÃƒÂ¢Ã¢â€šÂ¬Ã‚Âcertainty evidence; one study; 114 participants). Due to the paucity of data, we could not assess the certainty of evidence relating to participant preference (one crossÃƒÂ¢Ã¢â€šÂ¬Ã‚Âover trial of 29 participants reported greater preference for a hydrophilicÃƒÂ¢Ã¢â€šÂ¬Ã‚Âcoated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multipleÃƒÂ¢Ã¢â€šÂ¬Ã‚Âuse (clean) catheters, coated or uncoated catheters or different catheter lengths. The current research evidence is uncertain and design and reporting issues are significant. More wellÃƒÂ¢Ã¢â€šÂ¬Ã‚Âdesigned trials are needed. Such trials should include analysis of costÃƒÂ¢Ã¢â€šÂ¬Ã‚Âeffectiveness because there are likely to be substantial differences associated with the use of different catheterisation techniques and strategies, and catheter designs. Plain language summary Intermittent catheter techniques, strategies and catheter designs for managing longÃƒÂ¢Ã¢â€šÂ¬Ã‚Âterm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multipleÃƒÂ¢Ã¢â€šÂ¬Ã‚Âuse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ÃƒÂ¢Ã¢â€šÂ¬Ã‹Å“aseptic techniqueÃƒÂ¢Ã¢â€šÂ¬Ã¢â€žÂ¢ is used in healthcare settings, with specially packaged sterile equipment (gloves, lubricant and catheter) and a technique that avoids the catheter coming into contact with anything nonÃƒÂ¢Ã¢â€šÂ¬Ã‚Âsterile (including hands, equipment and surfaces) before it is inserted. People inserting their own catheters use a ÃƒÂ¢Ã¢â€šÂ¬Ã‹Å“cleanÃƒÂ¢Ã¢â€šÂ¬Ã¢â€žÂ¢ technique, where the environment is kept as clean as possible and a sterile or clean (multipleÃƒÂ¢Ã¢â€šÂ¬Ã‚Âuse) catheter is used without the need for gloves. Strategies: SingleÃƒÂ¢Ã¢â€šÂ¬Ã‚Âuse versus multipleÃƒÂ¢Ã¢â€šÂ¬Ã‚Âuse There are two types of catheter use: singleÃƒÂ¢Ã¢â€šÂ¬Ã‚Âuse and multipleÃƒÂ¢Ã¢â€šÂ¬Ã‚Âuse. ReÃƒÂ¢Ã¢â€šÂ¬Ã‚Âuse of catheters means that the catheter is cleaned and reÃƒÂ¢Ã¢â€šÂ¬Ã‚Âused a varying number of times (e.g. for up to 24 hours or for one week/month). Design: Uncoated versus hydrophilicÃƒÂ¢Ã¢â€šÂ¬Ã‚Âcoated Uncoated catheters are typically clear PVC and packed individually in sterile packaging. They may be supplied preÃƒÂ¢Ã¢â€šÂ¬Ã‚Âlubricated, or used with a separate lubricant or water to aid insertion HydrophilicÃƒÂ¢Ã¢â€šÂ¬Ã‚Âcoated catheters have a slippery coating and either are supplied ready to use, or require the addition of water. Design: Shorter versus standard length Catheters come in varying sizes and lengths to suit men, women and children, and people's different needs. How upÃƒÂ¢Ã¢â€šÂ¬Ã‚ÂtoÃƒÂ¢Ã¢â€šÂ¬Ã‚Âdate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SingleÃƒÂ¢Ã¢â€šÂ¬Ã‚Âuse (sterile) catheter versus multipleÃƒÂ¢Ã¢â€šÂ¬Ã‚Âuse (clean) We are uncertain if there is any difference between singleÃƒÂ¢Ã¢â€šÂ¬Ã‚Âuse and multipleÃƒÂ¢Ã¢â€šÂ¬Ã‚Âuse catheters in the risk of symptomatic UTI because the certainty of evidence is low. One study comparing these interventions reported zero adverse events in either group and no other adverse event data were reported. HydrophilicÃƒÂ¢Ã¢â€šÂ¬Ã‚Âcoated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hydrophilicÃƒÂ¢Ã¢â€šÂ¬Ã‚Âcoated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costÃƒÂ¢Ã¢â€šÂ¬Ã‚Âeffectiveness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wellÃƒÂ¢Ã¢â€šÂ¬Ã‚Âdesigned trials are needed. Such trials should include analysis of costÃƒÂ¢Ã¢â€šÂ¬Ã‚Âeffectiveness because there are likely to be substantial differences associated with the use of different catheter designs, catheterisation techniques and strategies.</t>
  </si>
  <si>
    <t>Focuses on catheter techniques, not aligned with NHS shifts.</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</si>
  <si>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</si>
  <si>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</si>
  <si>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</si>
  <si>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Focuses on surgical technique cost-effectiveness, not NHS Three Shifts.</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</si>
  <si>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</si>
  <si>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</si>
  <si>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multipleÃƒÂ¢Ã¢â€šÂ¬Ã‚Â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</si>
  <si>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Focuses on fertility treatment, not related to NHS shifts.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</si>
  <si>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</si>
  <si>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</si>
  <si>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</si>
  <si>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Focuses on diagnostic criteria, not NHS shifts.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</si>
  <si>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</si>
  <si>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</si>
  <si>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Ãƒâ€šÃ‚Â© 2021 The Author(s). Published by Informa UK Limited, trading as Taylor &amp; Francis Group.</t>
  </si>
  <si>
    <t>Focuses on treatment cost-effectiveness, not on NHS Three Shifts.</t>
  </si>
  <si>
    <t>J2878</t>
  </si>
  <si>
    <t>Chronic nonÃƒÂ¢Ã¢â€šÂ¬Ã‚Âinvasive ventilation for chronic obstructive pulmonary disease</t>
  </si>
  <si>
    <t>- Background Chronic nonÃƒÂ¢Ã¢â€šÂ¬Ã‚Âinvasive ventilation (NIV) is increasingly being used to treat people with COPD who have respiratory failure, but the evidence supporting this treatment has been conflicting. Objectives To assess the effects of chronic nonÃƒÂ¢Ã¢â€šÂ¬Ã‚Âinvasive ventilation at home via a facial mask in people with COPD, using a pooled analysis of IPD and metaÃƒÂ¢Ã¢â€šÂ¬Ã‚Âanalysis.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healthÃƒÂ¢Ã¢â€šÂ¬Ã‚Ârelated quality of life (HRQL), exercise capacity (stable COPD) and admissionÃƒÂ¢Ã¢â€šÂ¬Ã‚Âfree survival (postÃƒÂ¢Ã¢â€šÂ¬Ã‚Âexacerbation COPD). Secondary outcomes for both populations were: lung function, COPD exacerbations and admissions, and allÃƒÂ¢Ã¢â€šÂ¬Ã‚Âcause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timeÃƒÂ¢Ã¢â€šÂ¬Ã‚ÂtoÃƒÂ¢Ã¢â€šÂ¬Ã‚Âevent data using linearÃƒÂ¢Ã¢â€šÂ¬Ã‚Â and coxÃƒÂ¢Ã¢â€šÂ¬Ã‚Âregression mixedÃƒÂ¢Ã¢â€šÂ¬Ã‚Âeffect models with a random effect on study level. We analysed dichotomous IPD using generalised estimating equations. We adjusted all models for age and sex. We assessed changes in outcomes after three and 12 months. We also conducted a metaÃƒÂ¢Ã¢â€šÂ¬Ã‚Âanalysis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postÃƒÂ¢Ã¢â€šÂ¬Ã‚Âexacerbation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moderateÃƒÂ¢Ã¢â€šÂ¬Ã‚Âcertainty evidence), but there was little to no benefit at 12 months (AMD 0.09 kPa, 95% CI ÃƒÂ¢Ã¢â€šÂ¬Ã‚Â0.23 to 0.42; 3 studies, 171 participants; lowÃƒÂ¢Ã¢â€šÂ¬Ã‚Âcertainty evidence). The arterial partial pressure of carbon dioxide (PaCO 2 ) was reduced in participants allocated to NIV after three months (AMD ÃƒÂ¢Ã¢â€šÂ¬Ã‚Â0.61 kPa, 95% CI ÃƒÂ¢Ã¢â€šÂ¬Ã‚Â0.77 to ÃƒÂ¢Ã¢â€šÂ¬Ã‚Â0.45; 11 studies, 475 participants; highÃƒÂ¢Ã¢â€šÂ¬Ã‚Âcertainty evidence) and persisted up to 12 months (AMD ÃƒÂ¢Ã¢â€šÂ¬Ã‚Â0.42 kPa, 95% CI ÃƒÂ¢Ã¢â€šÂ¬Ã‚Â0.68 to ÃƒÂ¢Ã¢â€šÂ¬Ã‚Â0.16; 4 studies, 232 participants; highÃƒÂ¢Ã¢â€šÂ¬Ã‚Âcertainty evidence). Exercise capacity was measured with the 6ÃƒÂ¢Ã¢â€šÂ¬Ã‚Âminute walking distance (minimal clinical important difference: 26 m). There was no clinically relevant effect of NIV on exercise capacity ( 3 months: AMD 15.5 m, 95% CI ÃƒÂ¢Ã¢â€šÂ¬Ã‚Â0.8 to 31.7; 8 studies, 330 participants; lowÃƒÂ¢Ã¢â€šÂ¬Ã‚Âcertainty evidence; 12 months: AMD 26.4 m, 95% CI ÃƒÂ¢Ã¢â€šÂ¬Ã‚Â7.6 to 60.5; 3 studies, 134 participants; very lowÃƒÂ¢Ã¢â€šÂ¬Ã‚Âcertainty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lowÃƒÂ¢Ã¢â€šÂ¬Ã‚Âcertainty evidence; 12 months: SMD 0.15, 95% CI ÃƒÂ¢Ã¢â€šÂ¬Ã‚Â0.13 to 0.43; 4 studies, 200 participants; very lowÃƒÂ¢Ã¢â€šÂ¬Ã‚Âcertainty evidence). Lastly, the risk for allÃƒÂ¢Ã¢â€šÂ¬Ã‚Âcause mortality is likely reduced by NIV (adjusted hazard ratio (AHR) 0.75, 95% CI 0.58 to 0.97; 3 studies, 405 participants; moderateÃƒÂ¢Ã¢â€šÂ¬Ã‚Âcertainty evidence). In the postÃƒÂ¢Ã¢â€šÂ¬Ã‚Âexacerbation COPD group, there was little to no benefit on the PaO 2 after three months, but there may be a slight decrease after 12 months ( 3 months: AMD ÃƒÂ¢Ã¢â€šÂ¬Ã‚Â0.10 kPa, 95% CI ÃƒÂ¢Ã¢â€šÂ¬Ã‚Â0.65 to 0.45; 3 studies, 234 participants; lowÃƒÂ¢Ã¢â€šÂ¬Ã‚Âcertainty evidence; 12 months: ÃƒÂ¢Ã¢â€šÂ¬Ã‚Â0.27 kPa, 95% CI ÃƒÂ¢Ã¢â€šÂ¬Ã‚Â0.86 to 0.32, 3 studies; 170 participants; lowÃƒÂ¢Ã¢â€šÂ¬Ã‚Âcertainty evidence). The PaCO 2 was reduced by NIV at both three months (AMD ÃƒÂ¢Ã¢â€šÂ¬Ã‚Â0.40 kPa, 95% CI ÃƒÂ¢Ã¢â€šÂ¬Ã‚Â0.70 to ÃƒÂ¢Ã¢â€šÂ¬Ã‚Â0.09; 3 studies, 241 participants; moderateÃƒÂ¢Ã¢â€šÂ¬Ã‚Âcertainty evidence) and 12 months (AMD ÃƒÂ¢Ã¢â€šÂ¬Ã‚Â0.52 kPa, 95% CI ÃƒÂ¢Ã¢â€šÂ¬Ã‚Â0.87 to ÃƒÂ¢Ã¢â€šÂ¬Ã‚Â0.18; 3 studies, 175 participants; highÃƒÂ¢Ã¢â€šÂ¬Ã‚Âcertainty evidence). NIV may have little to no benefit on HRQL ( 3 months: SMD 0.25, 95% CI ÃƒÂ¢Ã¢â€šÂ¬Ã‚Â0.01 to 0.51; 2 studies, 219 participants; very lowÃƒÂ¢Ã¢â€šÂ¬Ã‚Âcertainty evidence; 12 months: SMD 0.25, 95% ÃƒÂ¢Ã¢â€šÂ¬Ã‚Â0.06 to 0.55; 2 studies, 164 participants; very lowÃƒÂ¢Ã¢â€šÂ¬Ã‚Âcertainty evidence). AdmissionÃƒÂ¢Ã¢â€šÂ¬Ã‚Âfree survival seems improved with NIV (AHR 0.71, 95% CI 0.54 to 0.94; 2 studies, 317 participants; lowÃƒÂ¢Ã¢â€šÂ¬Ã‚Âcertainty evidence), but the risk for allÃƒÂ¢Ã¢â€šÂ¬Ã‚Âcause mortality does not seem to improve (AHR 0.97, 95% CI 0.74 to 1.28; 2 studies, 317 participants; lowÃƒÂ¢Ã¢â€šÂ¬Ã‚Âcertainty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admissionÃƒÂ¢Ã¢â€šÂ¬Ã‚Âfree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NonÃƒÂ¢Ã¢â€šÂ¬Ã‚Âinvasive ventilation (ventilators) used at night by people with chronic obstructive pulmonary disease (COPD) Background: NonÃƒÂ¢Ã¢â€šÂ¬Ã‚Âinvasive ventilation (NIV) is a method to assist or replace spontaneous breathing (or normal breathing) with the aid of a machine called a ventilator, using a mask fitted over the nose or both the nose and mouth. NIV can be used chronically (longÃƒÂ¢Ã¢â€šÂ¬Ã‚Âterm)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(postÃƒÂ¢Ã¢â€šÂ¬Ã‚Âexacerbation COPD). All studies included men and women. For our analyses, we used data from 778 people with stable COPD and 364 people with postÃƒÂ¢Ã¢â€šÂ¬Ã‚Âexacerbation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</si>
  <si>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Focuses on treatment, not on NHS shifts.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</si>
  <si>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</si>
  <si>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</si>
  <si>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</si>
  <si>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Focuses on drug access and cost, not NHS shifts.</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</si>
  <si>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</si>
  <si>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</si>
  <si>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Ãƒâ€šÃ‚Â© 2021, The Author(s).</t>
  </si>
  <si>
    <t>Uses electronic patient records for trial data management.</t>
  </si>
  <si>
    <t>J2887</t>
  </si>
  <si>
    <t>Intravenous thrombolytic treatment and endovascular thrombectomy for ischaemic wakeÃƒÂ¢Ã¢â€šÂ¬Ã‚Âup stroke</t>
  </si>
  <si>
    <t>- Background About one in five strokes occur during sleep (wakeÃƒÂ¢Ã¢â€šÂ¬Ã‚Âup stroke). People with wakeÃƒÂ¢Ã¢â€šÂ¬Ã‚Âup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wakeÃƒÂ¢Ã¢â€šÂ¬Ã‚Âup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followÃƒÂ¢Ã¢â€šÂ¬Ã‚Âup was observed in 66% of participants randomised to thrombolytic treatment and 58% of participants randomised to control (risk ratio (RR) 1.13, 95% confidence interval (CI) 1.01 to 1.26; P = 0.03; 763 participants, 5 RCTs; highÃƒÂ¢Ã¢â€šÂ¬Ã‚Âcertainty evidence). Seven per cent of participants randomised to intravenous thrombolytic treatment and 10% of participants randomised to control had died at 90 days followÃƒÂ¢Ã¢â€šÂ¬Ã‚Âup (RR 0.68, 95% CI 0.43 to 1.07; P = 0.09; 763 participants, 5 RCTs; highÃƒÂ¢Ã¢â€šÂ¬Ã‚Âcertainty evidence). Symptomatic intracranial haemorrhage occurred in 3% of participants randomised to intravenous thrombolytic treatment and 1% of participants randomised to control (RR 3.47, 95% CI 0.98 to 12.26; P = 0.05; 754 participants, 4 RCTs; highÃƒÂ¢Ã¢â€šÂ¬Ã‚Âcertainty evidence). For endovascular thrombectomy of large vessel occlusion, good functional outcome at 90 days followÃƒÂ¢Ã¢â€šÂ¬Ã‚Âup was observed in 46% of participants randomised to endovascular thrombectomy and 9% of participants randomised to control (RR 5.12, 95% CI 2.57 to 10.17; P &lt; 0.001; 205 participants, 2 RCTs; highÃƒÂ¢Ã¢â€šÂ¬Ã‚Âcertainty evidence). TwentyÃƒÂ¢Ã¢â€šÂ¬Ã‚Âtwo per cent of participants randomised to endovascular thrombectomy and 33% of participants randomised to control had died at 90 days followÃƒÂ¢Ã¢â€šÂ¬Ã‚Âup (RR 0.68, 95% CI 0.43 to 1.07; P = 0.10; 205 participants, 2 RCTs; highÃƒÂ¢Ã¢â€šÂ¬Ã‚Âcertainty evidence). Authors' conclusions In selected patients with acute ischaemic wakeÃƒÂ¢Ã¢â€šÂ¬Ã‚Âup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wakeÃƒÂ¢Ã¢â€šÂ¬Ã‚Âup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clotÃƒÂ¢Ã¢â€šÂ¬Ã‚Âdissolving drugs (thrombolysis) or mechanical devices to remove blood clots (thrombectomy) may improve recovery after ischaemic stroke if blood flow is rapidly restored. About one in five strokes occur during sleep (wakeÃƒÂ¢Ã¢â€šÂ¬Ã‚Âup stroke). People with wakeÃƒÂ¢Ã¢â€šÂ¬Ã‚Âup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wakeÃƒÂ¢Ã¢â€šÂ¬Ã‚Âup stroke participants were randomised to intravenous thrombolytic treatment or to control (either placebo (dummy treatment) or standard medical treatment alone). Two trials with 205 wakeÃƒÂ¢Ã¢â€šÂ¬Ã‚Âup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wakeÃƒÂ¢Ã¢â€šÂ¬Ã‚Âup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</si>
  <si>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</si>
  <si>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metaÃƒÂ¢Ã¢â€šÂ¬Ã‚Âanalysis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</si>
  <si>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metaÃƒÂ¢Ã¢â€šÂ¬Ã‚Âanalysis;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metaÃƒÂ¢Ã¢â€šÂ¬Ã‚Âanalysis with OpenBUGS software, using Bayesian methods, and calculated the differences in treatments using odds ratios (OR) and rate ratios with 95% credible intervals (CrI) based on an availableÃƒÂ¢Ã¢â€šÂ¬Ã‚Âcase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FortyÃƒÂ¢Ã¢â€šÂ¬Ã‚Âeight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followÃƒÂ¢Ã¢â€šÂ¬Ã‚Âup periods, which ranged from three days to six weeks. Based on moderateÃƒÂ¢Ã¢â€šÂ¬Ã‚Âcertainty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healthÃƒÂ¢Ã¢â€šÂ¬Ã‚Ârelated quality of life. Based on lowÃƒÂ¢Ã¢â€šÂ¬Ã‚Âcertainty evidence, a higher proportion of people receiving balloon tamponade plus sclerotherapy had more serious adverse events than those receiving only sclerotherapy (OR 4.23, 95% CrI 1.22 to 17.80; direct estimate; 1 RCT; 60 participants). Based on moderateÃƒÂ¢Ã¢â€šÂ¬Ã‚Âcertainty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lowÃƒÂ¢Ã¢â€šÂ¬Ã‚Âcertainty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moderateÃƒÂ¢Ã¢â€šÂ¬Ã‚Âcertainty evidence, somatostatin analogues alone and vasopressin analogues alone (with supportive therapy) probably result in increased mortality, compared to endoscopic sclerotherapy. Based on moderateÃƒÂ¢Ã¢â€šÂ¬Ã‚Âcertainty evidence, vasopressin analogues alone and band ligation alone probably result in fewer adverse events compared to endoscopic sclerotherapy. Based on lowÃƒÂ¢Ã¢â€šÂ¬Ã‚Âcertainty evidence, balloon tamponade plus sclerotherapy may result in large increases in serious adverse events compared to sclerotherapy. Based on lowÃƒÂ¢Ã¢â€šÂ¬Ã‚Âcertainty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ÃƒÂ¢Ã¢â€šÂ¬Ã‚Â¨To find out the best available treatment for bleeding from oesophageal varices (enlarged veins in the oesophagus) in people with advanced scarring of the liver (liver cirrhosis, or lateÃƒÂ¢Ã¢â€šÂ¬Ã‚Âstage scarring of the liver with complications). Bleeding from oesophageal varices in people with cirrhosis is a lifeÃƒÂ¢Ã¢â€šÂ¬Ã‚Âthreatening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metaÃƒÂ¢Ã¢â€šÂ¬Ã‚Âanalysis'). Date of literature search ÃƒÂ¢Ã¢â€šÂ¬Ã‚Â¨17 December 2019 What was studied in the review? ÃƒÂ¢Ã¢â€šÂ¬Ã‚Â¨This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scarÃƒÂ¢Ã¢â€šÂ¬Ã‚Âforming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nonÃƒÂ¢Ã¢â€šÂ¬Ã‚Âserious adverse events (i.e. serious and nonÃƒÂ¢Ã¢â€šÂ¬Ã‚Âserious complications), recurrence of bleeding, and development of other complications of advanced liver disease. What were the main results of the review? ÃƒÂ¢Ã¢â€šÂ¬Ã‚Â¨The 52 trials included a small number of participants (4580 participants). FortyÃƒÂ¢Ã¢â€šÂ¬Ã‚Âeight trials with 4042 participants provided data for analyses. The followÃƒÂ¢Ã¢â€šÂ¬Ã‚Âup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ÃƒÂ¯Ã‚Â¿Ã‚Â½ÃƒÂ¯Ã‚Â¿Ã‚Â½ÃƒÂ¯Ã‚Â¿Ã‚Â½ None of the studies were conducted without flaws, and because of this, there is moderate to very high uncertainty in the findings.ÃƒÂ¢Ã¢â€šÂ¬Ã‚Â¨ÃƒÂ¢Ã¢â€šÂ¬Ã‚Â Approximately one in six people with cirrhosis and bleeding oesophageal varices who received the standard treatment of sclerotherapy died within six weeks.ÃƒÂ¢Ã¢â€šÂ¬Ã‚Â¨ÃƒÂ¢Ã¢â€šÂ¬Ã‚Â Somatostatin analogues alone and vasopressin analogues alone probably result in increased mortality, compared to sclerotherapy.ÃƒÂ¢Ã¢â€šÂ¬Ã‚Â¨ÃƒÂ¢Ã¢â€šÂ¬Ã‚Â Vasopressin analogues alone and band ligation alone probably result in fewer adverse events (complications), compared to sclerotherapy.ÃƒÂ¢Ã¢â€šÂ¬Ã‚Â¨ÃƒÂ¢Ã¢â€šÂ¬Ã‚Â Balloon tamponade plus sclerotherapy may result in large increase in serious adverse events compared to sclerotherapy.ÃƒÂ¢Ã¢â€šÂ¬Ã‚Â¨ÃƒÂ¢Ã¢â€šÂ¬Ã‚Â Sclerotherapy plus somatostatin analogues may result in large decrease in symptomatic rebleed compared to sclerotherapy.ÃƒÂ¢Ã¢â€šÂ¬Ã‚Â¨ÃƒÂ¢Ã¢â€šÂ¬Ã‚Â The evidence indicates considerable uncertainty about the effect of the interventions in the remaining comparisons.ÃƒÂ¢Ã¢â€šÂ¬Ã‚Â¨ÃƒÂ¢Ã¢â€šÂ¬Ã‚Â None of the trials reported healthÃƒÂ¢Ã¢â€šÂ¬Ã‚Ârelated quality of life.ÃƒÂ¢Ã¢â€šÂ¬Ã‚Â¨ÃƒÂ¢Ã¢â€šÂ¬Ã‚Â Future wellÃƒÂ¢Ã¢â€šÂ¬Ã‚Âdesigned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</si>
  <si>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</si>
  <si>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</si>
  <si>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Ãƒâ€šÃ‚Â©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</si>
  <si>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</si>
  <si>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</si>
  <si>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</si>
  <si>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</si>
  <si>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</si>
  <si>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ÃƒÂ¢Ã¢â€šÂ¬Ã‚Â being both engaging and relatively inexpensive ÃƒÂ¢Ã¢â€šÂ¬Ã‚Â could provide a much more costÃƒÂ¢Ã¢â€šÂ¬Ã‚Âeffective addÃƒÂ¢Ã¢â€šÂ¬Ã‚Âon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schizophreniaÃƒÂ¢Ã¢â€šÂ¬Ã‚Âlike illnesses. Search methods We searched the Cochrane Schizophrenia Group's StudyÃƒÂ¢Ã¢â€šÂ¬Ã‚ÂBased Register of Trials (March 2017, August 2018, August 2019). Selection criteria Randomised controlled trials focusing on video games for people with schizophrenia or schizophreniaÃƒÂ¢Ã¢â€šÂ¬Ã‚Âlike illnesses. Data collection and analysis Review authors extracted data independently. For binary outcomes we calculated risk ratio (RR) with its 95% confidence interval (CI) on an intentionÃƒÂ¢Ã¢â€šÂ¬Ã‚ÂtoÃƒÂ¢Ã¢â€šÂ¬Ã‚Âtreat basis. For continuous data we calculated the mean difference (MD) between groups and its CI. We employed a fixedÃƒÂ¢Ã¢â€šÂ¬Ã‚Âeffect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'nonÃƒÂ¢Ã¢â€šÂ¬Ã‚Âexergame'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effects.ÃƒÂ¢Ã¢â€šÂ¬Ã‚Â¨ÃƒÂ¢Ã¢â€šÂ¬Ã‚Â¨We found no clear difference between nonÃƒÂ¢Ã¢â€šÂ¬Ã‚Âexergames and cognitive remediation in general functioning scores (Strauss Carpenter Outcome Scale) (MD 0.42, 95% CI ÃƒÂ¢Ã‹â€ Ã¢â‚¬â„¢0.62 to 1.46; participants = 86; studies = 1, very lowÃƒÂ¢Ã¢â€šÂ¬Ã‚Â quality evidence ) or social functioning scores (Specific Levels of Functioning Scale) (MD ÃƒÂ¢Ã‹â€ Ã¢â‚¬â„¢3.13, 95% CI ÃƒÂ¢Ã¢â€šÂ¬Ã‚Â40.17 to 33.91; participants = 53; studies = 1, very lowÃƒÂ¢Ã¢â€šÂ¬Ã‚Â quality evidence ). There was a clear difference favouring cognitive remediation for cognitive functioning (improved on at least one domain of MATRICS Consensus Cognitive Battery Test) (RR 0.58, 95% CI 0.34 to 0.99; participants = 42; studies = 1, lowÃƒÂ¢Ã¢â€šÂ¬Ã‚Â quality evidence ). For mental state, Positive and Negative Syndrome Scale (PANSS) overall scores showed no clear difference between treatment groups (MD 0.20, 95% CI ÃƒÂ¢Ã‹â€ Ã¢â‚¬â„¢3.89 to 4.28; participants = 269; studies = 4, lowÃƒÂ¢Ã¢â€šÂ¬Ã‚Â quality evidence ). Quality of life ratings (Quality of Life Scale) similarly showed no clear intergroup difference (MD 0.01, 95% CI ÃƒÂ¢Ã‹â€ Ã¢â‚¬â„¢0.40 to 0.42; participants = 87; studies = 1, very lowÃƒÂ¢Ã¢â€šÂ¬Ã‚Â quality evidence) . Adverse effects were not reported; we chose leaving the study early as a proxy measure. The attrition rate by end of treatment was similar between treatment groups (RR 0.96, 95% CI 0.87 to 1.06; participants = 395; studies = 5, lowÃƒÂ¢Ã¢â€šÂ¬Ã‚Â quality evidence ).ÃƒÂ¢Ã¢â€šÂ¬Ã‚Â¨ÃƒÂ¢Ã¢â€šÂ¬Ã‚Â¨One small trial compared exergames with standard care, but few outcomes were reported . No clear difference between interventions was seen for cognitive functioning (measured by MATRICS Consensus Cognitive Battery Test) (MD 2.90, 95% CI ÃƒÂ¢Ã¢â€šÂ¬Ã‚Â1.27 to 7.07; participants = 33; studies = 1, lowÃƒÂ¢Ã¢â€šÂ¬Ã‚Â quality evidence) , however a benefit in favour of exergames was found for average change in physical fitness (aerobic fitness) (MD 3.82, 95% CI 1.75 to 5.89; participants = 33; studies = 1, lowÃƒÂ¢Ã¢â€šÂ¬Ã‚Â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nonÃƒÂ¢Ã¢â€šÂ¬Ã‚Âexergames. Only one of our main outcomes was reported ÃƒÂ¢Ã¢â€šÂ¬Ã‚Â physical fitness, which was measured by average time taken to walk 3 metres. No clear intergroup difference was identified at sixÃƒÂ¢Ã¢â€šÂ¬Ã‚Âweek followÃƒÂ¢Ã¢â€šÂ¬Ã‚Âup (MD ÃƒÂ¢Ã‹â€ Ã¢â‚¬â„¢0.50, 95% CI ÃƒÂ¢Ã‹â€ Ã¢â‚¬â„¢1.17 to 0.17; participants = 28; studies = 1, very lowÃƒÂ¢Ã¢â€šÂ¬Ã‚Â quality evidence) . No trials reported adverse effects. We chose leaving the study early as a proxy outcome. Authors' conclusions Our results suggest that nonÃƒÂ¢Ã¢â€šÂ¬Ã‚Âexergames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ÃƒÂ¢Ã¢â€šÂ¬Ã‚Â or harm ÃƒÂ¢Ã¢â€šÂ¬Ã‚Â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highÃƒÂ¢Ã¢â€šÂ¬Ã‚Âquality evidence is available. There are ongoing studies that may provide helpful data in the near future. Plain language summary Video games for schizophrenia Review question Are video games an effective treatment (on their own or as an addÃƒÂ¢Ã¢â€šÂ¬Ã‚Âon) for improving the wellÃƒÂ¢Ã¢â€šÂ¬Ã‚Âbeing and functioning of people with schizophrenia or schizoaffective disorder? Background Schizophrenia is a severe mental illness that affects people worldwide. People with schizophrenia often have a distorted view of reality ÃƒÂ¢Ã¢â€šÂ¬Ã‚Â perceiving things that are not present (hallucinations) and believing things that are not true (delusions). People with schizophrenia may struggle to motivate themselves, experience anxiety and depression, and encounter cognitive symptoms, often struggling to stay focused on dayÃƒÂ¢Ã¢â€šÂ¬Ã‚ÂtoÃƒÂ¢Ã¢â€šÂ¬Ã‚Âday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lowÃƒÂ¢Ã¢â€šÂ¬Ã‚Âcost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('nonÃƒÂ¢Ã¢â€šÂ¬Ã‚Âexergames'). NonÃƒÂ¢Ã¢â€šÂ¬Ã‚Âexergame trials compared the video game intervention to a form of brainÃƒÂ¢Ã¢â€šÂ¬Ã‚Âtraining" therapy known as cognitive remediation. One trial compared exergames to standard care, and another compared nonÃƒÂ¢Ã¢â€šÂ¬Ã‚Âexergames with exergames. All interventions in the included trials were given in addition to standard care. The currently available evidence suggests that nonÃƒÂ¢Ã¢â€šÂ¬Ã‚Âexergames may not be as beneficial for cognitive functioning as cognitive remediation, but there were no other clear differences between nonÃƒÂ¢Ã¢â€šÂ¬Ã‚Âexergames and cognitive remediation for improving functioning in people with schizophrenia. The more exerciseÃƒÂ¢Ã¢â€šÂ¬Ã‚Âorientated video games may have some benefit compared to standard care for improving physical fitness. We cannot draw any firm conclusions regarding the effects of video games until higherÃƒÂ¢Ã¢â€šÂ¬Ã‚Âquality evidence is available."</t>
  </si>
  <si>
    <t>Focuses on video games for schizophrenia, not aligned with NHS shifts.</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</si>
  <si>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</si>
  <si>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</si>
  <si>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</si>
  <si>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Virtual assessments replace FTF, aligning with digital shift.</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</si>
  <si>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</si>
  <si>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</si>
  <si>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</si>
  <si>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Article discusses technology-enabled care in dietetic practice.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</si>
  <si>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</si>
  <si>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</si>
  <si>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</si>
  <si>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Focuses on antiemetic efficacy, not NHS shifts.</t>
  </si>
  <si>
    <t>J2899</t>
  </si>
  <si>
    <t>Primary prevention of variceal bleeding in people with oesophageal varices due to liver cirrhosis: a network metaÃƒÂ¢Ã¢â€šÂ¬Ã‚Âanalysis</t>
  </si>
  <si>
    <t>- Background Approximately 40% to 95% of people with cirrhosis have oesophageal varices. About 15% to 20% of oesophageal varices bleed in about one to three years. There are several different treatments to prevent bleeding, including: betaÃƒÂ¢Ã¢â€šÂ¬Ã‚Âblockers,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metaÃƒÂ¢Ã¢â€šÂ¬Ã‚Âanalysis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metaÃƒÂ¢Ã¢â€šÂ¬Ã‚Âanalysis with OpenBUGS using Bayesian methods and calculated the differences in treatments using hazard ratios (HR), odds ratios (OR), and rate ratios with 95% credible intervals (CrI) based on an availableÃƒÂ¢Ã¢â€šÂ¬Ã‚Âcase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followÃƒÂ¢Ã¢â€šÂ¬Ã‚Âup in the trials that reported outcomes ranged from 6 months to 60 months. All but one of the trials were at high risk of bias. The interventions compared included betaÃƒÂ¢Ã¢â€šÂ¬Ã‚Âblockers, no active intervention, variceal band ligation, sclerotherapy, betaÃƒÂ¢Ã¢â€šÂ¬Ã‚Âblockers plus variceal band ligation, betaÃƒÂ¢Ã¢â€šÂ¬Ã‚Âblockers plus nitrates, nitrates, betaÃƒÂ¢Ã¢â€šÂ¬Ã‚Âblockers plus sclerotherapy, and portocaval shunt. Overall, 21.2% of participants who received nonÃƒÂ¢Ã¢â€šÂ¬Ã‚Âselective betaÃƒÂ¢Ã¢â€šÂ¬Ã‚Âblockers ('betaÃƒÂ¢Ã¢â€šÂ¬Ã‚Âblockers') ÃƒÂ¢Ã‹â€ Ã¢â‚¬â„¢ the reference treatment (chosen because this was the most common treatment compared in the trials) ÃƒÂ¢Ã‹â€ Ã¢â‚¬â„¢ died during 8ÃƒÂ¢Ã¢â€šÂ¬Ã‚Âmonth to 60ÃƒÂ¢Ã¢â€šÂ¬Ã‚Âmonth followÃƒÂ¢Ã¢â€šÂ¬Ã‚Âup. Based on lowÃƒÂ¢Ã¢â€šÂ¬Ã‚Âcertainty evidence, betaÃƒÂ¢Ã¢â€šÂ¬Ã‚Âblockers, variceal band ligation, sclerotherapy, and betaÃƒÂ¢Ã¢â€šÂ¬Ã‚Âblockers plus nitrates all had lower mortality versus no active intervention (betaÃƒÂ¢Ã¢â€šÂ¬Ã‚Âblockers: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betaÃƒÂ¢Ã¢â€šÂ¬Ã‚Âblockers plus nitrates: HR 0.41, 95% CrI 0.20 to 0.85; no direct comparison). No trials reported healthÃƒÂ¢Ã¢â€šÂ¬Ã‚Ârelated quality of life. Based on lowÃƒÂ¢Ã¢â€šÂ¬Ã‚Âcertainty evidence, variceal band ligation had a higher number of serious adverse events (number of events) than betaÃƒÂ¢Ã¢â€šÂ¬Ã‚Âblockers (rate ratio 10.49, 95% CrI 2.83 to 60.64; 1 trial, 168 participants). Based on lowÃƒÂ¢Ã¢â€šÂ¬Ã‚Âcertainty evidence, betaÃƒÂ¢Ã¢â€šÂ¬Ã‚Âblockers plus nitrates had a higher number of 'any adverse events (number of participants)' than betaÃƒÂ¢Ã¢â€šÂ¬Ã‚Âblockers alone (OR 3.4 , 95% CrI 1.11 to 11.28; 1 trial, 57 participants). Based on lowÃƒÂ¢Ã¢â€šÂ¬Ã‚Âcertainty evidence, adverse events (number of events) were higher in sclerotherapy than in betaÃƒÂ¢Ã¢â€šÂ¬Ã‚Âblockers (rate ratio 2.49, 95% CrI 1.53 to 4.22; direct comparison rate ratio 2.47, 95% CrI 1.27 to 5.06; 2 trials, 90 participants), and in betaÃƒÂ¢Ã¢â€šÂ¬Ã‚Âblockers plus variceal band ligation than in betaÃƒÂ¢Ã¢â€šÂ¬Ã‚Âblockers (direct comparison rate ratio 1.72, 95% CrI 1.08 to 2.76; 1 trial, 140 participants). Based on lowÃƒÂ¢Ã¢â€šÂ¬Ã‚Âcertainty evidence, any variceal bleed was lower in betaÃƒÂ¢Ã¢â€šÂ¬Ã‚Âblockers plus variceal band ligation than in betaÃƒÂ¢Ã¢â€šÂ¬Ã‚Âblockers (direct comparison HR 0.21, 95% CrI 0.04 to 0.71; 1 trial, 173 participants). Based on lowÃƒÂ¢Ã¢â€šÂ¬Ã‚Âcertainty evidence, any variceal bleed was higher in nitrates than betaÃƒÂ¢Ã¢â€šÂ¬Ã‚Âblockers (direct comparison HR 6.40, 95% CrI 1.58 to 47.42; 1 trial, 52 participants). The evidence indicates considerable uncertainty about the effect of the interventions in the remaining comparisons. Authors' conclusions Based on lowÃƒÂ¢Ã¢â€šÂ¬Ã‚Âcertainty evidence, betaÃƒÂ¢Ã¢â€šÂ¬Ã‚Âblockers, variceal band ligation, sclerotherapy, and betaÃƒÂ¢Ã¢â€šÂ¬Ã‚Âblockers plus nitrates may decrease mortality compared to no intervention in people with highÃƒÂ¢Ã¢â€šÂ¬Ã‚Ârisk oesophageal varices in people with cirrhosis and no previous history of bleeding. Based on lowÃƒÂ¢Ã¢â€šÂ¬Ã‚Âcertainty evidence, variceal band ligation may result in a higher number of serious adverse events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metaÃƒÂ¢Ã¢â€šÂ¬Ã‚Âanalysis').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betaÃƒÂ¢Ã¢â€šÂ¬Ã‚Âblockers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'nonÃƒÂ¢Ã¢â€šÂ¬Ã‚Âselective betaÃƒÂ¢Ã¢â€šÂ¬Ã‚Âblockers' or simply 'betaÃƒÂ¢Ã¢â€šÂ¬Ã‚Âblockers'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followÃƒÂ¢Ã¢â€šÂ¬Ã‚Âup), quality of life, serious and nonÃƒÂ¢Ã¢â€šÂ¬Ã‚Âserious side effects, percentage of people who developed bleeding, and development of other complications of advanced liver disease.ÃƒÂ¢Ã¢â€šÂ¬Ã‚Â¨ÃƒÂ¢Ã¢â€šÂ¬Ã‚Â¨ What were the main results of the review? The 66 studies included a relatively small number of participants (6653 people). Sixty studies with 6212 participants provided data for analyses. The followÃƒÂ¢Ã¢â€šÂ¬Ã‚Âup of the trial ranged from six months to five years in studies that reported the outcomes that we were interested in. The review found the following:ÃƒÂ¢Ã¢â€šÂ¬Ã‚Â¨ÃƒÂ¢Ã¢â€šÂ¬Ã¢â‚¬Å“ Approximately one in five people with cirrhosis and oesophageal varices (without previous bleeding) who receive the betaÃƒÂ¢Ã¢â€šÂ¬Ã‚Âblockers died within five years.ÃƒÂ¢Ã¢â€šÂ¬Ã‚Â¨ÃƒÂ¢Ã¢â€šÂ¬Ã¢â‚¬Å“ BetaÃƒÂ¢Ã¢â€šÂ¬Ã‚Âblockers, variceal band ligation, sclerotherapy, and betaÃƒÂ¢Ã¢â€šÂ¬Ã‚Âblockers plus nitrates all may result in fewer deaths than no treatment.ÃƒÂ¢Ã¢â€šÂ¬Ã‚Â¨ÃƒÂ¢Ã¢â€šÂ¬Ã¢â‚¬Å“ Variceal band ligation may result in a higher number of serious side effects than betaÃƒÂ¢Ã¢â€šÂ¬Ã‚Âblockers.ÃƒÂ¢Ã¢â€šÂ¬Ã‚Â¨ÃƒÂ¢Ã¢â€šÂ¬Ã¢â‚¬Å“ Sclerotherapy, betaÃƒÂ¢Ã¢â€šÂ¬Ã‚Âblockers plus nitrates, and betaÃƒÂ¢Ã¢â€šÂ¬Ã‚Âblockers plus variceal band ligation may result in more side effects (when serious and nonÃƒÂ¢Ã¢â€šÂ¬Ã‚Âserious adverse events were put together) than betaÃƒÂ¢Ã¢â€šÂ¬Ã‚Âblockers.ÃƒÂ¢Ã¢â€šÂ¬Ã‚Â¨ÃƒÂ¢Ã¢â€šÂ¬Ã¢â‚¬Å“ BetaÃƒÂ¢Ã¢â€šÂ¬Ã‚Âblockers plus variceal band ligation may result in fewer people who develop bleeding than betaÃƒÂ¢Ã¢â€šÂ¬Ã‚Âblockers alone based on a single small trial.ÃƒÂ¢Ã¢â€šÂ¬Ã‚Â¨ÃƒÂ¢Ã¢â€šÂ¬Ã¢â‚¬Å“ Nitrates alone may result in more people who develop bleeding than betaÃƒÂ¢Ã¢â€šÂ¬Ã‚Âblockers alone.ÃƒÂ¢Ã¢â€šÂ¬Ã‚Â¨ÃƒÂ¢Ã¢â€šÂ¬Ã¢â‚¬Å“ The evidence indicates considerable uncertainty about the effect of the interventions in the remaining comparisons.ÃƒÂ¢Ã¢â€šÂ¬Ã‚Â¨ÃƒÂ¢Ã¢â€šÂ¬Ã¢â‚¬Å“ None of the trials reported healthÃƒÂ¢Ã¢â€šÂ¬Ã‚Ârelated quality of life. What are our conclusions? BetaÃƒÂ¢Ã¢â€šÂ¬Ã‚Âblockers, variceal band ligation, sclerotherapy, and betaÃƒÂ¢Ã¢â€šÂ¬Ã‚Âblockers plus nitrates may decrease the death rate compared to no treatment in people with highÃƒÂ¢Ã¢â€šÂ¬Ã‚Ârisk oesophageal varices in people with cirrhosis and no history of bleeding. Variceal band ligation may result in a higher number of serious side effects than betaÃƒÂ¢Ã¢â€šÂ¬Ã‚Âblockers. The evidence indicates considerable uncertainty about the effect of betaÃƒÂ¢Ã¢â€šÂ¬Ã‚Âblockers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</si>
  <si>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Focuses on preventing variceal bleeding, aligning with prevention shift.</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</si>
  <si>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</si>
  <si>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</si>
  <si>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nonÃƒÂ¢Ã¢â€šÂ¬Ã‚Âvocal, speechÃƒÂ¢Ã¢â€šÂ¬Ã‚Âgenerating, and voiceÃƒÂ¢Ã¢â€šÂ¬Ã‚Âenabling aids. Objectives To assess effectiveness of communication aids for people requiring an artificial airway (endotracheal or tracheostomy tube), defined as the proportion of people able to: use a nonÃƒÂ¢Ã¢â€šÂ¬Ã‚Âvocal communication aid to communicate at least one symptom, need, or preference; or use a voiceÃƒÂ¢Ã¢â€šÂ¬Ã‚Âenabling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quasiÃƒÂ¢Ã¢â€šÂ¬Ã‚ÂRCTs, clusterÃƒÂ¢Ã¢â€šÂ¬Ã‚ÂRCTs, controlled nonÃƒÂ¢Ã¢â€šÂ¬Ã‚Ârandomised parallel group, and beforeÃƒÂ¢Ã¢â€šÂ¬Ã‚Âafter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nonÃƒÂ¢Ã¢â€šÂ¬Ã‚Âvocal communication aids and three voiceÃƒÂ¢Ã¢â€šÂ¬Ã‚Âenabling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nonÃƒÂ¢Ã¢â€šÂ¬Ã‚Âvocal aid studies reported our primary outcome. We are uncertain of the effects of early use of a voiceÃƒÂ¢Ã¢â€šÂ¬Ã‚Âenabling aid compared to routine use on ability to phonate at least one intelligible word (risk ratio (RR) 3.03, 95% confidence interval (CI) 0.18 to 50.08; 2 studies; very lowÃƒÂ¢Ã¢â€šÂ¬Ã‚Âcertainty evidence). Compared to usual care without aids, we are uncertain about effects of a nonÃƒÂ¢Ã¢â€šÂ¬Ã‚Âvocal aid (communication board) on patient satisfaction (standardised mean difference (SMD) 2.92, 95% CI 1.52 to 4.33; 4 studies; very lowÃƒÂ¢Ã¢â€šÂ¬Ã‚Âcertainty evidence). No studies of nonÃƒÂ¢Ã¢â€šÂ¬Ã‚Âvocal aids reported quality of life. LowÃƒÂ¢Ã¢â€šÂ¬Ã‚Âcertainty evidence from two studies suggests early use of a voiceÃƒÂ¢Ã¢â€šÂ¬Ã‚Âenabling aid may have no effect on quality of life (MD 2.27, 95% CI ÃƒÂ¢Ã¢â€šÂ¬Ã¢â‚¬Å“7.21 to 11.75). Conceptual differences in measures of psychological distress precluded data pooling; however, intervention arm participants reported less distress suggesting there might be benefit, but our certainty in the evidence is very low. LowÃƒÂ¢Ã¢â€šÂ¬Ã‚Âcertainty evidence suggest voiceÃƒÂ¢Ã¢â€šÂ¬Ã‚Âenabling aids have little or no effect on ICU length of stay; we were unable to determine effects of nonÃƒÂ¢Ã¢â€šÂ¬Ã‚Âvocal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highÃƒÂ¢Ã¢â€šÂ¬Ã‚Âquality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longÃƒÂ¢Ã¢â€šÂ¬Ã‚Âterm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(lowÃƒÂ¢Ã¢â€šÂ¬Ã‚Âquality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lowÃƒÂ¢Ã¢â€šÂ¬Ã‚Âquality evidence. This means further studies are likely to change our understanding of the effects of communication aids. More studies are needed to understand the effects of communication aids, particularly effects on psychological wellÃƒÂ¢Ã¢â€šÂ¬Ã‚Âbeing and people's ability to communicate.</t>
  </si>
  <si>
    <t>Focus on communication aids, not aligned with NHS shifts.</t>
  </si>
  <si>
    <t>J2905</t>
  </si>
  <si>
    <t>Posterior musculofascial reconstruction in roboticÃƒÂ¢Ã¢â€šÂ¬Ã‚Âassisted laparoscopic prostatectomy for the treatment of clinically localized prostate cancer</t>
  </si>
  <si>
    <t>- Background Delayed recovery of urinary continence is a major adverse effect of roboticÃƒÂ¢Ã¢â€šÂ¬Ã‚Âassisted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recurrenceÃƒÂ¢Ã¢â€šÂ¬Ã‚Âfree survival (BCRFS). We performed statistical analyses using a randomÃƒÂ¢Ã¢â€šÂ¬Ã‚Âeffects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prostateÃƒÂ¢Ã¢â€šÂ¬Ã‚Âspecific antigen level of 8.15 ng/mL. Primary outcomes Posterior reconstruction RALP (PRÃƒÂ¢Ã¢â€šÂ¬Ã‚ÂRALP)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PRÃƒÂ¢Ã¢â€šÂ¬Ã‚ÂRALP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PRÃƒÂ¢Ã¢â€šÂ¬Ã‚ÂRALP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PRÃƒÂ¢Ã¢â€šÂ¬Ã‚ÂRALP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PRÃƒÂ¢Ã¢â€šÂ¬Ã‚ÂRALP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PRÃƒÂ¢Ã¢â€šÂ¬Ã‚ÂRALP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PRÃƒÂ¢Ã¢â€šÂ¬Ã‚ÂRALP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nerveÃƒÂ¢Ã¢â€šÂ¬Ã‚Âsparing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roboticÃƒÂ¢Ã¢â€šÂ¬Ã‚Âassisted laparoscopic prostatectomy, or RALP), how does connecting the tissue behind the urethra (soÃƒÂ¢Ã¢â€šÂ¬Ã‚Âcalled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prostateÃƒÂ¢Ã¢â€šÂ¬Ã‚Âspecific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</si>
  <si>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Focuses on surgical technique, not NHS shifts.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</si>
  <si>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</si>
  <si>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</si>
  <si>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</si>
  <si>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Focus on coordination with community services and reducing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</si>
  <si>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</si>
  <si>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</si>
  <si>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Ãƒâ€šÃ‚Â© 2019 European Association of Urology</t>
  </si>
  <si>
    <t>Focus on early detection and prevention of kidney cancer.</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</si>
  <si>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</si>
  <si>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</si>
  <si>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</si>
  <si>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Focuses on respiratory support methods in hospitals, not NHS shifts.</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</si>
  <si>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</si>
  <si>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Ãƒâ€šÃ‚Â© 2025 Ramnarayan et al.</t>
  </si>
  <si>
    <t>Focuses on respiratory support methods in paediatric care, not NHS shifts.</t>
  </si>
  <si>
    <t>J6206</t>
  </si>
  <si>
    <t>NonÃƒÂ¢Ã¢â€šÂ¬Ã‚Âpharmacological and nonÃƒÂ¢Ã¢â€šÂ¬Ã‚Âsurgical treatments for low back pain in adults: an overview of Cochrane reviews</t>
  </si>
  <si>
    <t>- Background Low back pain (LBP) is a significant public health issue due to its high prevalence and associated disability burden. Clinical practice guidelines recommend nonÃƒÂ¢Ã¢â€šÂ¬Ã‚Âpharmacological/nonÃƒÂ¢Ã¢â€šÂ¬Ã‚Âsurgical interventions for managing pain and function in people with LBP. Objectives To provide accessible, highÃƒÂ¢Ã¢â€šÂ¬Ã‚Âquality evidence on the effects of nonÃƒÂ¢Ã¢â€šÂ¬Ã‚Âpharmacological and nonÃƒÂ¢Ã¢â€šÂ¬Ã‚Âsurgical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nonÃƒÂ¢Ã¢â€šÂ¬Ã‚Âpharmacological/nonÃƒÂ¢Ã¢â€šÂ¬Ã‚Âsurgical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nonÃƒÂ¢Ã¢â€šÂ¬Ã‚Âpharmacological/nonÃƒÂ¢Ã¢â€šÂ¬Ã‚Âsurgical interventions compared to placebo/sham or no treatment/usual care at shortÃƒÂ¢Ã¢â€šÂ¬Ã‚Âterm (ÃƒÂ¢Ã¢â‚¬Â°Ã‚Â¤ three months) followÃƒÂ¢Ã¢â€šÂ¬Ã‚Âup. Placebo/sham comparisons Acute/subacute LBP Compared to placebo, there is probably no difference in function (at oneÃƒÂ¢Ã¢â€šÂ¬Ã‚Âweek followÃƒÂ¢Ã¢â€šÂ¬Ã‚Âup) for spinal manipulation (standardised mean difference (SMD) ÃƒÂ¢Ã¢â€šÂ¬Ã‚Â0.08, 95% confidence interval (CI) ÃƒÂ¢Ã¢â€šÂ¬Ã‚Â0.37 to 0.21; 2 trials, 205 participants; moderateÃƒÂ¢Ã¢â€šÂ¬Ã‚Âcertainty evidence). Data for safety were reported only for heated back wrap. Compared to placebo, heated back wrap may result in skin pinkness (6/128 participants versus 1/130; 2 trials; lowÃƒÂ¢Ã¢â€šÂ¬Ã‚Âcertainty evidence). Chronic LBP Compared to sham acupuncture, acupuncture probably provides a small improvement in function (SMD ÃƒÂ¢Ã¢â€šÂ¬Ã‚Â0.38, 95% CI ÃƒÂ¢Ã¢â€šÂ¬Ã‚Â0.69 to ÃƒÂ¢Ã¢â€šÂ¬Ã‚Â0.07; 3 trials, 957 participants; moderateÃƒÂ¢Ã¢â€šÂ¬Ã‚Âcertainty evidence). Compared to sham traction, there is probably no difference in pain intensity for traction (0 to 100 scale, mean difference (MD) ÃƒÂ¢Ã¢â€šÂ¬Ã‚Â4, 95% CI ÃƒÂ¢Ã¢â€šÂ¬Ã‚Â17.7 to 9.7; 1 trial, 60 participants; moderateÃƒÂ¢Ã¢â€šÂ¬Ã‚Âcertainty evidence). Data for safety were reported only for acupuncture. There may be no difference between acupuncture and sham acupuncture for safety outcomes (risk ratio (RR) 0.68, 95% CI 0.42 to 1.10; I 2 = 0%; 4 trials, 465 participants; lowÃƒÂ¢Ã¢â€šÂ¬Ã‚Âcertainty evidence). No treatment/usual care comparisons Acute/subacute LBP Compared to advice to rest, advice to stay active probably provides a small reduction in pain intensity (SMD ÃƒÂ¢Ã¢â€šÂ¬Ã‚Â0.22, 95% CI ÃƒÂ¢Ã¢â€šÂ¬Ã‚Â0.02 to ÃƒÂ¢Ã¢â€šÂ¬Ã‚Â0.41; 2 trials, 401 participants; moderateÃƒÂ¢Ã¢â€šÂ¬Ã‚Âcertainty evidence). Compared to advice to rest, advice to stay active probably provides a small improvement in function (SMD ÃƒÂ¢Ã¢â€šÂ¬Ã‚Â0.29, 95% CI ÃƒÂ¢Ã¢â€šÂ¬Ã‚Â0.09 to ÃƒÂ¢Ã¢â€šÂ¬Ã‚Â0.49; 2 trials, 400 participants; moderateÃƒÂ¢Ã¢â€šÂ¬Ã‚Âcertainty evidence). Data for safety were reported only for massage. There may be no difference between massage and usual care for safety (risk difference 0, 95% CI ÃƒÂ¢Ã¢â€šÂ¬Ã‚Â0.07 to 0.07; 1 trial, 51 participants; lowÃƒÂ¢Ã¢â€šÂ¬Ã‚Âcertainty evidence). Chronic LBP Compared to no treatment, acupuncture probably provides a medium reduction in pain intensity (0 to 100 scale, mean difference (MD) ÃƒÂ¢Ã¢â€šÂ¬Ã‚Â10.1, 95% CI ÃƒÂ¢Ã¢â€šÂ¬Ã‚Â16.8 to ÃƒÂ¢Ã¢â€šÂ¬Ã‚Â3.4; 3 trials, 144 participants; moderateÃƒÂ¢Ã¢â€šÂ¬Ã‚Âcertainty evidence), and a small improvement in function (SMD ÃƒÂ¢Ã¢â€šÂ¬Ã‚Â0.39, 95% CI ÃƒÂ¢Ã¢â€šÂ¬Ã‚Â0.72 to ÃƒÂ¢Ã¢â€šÂ¬Ã‚Â0.06; 3 trials, 144 participants; moderateÃƒÂ¢Ã¢â€šÂ¬Ã‚Âcertainty evidence). Compared to usual care, acupuncture probably provides a small improvement in function (MD 9.4, 95% CI 6.15 to 12.65; 1 trial, 734 participants; moderateÃƒÂ¢Ã¢â€šÂ¬Ã‚Âcertainty evidence). Compared to no treatment/usual care, exercise therapies probably provide a small to medium reduction in pain intens ty (0 to 100 scale, MD ÃƒÂ¢Ã¢â€šÂ¬Ã‚Â15.2, 95% CI ÃƒÂ¢Ã¢â€šÂ¬Ã‚Â18.3 to ÃƒÂ¢Ã¢â€šÂ¬Ã‚Â12.2; 35 trials, 2746 participants; moderateÃƒÂ¢Ã¢â€šÂ¬Ã‚Âcertainty evidence), and probably provide a small improvement in function (0 to 100 scale, MD ÃƒÂ¢Ã¢â€šÂ¬Ã‚Â6.8, 95% CI ÃƒÂ¢Ã¢â€šÂ¬Ã‚Â8.3 to ÃƒÂ¢Ã¢â€šÂ¬Ã‚Â5.3; 38 trials, 2942 participants; moderateÃƒÂ¢Ã¢â€šÂ¬Ã‚Âcertainty evidence). Compared to usual care, multidisciplinary therapies probably provide a medium reduction in pain intensity (SMD ÃƒÂ¢Ã¢â€šÂ¬Ã‚Â0.55, 95% CI ÃƒÂ¢Ã¢â€šÂ¬Ã‚Â0.83 to ÃƒÂ¢Ã¢â€šÂ¬Ã‚Â0.28; 9 trials, 879 participants; moderateÃƒÂ¢Ã¢â€šÂ¬Ã‚Âcertainty evidence), and probably provide a small improvement in function (SMD ÃƒÂ¢Ã¢â€šÂ¬Ã‚Â0.41, 95% CI ÃƒÂ¢Ã¢â€šÂ¬Ã‚Â0.62 to ÃƒÂ¢Ã¢â€šÂ¬Ã‚Â0.19; 9 trials, 939 participants; moderateÃƒÂ¢Ã¢â€šÂ¬Ã‚Âcertainty evidence). Compared to no treatment, psychological therapies using operant approaches probably provide a small reduction in pain intensity (SMD ÃƒÂ¢Ã¢â€šÂ¬Ã‚Â0.43, 95% CI ÃƒÂ¢Ã¢â€šÂ¬Ã‚Â0.75 to ÃƒÂ¢Ã¢â€šÂ¬Ã‚Â0.11; 3 trials, 153 participants; moderateÃƒÂ¢Ã¢â€šÂ¬Ã‚Âcertainty evidence). Compared to usual care, psychological therapies (including progressive muscle relaxation and behavioural approaches) probably provide a small reduction in pain intensity (0 to 100 scale, MD ÃƒÂ¢Ã¢â€šÂ¬Ã‚Â5.18, 95% CI ÃƒÂ¢Ã¢â€šÂ¬Ã‚Â9.79 to ÃƒÂ¢Ã¢â€šÂ¬Ã‚Â0.57; 2 trials, 330 participants; moderateÃƒÂ¢Ã¢â€šÂ¬Ã‚Âcertainty evidence), but there is probably no difference in function (SMD ÃƒÂ¢Ã¢â€šÂ¬Ã‚Â0.2, 95% CI ÃƒÂ¢Ã¢â€šÂ¬Ã‚Â0.41 to 0.02; 2 trials, 330 participants; moderateÃƒÂ¢Ã¢â€šÂ¬Ã‚Âcertainty evidence). It is uncertain whether there is a difference between nonÃƒÂ¢Ã¢â€šÂ¬Ã‚Âpharmacological/nonÃƒÂ¢Ã¢â€šÂ¬Ã‚Âsurgical interventions and no treatment/usual care for safety (very lowÃƒÂ¢Ã¢â€šÂ¬Ã‚Âcertainty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nonÃƒÂ¢Ã¢â€šÂ¬Ã‚Âmedicine and nonÃƒÂ¢Ã¢â€šÂ¬Ã‚Âsurgical treatments for nonÃƒÂ¢Ã¢â€šÂ¬Ã‚Âspecific low back pain? Key messages For acute low back pain (pain lasting less than 6 weeks) ÃƒÂ¢Ã¢â€šÂ¬Ã‚Â¢ Advice to stay active probably reduces pain and improves function compared to advice to rest in bed. For subacute low back pain (pain lasting from 6 to 12 weeks) ÃƒÂ¢Ã¢â€šÂ¬Ã‚Â¢ Multidisciplinary therapies probably reduce pain compared to usual care.ÃƒÂ¢Ã¢â€šÂ¬Ã‚Â¨ÃƒÂ¢Ã¢â€šÂ¬Ã‚Â¢ Spinal manipulation probably does not improve function compared to placebo (a 'sham' or 'dummy' treatment designed to resemble the actual treatment but lacking active ingredients or the intended therapeutic effect). For chronic low back pain (pain lasting longer than 12 weeks) ÃƒÂ¢Ã¢â€šÂ¬Ã‚Â¢ Acupuncture probably reduces pain and improves function compared to placebo and no treatment/usual care.ÃƒÂ¢Ã¢â€šÂ¬Ã‚Â¨ÃƒÂ¢Ã¢â€šÂ¬Ã‚Â¢ Exercise therapies probably reduce pain and improve function compared to placebo and no treatment/usual care.ÃƒÂ¢Ã¢â€šÂ¬Ã‚Â¨ÃƒÂ¢Ã¢â€šÂ¬Ã‚Â¢ Traction probably does not reduce pain compared to sham traction.ÃƒÂ¢Ã¢â€šÂ¬Ã‚Â¨ÃƒÂ¢Ã¢â€šÂ¬Ã‚Â¢ Multidisciplinary therapy probably reduces pain and improves function compared to usual care.ÃƒÂ¢Ã¢â€šÂ¬Ã‚Â¨ÃƒÂ¢Ã¢â€šÂ¬Ã‚Â¢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ÃƒÂ¢Ã¢â€šÂ¬Ã‹Å“nonÃƒÂ¢Ã¢â€šÂ¬Ã‚ÂspecificÃƒÂ¢Ã¢â€šÂ¬Ã¢â€žÂ¢ low back pain. Many types of nonÃƒÂ¢Ã¢â€šÂ¬Ã‚Âmedicine and nonÃƒÂ¢Ã¢â€šÂ¬Ã‚Âsurgical treatments are available for people with low back pain of different durations: acute (pain lasting less than 6 weeks), subacute (pain lasting from 6 to 12 weeks) and chronic (pain lasting longer than 12 weeks). There is a need to provide accessible, highÃƒÂ¢Ã¢â€šÂ¬Ã‚Âquality information on the benefits and safety of nonÃƒÂ¢Ã¢â€šÂ¬Ã‚Âdrug and nonÃƒÂ¢Ã¢â€šÂ¬Ã‚Âsurgical treatments for healthcare professionals and patients to better manage low back pain. What did we want to find out? We wanted to summarise the evidence from Cochrane reviews on the effectiveness and safety of nonÃƒÂ¢Ã¢â€šÂ¬Ã‚Âmedicine and nonÃƒÂ¢Ã¢â€šÂ¬Ã‚Âsurgical treatments for adults with nonÃƒÂ¢Ã¢â€šÂ¬Ã‚Âspecific low back pain. What did we do? ÃƒÂ¢Ã¢â€šÂ¬Ã‚Â¨We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nonÃƒÂ¢Ã¢â€šÂ¬Ã‚Âmedicine and nonÃƒÂ¢Ã¢â€šÂ¬Ã‚Âsurgical interventions for low back pain. NonÃƒÂ¢Ã¢â€šÂ¬Ã‚Âmedicine and nonÃƒÂ¢Ã¢â€šÂ¬Ã‚Âsurgical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threeÃƒÂ¢Ã¢â€šÂ¬Ã‚Âquarters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nonÃƒÂ¢Ã¢â€šÂ¬Ã‚Âmedicine and nonÃƒÂ¢Ã¢â€šÂ¬Ã‚Âsurgical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oneÃƒÂ¢Ã¢â€šÂ¬Ã‚Âthird (10 of 31) of the reviews are more than 15 years old, meaning the evidence they contain is even more dated.</t>
  </si>
  <si>
    <t>Focuses on treatment efficacy, not on NHS shifts.</t>
  </si>
  <si>
    <t>J6209</t>
  </si>
  <si>
    <t>Tranexamic acid for preventing postpartum haemorrhage after vaginal birth</t>
  </si>
  <si>
    <t>- Rationale Postpartum haemorrhage (PPH) is common and potentially lifeÃƒÂ¢Ã¢â€šÂ¬Ã‚Âthreatening.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costÃƒÂ¢Ã¢â€šÂ¬Ã‚Âeffectiveness and safety of prophylactic TXA is required before considering widespread use. This review updates one published in 2015. Objectives To assess the effects of TXA for preventing PPH compared to placebo or no treatment (with or without uterotonic coÃƒÂ¢Ã¢â€šÂ¬Ã‚Âtreatment)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ÃƒÂ¢Ã¢â‚¬Â°Ã‚Â¥ 500 mL and blood loss ÃƒÂ¢Ã¢â‚¬Â°Ã‚Â¥ 1000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randomÃƒÂ¢Ã¢â€šÂ¬Ã‚Âeffects metaÃƒÂ¢Ã¢â€šÂ¬Ã‚Âanalysis to combine data. We assessed the certainty of the evidence using GRADE. Included studies We included three RCTs with 18,974 participants in total. The trials were conducted in both highÃƒÂ¢Ã¢â€šÂ¬Ã‚Â and lowÃƒÂ¢Ã¢â€šÂ¬Ã‚Âresource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ÃƒÂ¢Ã¢â‚¬Â°Ã‚Â¥ 500 mL (risk ratio (RR) 0.93, 95% confidence interval (CI) 0.81 to 1.06; 2 studies, 18,897 participants; 5 fewer per 1000, 95% CI 15 fewer to 5 more; highÃƒÂ¢Ã¢â€šÂ¬Ã‚Âcertainty evidence). TXA likely results in little to no difference in blood loss ÃƒÂ¢Ã¢â‚¬Â°Ã‚Â¥ 1000 mL (RR 0.86, 95% CI 0.69 to 1.07; 2 studies, 18,897 participants; 3 fewer per 1000, 95% CI 6 fewer to 1 more; moderateÃƒÂ¢Ã¢â€šÂ¬Ã‚Âcertainty evidence). TXA likely results in little to no difference in severe morbidity (RR 0.88, 95% CI 0.69 to 1.12; 1 study, 15,066 participants; 2 fewer per 1000, 95% CI 6 fewer to 2 more; moderateÃƒÂ¢Ã¢â€šÂ¬Ã‚Âcertainty evidence). TXA results in little to no difference in receipt of blood transfusion (RR 1.00, 95% CI 0.95 to 1.06; 3 studies, 18,972 participants; 0 fewer per 1000, 95% CI 10 fewer to 12 more; highÃƒÂ¢Ã¢â€šÂ¬Ã‚Âcertainty evidence). TXA may result in little to no difference in receipt of additional surgical interventions to control PPH (RR 0.63, 95% CI 0.32 to 1.23; 2 studies, 18,972 participants; 1 fewer per 1000, 95% CI 2 fewer to 1 more; lowÃƒÂ¢Ã¢â€šÂ¬Ã‚Âcertainty evidence). In women with anaemia, TXA results in little to no difference in receipt of additional uterotonics (RR 1.02, 95% CI 0.94 to 1.10; 1 study, 15,066 participants; 3 more women per 1000, 95% CI 8 fewer to 24 more; highÃƒÂ¢Ã¢â€šÂ¬Ã‚Âcertainty evidence). In women with no anaemia, TXA results in a slight reduction in receipt of additional uterotonics (RR 0.75, 95% CI 0.61 to 0.92; 1 study, 3891 participants; 24 fewer women per 1000, 95% CI 38 fewer to 8 fewer; highÃƒÂ¢Ã¢â€šÂ¬Ã‚Âcertainty evidence). TXA likely r sults in little to no difference in maternal satisfaction. The evidence is very uncertain about the effect of TXA on maternal death, thromboembolic events, and hysterectomy (very lowÃƒÂ¢Ã¢â€šÂ¬Ã‚Âcertainty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ÃƒÂ¢Ã¢â‚¬Â°Ã‚Â¥ 500 mL and likely makes little to no difference to blood loss ÃƒÂ¢Ã¢â‚¬Â°Ã‚Â¥ 1000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10.1002/14651858.CD007872ÃƒÂ¢Ã¢â€šÂ¬Ã‚Â¨Original review (2010) DOI: 10.1002/14651858.CD007872.pub2ÃƒÂ¢Ã¢â€šÂ¬Ã‚Â¨Review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lifeÃƒÂ¢Ã¢â€šÂ¬Ã‚Âthreatening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highÃƒÂ¢Ã¢â€šÂ¬Ã‚Â and lowÃƒÂ¢Ã¢â€šÂ¬Ã‚Âresource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</si>
  <si>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Focuses on treatment rather than prevention or community/digital shifts.</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</si>
  <si>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</si>
  <si>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</si>
  <si>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nonÃƒÂ¢Ã¢â€šÂ¬Ã‚Ârandomized trials, controlled beforeÃƒÂ¢Ã¢â€šÂ¬Ã‚Âafter (CBA) studies, and interrupted timeÃƒÂ¢Ã¢â€šÂ¬Ã‚Âseries (ITS) studies comparing (1) standÃƒÂ¢Ã¢â€šÂ¬Ã‚Âalone clinical pathways with usual care, and (2) clinical pathways as part of a multifaceted intervention with usual care. Data collection and analysis Two authors independently screened all titles, abstracts and fullÃƒÂ¢Ã¢â€šÂ¬Ã‚Âtext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evidenceÃƒÂ¢Ã¢â€šÂ¬Ã‚Âbased implementation process. Main results The update provided 31 additional studies for a total of 58 included studies (24,841 patients and 2027 healthcare professionals). FortyÃƒÂ¢Ã¢â€šÂ¬Ã‚Âone (71%) were randomized trials, four (7%) nonÃƒÂ¢Ã¢â€šÂ¬Ã‚Ârandomized trials, four (7%) CBA studies and nine (16%) ITS studies. FortyÃƒÂ¢Ã¢â€šÂ¬Ã‚Ânine studies compared standÃƒÂ¢Ã¢â€šÂ¬Ã‚Âalone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StandÃƒÂ¢Ã¢â€šÂ¬Ã‚Âalone clinical pathway interventions It is uncertain whether standÃƒÂ¢Ã¢â€šÂ¬Ã‚Âalone CPWs reduce inhospital mortality (13% v 16%: OR 0.79, 95% CI 0.53 to 1.20; P = 0.27; IÃƒâ€šÃ‚Â² = 65%; 7 randomized trials; n = 4603; lowÃƒÂ¢Ã¢â€šÂ¬Ã‚Âcertainty evidence due to serious imprecision and inconsistency) or mortality (up to 6 months) (4% v 3%: OR 1.37, 95% CI 0.72 to 2.60; P = 0.34; IÃƒâ€šÃ‚Â² = 20%; 3 randomized trials, n = 805; lowÃƒÂ¢Ã¢â€šÂ¬Ã‚Âcertainty evidence due to serious risk of bias and imprecision). StandÃƒÂ¢Ã¢â€šÂ¬Ã‚Âalone CPWs likely reduce inhospital complications (10% v 17%: OR 0.57, 95% CI 0.41 to 0.80; P = 0.001; IÃƒâ€šÃ‚Â² = 52%; 11 randomized trials, n = 3668; moderateÃƒÂ¢Ã¢â€šÂ¬Ã‚Âcertainty evidence due to serious risk of bias). It is very uncertain whether standÃƒÂ¢Ã¢â€šÂ¬Ã‚Âalone CPWs reduce hospital readmissions (up to 6 months) (9% v 13%: OR 0.67, 95% CI 0.44 to 1.03; P = 0.07; IÃƒâ€šÃ‚Â² = 11%; 9 randomized trials, n = 1578; very lowÃƒÂ¢Ã¢â€šÂ¬Ã‚Âcertainty evidence due to serious risk of bias and very serious imprecision). StandÃƒÂ¢Ã¢â€šÂ¬Ã‚Âalone CPWs likely reduce the length of hospital stay compared to usual care (MD ÃƒÂ¢Ã¢â€šÂ¬Ã‚Â1.12 days, 95% CI ÃƒÂ¢Ã¢â€šÂ¬Ã‚Â1.60 to ÃƒÂ¢Ã¢â€šÂ¬Ã‚Â0.65; P &lt; 0.00001; IÃƒâ€šÃ‚Â² = 64%; 21 studies; n = 5201; moderateÃƒÂ¢Ã¢â€šÂ¬Ã‚Âcertainty evidence due to serious inconsistency). Costs and charges were generally lower in CPWs as indicated by negative MDs in nine studies (10 studies, n = 2113, data not pooled; very lowÃƒÂ¢Ã¢â€šÂ¬Ã‚Âcertainty evidence due to serious indirectness and very serious inconsistency). StandÃƒÂ¢Ã¢â€šÂ¬Ã‚Âalone CPWs may slightly increase adherence to recommended practice compared with usual care (3 randomized studies, n = 573; data not pooled; lowÃƒÂ¢Ã¢â€šÂ¬Ã‚Âcertainty evidence due to serious risk of bias and serious inconsistency). Multifaceted clinical pathway interventions It is uncertain whether multifaceted CPWs reduce inhospital mor ality (2 randomized studies, n = 6304, data not pooled; lowÃƒÂ¢Ã¢â€šÂ¬Ã‚Âcertainty evidence due to very serious inconsistency). Multifaceted CPWs may make little or no difference to mortality (up to 6 months) (9% v 8%: OR 1.05, 95% CI 0.88 to 1.25; P = 0.61; IÃƒâ€šÃ‚Â² = 0%; 3 randomized studies; n = 6531; lowÃƒÂ¢Ã¢â€šÂ¬Ã‚Âcertainty evidence due to serious imprecision and serious risk of bias). It is uncertain whether multifaceted CPWs reduce inhospital complications (9% v 23%: OR 0.32, 95% CI 0.12 to 0.87; 1 study, n = 140; lowÃƒÂ¢Ã¢â€šÂ¬Ã‚Âcertainty evidence due to very serious imprecision). It is uncertain whether multifaceted CPWs reduce hospital readmission (up to 6 months) (2 randomized studies, n =1569, data not pooled; lowÃƒÂ¢Ã¢â€šÂ¬Ã‚Âcertainty evidence due to very serious inconsistency), or length of stay (4 randomized studies, n = 1936, data not pooled; lowÃƒÂ¢Ã¢â€šÂ¬Ã‚Âcertainty evidence due to very serious inconsistency), or hospital costs and charges (4 randomized studies, n = 2015, data not pooled; very lowÃƒÂ¢Ã¢â€šÂ¬Ã‚Âcertainty evidence due to very serious imprecision and serious indirectness in outcome measures). It is uncertain whether multifaceted CPWs increase adherence to recommended practice (2 randomized studies, n = 6304, data not pooled, lowÃƒÂ¢Ã¢â€šÂ¬Ã‚Âcertainty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extendedÃƒÂ¢Ã¢â€šÂ¬Ã‚Âstay facilities (10%). The most common clinical conditions were asthma (16%), stroke (10%), mechanical ventilation (9%) and myocardial infarction (7%). Authors' conclusions StandÃƒÂ¢Ã¢â€šÂ¬Ã‚Âalone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standÃƒÂ¢Ã¢â€šÂ¬Ã‚Âalone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documentÃƒÂ¢Ã¢â€šÂ¬Ã‚Âbased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highÃƒÂ¢Ã¢â€šÂ¬Ã‚Âquality studies that report on implementation strategies used during the pathway development and implementation. What was studied in the review? DecisionÃƒÂ¢Ã¢â€šÂ¬Ã‚Âmaking in hospitals h s evolved from being opinionÃƒÂ¢Ã¢â€šÂ¬Ã‚Âbased to being based on sound scientific evidence (i.e. evidenceÃƒÂ¢Ã¢â€šÂ¬Ã‚Âbased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clusterÃƒÂ¢Ã¢â€šÂ¬Ã‚Ârandomized studies, nonÃƒÂ¢Ã¢â€šÂ¬Ã‚Ârandomized studies, controlled beforeÃƒÂ¢Ã¢â€šÂ¬Ã‚Âafter studies (CBA), and interrupted timeÃƒÂ¢Ã¢â€šÂ¬Ã‚Âseries studies (ITS). In individual randomized trials, study participants were allocated to the CPW or usual care group by chance, called random allocation. ClusterÃƒÂ¢Ã¢â€šÂ¬Ã‚Ârandomized trials divided all study participants into smaller groups known as clusters. These clusters were then allocated by chance to the CPW or usual care group. For nonÃƒÂ¢Ã¢â€šÂ¬Ã‚Ârandomized trials, participants were allocated to different groups by investigators in a quasiÃƒÂ¢Ã¢â€šÂ¬Ã‚Ârandom fashion. QuasiÃƒÂ¢Ã¢â€šÂ¬Ã‚Ârandom allocation means that study participants were allocated to the CPW or usual care group based on criteria such as their date of birth or the day of the week. CBA studies are experimental studies without a random or quasiÃƒÂ¢Ã¢â€šÂ¬Ã‚Ârandom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standÃƒÂ¢Ã¢â€šÂ¬Ã‚Âalone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standÃƒÂ¢Ã¢â€šÂ¬Ã‚Âalone clinical pathway has any effect on inÃƒÂ¢Ã¢â€šÂ¬Ã‚Âhospital mortality and mortality (up to 6 months) (low certainty). StandÃƒÂ¢Ã¢â€šÂ¬Ã‚Âalone CPWs are likely to reduce inhospital complications (moderate certainty) but it is very uncertain if they make any difference to hospital readmissions (up to 6 months) (very low certainty). StandÃƒÂ¢Ã¢â€šÂ¬Ã‚Âalone CPWs are likely to reduce length of hospital stay (moderate certainty). Costs and charges were generally lower in CPWs in nine out of ten studies included in this comparison (very low certainty). StandÃƒÂ¢Ã¢â€šÂ¬Ã‚Âalone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upÃƒÂ¢Ã¢â€šÂ¬Ã‚ÂtoÃƒÂ¢Ã¢â€šÂ¬Ã‚Âdate is this review? This review update searched for new studies up to July 26, 2024.</t>
  </si>
  <si>
    <t>Focuses on hospital-based clinical pathways, not NHS shifts.</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</si>
  <si>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</si>
  <si>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</si>
  <si>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</si>
  <si>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Online self-management intervention aligns with digital shift.</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</si>
  <si>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</si>
  <si>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</si>
  <si>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Ãƒâ€šÃ‚Â© 2025</t>
  </si>
  <si>
    <t>Explores digital methods for improving adherence to home-exercise programmes.</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</si>
  <si>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</si>
  <si>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</si>
  <si>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allÃƒÂ¢Ã¢â€šÂ¬Ã‚Âcause mortality, major venous thromboembolism (VTE), symptomatic VTE, major bleeding, and serious hepatic and nonÃƒÂ¢Ã¢â€šÂ¬Ã‚Âhepatic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TwentyÃƒÂ¢Ã¢â€šÂ¬Ã‚Âthree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allÃƒÂ¢Ã¢â€šÂ¬Ã‚Âcause mortality, but the evidence is very uncertain (RR 0.83, 95% CI 0.52 to 1.31; I 2 = 0%; 28 studies, 29,698 participants; very lowÃƒÂ¢Ã¢â€šÂ¬Ã‚Âcertainty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lowÃƒÂ¢Ã¢â€šÂ¬Ã‚Âcertainty evidence). Compared to LMWHs, direct factor Xa inhibitors may reduce symptomatic VTE (RR 0.64, 95% CI 0.50 to 0.83; I 2 = 0%; 33 studies, 31,670 participants; lowÃƒÂ¢Ã¢â€šÂ¬Ã‚Âcertainty evidence). The absolute benefit of substituting factor Xa inhibitors for LMWHs may be between two and five fewer symptomatic VTE episodes per 1000 patients. In the metaÃƒÂ¢Ã¢â€šÂ¬Ã‚Âanalysis with all studies pooled, direct factor Xa inhibitors appeared to make little or no difference to major bleeding compared to LMWHs, but the evidence was very uncertain (RR 1.05, 95% CI 0.86 to 1.30; I 2 = 15%; 36 studies, 39,778 participants; very low certaintyÃƒÂ¢Ã¢â€šÂ¬Ã‚Âevidence). ÃƒÂ¢Ã¢â€šÂ¬Ã‚Â¨ÃƒÂ¢Ã¢â€šÂ¬Ã‚Â¢ In a subgroup analysis limited to studies comparing rivaroxaban to LMWHs, people given rivaroxaban may have had more major bleeding events (RR 1.94, 95% CI 1.26 to 2.98; I 2 = 0%; 17 studies, 17,630 participants; lowÃƒÂ¢Ã¢â€šÂ¬Ã‚Âcertainty evidence). The absolute risk of substituting rivaroxaban for LMWH may be between one and seven more major bleeding events per 1000 patients. ÃƒÂ¢Ã¢â€šÂ¬Ã‚Â¨ÃƒÂ¢Ã¢â€šÂ¬Ã‚Â¢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lowÃƒÂ¢Ã¢â€šÂ¬Ã‚Âcertainty evidence). Direct factor Xa inhibitors may make little to no difference in serious hepatic adverse events compared to LMWHs, but the evidence is very uncertain (RR 3.01, 95% CI 0.12 to 73.93; 2 studies, 3169 participants; very lowÃƒÂ¢Ã¢â€šÂ¬Ã‚Âcertainty evidence). Only two studies reported this outcome, with one death in the intervention group due to hepatitis reported in one study, and no events reported in the other study. People given direct factor Xa inhibitors may have a lower risk of serious nonÃƒÂ¢Ã¢â€šÂ¬Ã‚Âhepatic adverse events than those given LMWHs (RR 0.89, 95% CI 0.81 to 0.97; I 2 = 18%; 15 studies, 26,246 participants; lowÃƒÂ¢Ã¢â€šÂ¬Ã‚Âcertainty evidence). The absolute benefit of substituting factor Xa inhibitors for LMWH may be between three and 14 fewer serious nonÃƒÂ¢Ã¢â€šÂ¬Ã‚Âhepatic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allÃƒÂ¢Ã¢â€šÂ¬Ã‚Âcause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nonÃƒÂ¢Ã¢â€šÂ¬Ã‚Âhepatic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ÃƒÂ¢Ã¢â€šÂ¬Ã‚Â¢ We do not know if classic anticoagulant medicines (commonly known as 'blood thinners') or newer bloodÃƒÂ¢Ã¢â€šÂ¬Ã‚Âthinning medicines called 'direct factor Xa inhibitors' (DFXa inhibitors) are better at preventing death or the development of blood clots in the deep veins of the legs or in the lungs of people who have had hip or knee replacement surgery. ÃƒÂ¢Ã¢â€šÂ¬Ã‚Â¢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followÃƒÂ¢Ã¢â€šÂ¬Ã‚Âup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highÃƒÂ¢Ã¢â€šÂ¬Ã‚Âincome regions. Roughly oneÃƒÂ¢Ã¢â€šÂ¬Ã‚Âthird of participants (31%) were male. Participants' average age was 64 years. Pharmaceutical companies funded half of the studies (27 of 53). Main results Compared to LMWHs, we do not know if DFXa inhibitors reduce the number of people who:ÃƒÂ¢Ã¢â€šÂ¬Ã‚Â¨ÃƒÂ¢Ã¢â€šÂ¬Ã‚Â¢ die from any cause after surgery, orÃƒÂ¢Ã¢â€šÂ¬Ã‚Â¨ÃƒÂ¢Ã¢â€šÂ¬Ã‚Â¢ develop blood clots in the lungs or deep veins of the leg or pelvisÃƒÂ¢Ã¢â€šÂ¬Ã‚Â¨because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nonÃƒÂ¢Ã¢â€šÂ¬Ã‚ÂliverÃƒÂ¢Ã¢â€šÂ¬Ã‚Ârelated events compared to LMWHs. Between 3 and 14 fewer people out of every 1000 people given DFXa inhibitors would have serious, nonÃƒÂ¢Ã¢â€šÂ¬Ã‚ÂliverÃƒÂ¢Ã¢â€šÂ¬Ã‚Ârelated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</si>
  <si>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Focus on anticoagulation in surgery, not NHS shifts.</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</si>
  <si>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</si>
  <si>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</si>
  <si>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J553</t>
  </si>
  <si>
    <t>Interventions for preventing obesity in children</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</si>
  <si>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</si>
  <si>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</si>
  <si>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</si>
  <si>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</si>
  <si>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</si>
  <si>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</si>
  <si>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</si>
  <si>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</si>
  <si>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</si>
  <si>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</si>
  <si>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</si>
  <si>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</si>
  <si>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</si>
  <si>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</si>
  <si>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</si>
  <si>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</si>
  <si>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</si>
  <si>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</si>
  <si>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</si>
  <si>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</si>
  <si>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</si>
  <si>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</si>
  <si>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</si>
  <si>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</si>
  <si>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</si>
  <si>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</si>
  <si>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</si>
  <si>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</si>
  <si>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</si>
  <si>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</si>
  <si>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</si>
  <si>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</si>
  <si>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</si>
  <si>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</si>
  <si>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</si>
  <si>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</si>
  <si>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</si>
  <si>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</si>
  <si>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</si>
  <si>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</si>
  <si>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</si>
  <si>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</si>
  <si>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</si>
  <si>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</si>
  <si>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</si>
  <si>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</si>
  <si>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</si>
  <si>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</si>
  <si>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</si>
  <si>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</si>
  <si>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</si>
  <si>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</si>
  <si>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</si>
  <si>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</si>
  <si>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</si>
  <si>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</si>
  <si>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</si>
  <si>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</si>
  <si>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</si>
  <si>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</si>
  <si>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</si>
  <si>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Results of a Birth Cohort Hepatitis C Screening Program in an Academic Emergency Department in Canada</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</si>
  <si>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</si>
  <si>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</si>
  <si>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</si>
  <si>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</si>
  <si>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</si>
  <si>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</si>
  <si>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</si>
  <si>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</si>
  <si>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</si>
  <si>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</si>
  <si>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</si>
  <si>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</si>
  <si>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</si>
  <si>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</si>
  <si>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J585</t>
  </si>
  <si>
    <t>Fortification of wheat and maize flour with folic acid for population health outcomes</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</si>
  <si>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</si>
  <si>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</si>
  <si>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</si>
  <si>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</si>
  <si>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</si>
  <si>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</si>
  <si>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</si>
  <si>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</si>
  <si>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</si>
  <si>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</si>
  <si>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</si>
  <si>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</si>
  <si>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</si>
  <si>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</si>
  <si>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</si>
  <si>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</si>
  <si>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</si>
  <si>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</si>
  <si>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</si>
  <si>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</si>
  <si>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</si>
  <si>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</si>
  <si>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</si>
  <si>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</si>
  <si>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</si>
  <si>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</si>
  <si>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</si>
  <si>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</si>
  <si>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</si>
  <si>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</si>
  <si>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</si>
  <si>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</si>
  <si>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</si>
  <si>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</si>
  <si>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</si>
  <si>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</si>
  <si>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</si>
  <si>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</si>
  <si>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</si>
  <si>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</si>
  <si>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</si>
  <si>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</si>
  <si>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</si>
  <si>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</si>
  <si>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</si>
  <si>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</si>
  <si>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</si>
  <si>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</si>
  <si>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</si>
  <si>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</si>
  <si>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</si>
  <si>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</si>
  <si>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</si>
  <si>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</si>
  <si>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</si>
  <si>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</si>
  <si>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</si>
  <si>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</si>
  <si>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</si>
  <si>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</si>
  <si>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</si>
  <si>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</si>
  <si>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</si>
  <si>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</si>
  <si>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</si>
  <si>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</si>
  <si>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</si>
  <si>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</si>
  <si>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</si>
  <si>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</si>
  <si>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</si>
  <si>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</si>
  <si>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</si>
  <si>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</si>
  <si>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</si>
  <si>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</si>
  <si>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</si>
  <si>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</si>
  <si>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</si>
  <si>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</si>
  <si>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</si>
  <si>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</si>
  <si>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</si>
  <si>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</si>
  <si>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</si>
  <si>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</si>
  <si>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</si>
  <si>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</si>
  <si>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</si>
  <si>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</si>
  <si>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</si>
  <si>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</si>
  <si>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</si>
  <si>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</si>
  <si>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</si>
  <si>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</si>
  <si>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</si>
  <si>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</si>
  <si>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</si>
  <si>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</si>
  <si>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</si>
  <si>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</si>
  <si>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</si>
  <si>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</si>
  <si>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</si>
  <si>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</si>
  <si>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</si>
  <si>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</si>
  <si>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</si>
  <si>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</si>
  <si>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</si>
  <si>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</si>
  <si>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</si>
  <si>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</si>
  <si>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</si>
  <si>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</si>
  <si>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</si>
  <si>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</si>
  <si>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</si>
  <si>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</si>
  <si>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</si>
  <si>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</si>
  <si>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J2877</t>
  </si>
  <si>
    <t>Exploring the role of dedicated services for barrett's oesophagus care in UK NHS hospitals</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</si>
  <si>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</si>
  <si>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</si>
  <si>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</si>
  <si>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J2880</t>
  </si>
  <si>
    <t>Status of primary and secondary mental healthcare of people with severe mental illness: An epidemiological study from the UK PARTNERS2 programme</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</si>
  <si>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</si>
  <si>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</si>
  <si>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</si>
  <si>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</si>
  <si>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</si>
  <si>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</si>
  <si>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</si>
  <si>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</si>
  <si>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</si>
  <si>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</si>
  <si>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</si>
  <si>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</si>
  <si>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</si>
  <si>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</si>
  <si>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</si>
  <si>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</si>
  <si>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</si>
  <si>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</si>
  <si>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</si>
  <si>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</si>
  <si>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</si>
  <si>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</si>
  <si>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</si>
  <si>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</si>
  <si>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</si>
  <si>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J2894</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</si>
  <si>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</si>
  <si>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</si>
  <si>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J2896</t>
  </si>
  <si>
    <t>Dietetics and community pharmacy working together; improving nutritional care for patients prescribed oral nutritional supplements (ONS)</t>
  </si>
  <si>
    <t>A pilot to support ‘New Ways of Working’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</si>
  <si>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</si>
  <si>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</si>
  <si>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</si>
  <si>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</si>
  <si>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</si>
  <si>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</si>
  <si>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</si>
  <si>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</si>
  <si>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</si>
  <si>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</si>
  <si>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</si>
  <si>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</si>
  <si>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</si>
  <si>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</si>
  <si>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</si>
  <si>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</si>
  <si>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</si>
  <si>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</si>
  <si>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</si>
  <si>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</si>
  <si>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</si>
  <si>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</si>
  <si>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</si>
  <si>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</si>
  <si>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</si>
  <si>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</si>
  <si>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</si>
  <si>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</si>
  <si>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</si>
  <si>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</si>
  <si>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</si>
  <si>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</si>
  <si>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J6203</t>
  </si>
  <si>
    <t>Multimodal interventions for cachexia management</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</si>
  <si>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</si>
  <si>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</si>
  <si>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</si>
  <si>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</si>
  <si>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</si>
  <si>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</si>
  <si>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</si>
  <si>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</si>
  <si>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</si>
  <si>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</si>
  <si>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</si>
  <si>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</si>
  <si>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</si>
  <si>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</si>
  <si>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</si>
  <si>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</si>
  <si>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</si>
  <si>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</si>
  <si>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</si>
  <si>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</si>
  <si>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</si>
  <si>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</si>
  <si>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</si>
  <si>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</si>
  <si>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</si>
  <si>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</si>
  <si>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</si>
  <si>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</si>
  <si>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</si>
  <si>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</si>
  <si>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</si>
  <si>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</si>
  <si>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</si>
  <si>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</si>
  <si>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Prevention/community</t>
  </si>
  <si>
    <t>No shift - could be community</t>
  </si>
  <si>
    <t>Community/Prevention</t>
  </si>
  <si>
    <t>Prevent?</t>
  </si>
  <si>
    <t>No shift, could be Community?</t>
  </si>
  <si>
    <t>No shift, could be Prevention</t>
  </si>
  <si>
    <t>Community (via telephone)</t>
  </si>
  <si>
    <t>Prevent</t>
  </si>
  <si>
    <t>Prevention? - could be no shift</t>
  </si>
  <si>
    <t>no shift</t>
  </si>
  <si>
    <t>No shift - could be prevention</t>
  </si>
  <si>
    <t>could be Prevent</t>
  </si>
  <si>
    <t>Community?</t>
  </si>
  <si>
    <t>Digital/Community</t>
  </si>
  <si>
    <t>Digital/Prevention/Community</t>
  </si>
  <si>
    <t>Digital?</t>
  </si>
  <si>
    <t>8 false positives</t>
  </si>
  <si>
    <t>22 false negatives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</si>
</sst>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2" fillId="0" borderId="0" xfId="0" applyFont="1"/>
    <xf numFmtId="0" fontId="2" fillId="0" borderId="1" xfId="0" applyFont="1" applyBorder="1"/>
    <xf numFmtId="0" fontId="2" fillId="0" borderId="2" xfId="0" applyFont="1" applyBorder="1"/>
    <xf numFmtId="0" fontId="0" fillId="2" borderId="0" xfId="0" applyFill="1"/>
    <xf numFmtId="0" fontId="0" fillId="3" borderId="0" xfId="0" applyFill="1"/>
    <xf numFmtId="0" fontId="0" fillId="2" borderId="0" xfId="0" applyFill="1" applyAlignment="1">
      <alignment wrapText="1"/>
    </xf>
    <xf numFmtId="0" fontId="2" fillId="0" borderId="3" xfId="0" applyFont="1" applyBorder="1"/>
    <xf numFmtId="0" fontId="2" fillId="0" borderId="4" xfId="0" applyFont="1" applyBorder="1"/>
  </cellXfs>
  <cellStyles count="1">
    <cellStyle name="Normal" xfId="0" builtinId="0"/>
  </cellStyles>
  <dxfs count="3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94"/>
  <sheetViews>
    <sheetView topLeftCell="A88" workbookViewId="0">
      <selection sqref="A1:I94"/>
    </sheetView>
  </sheetViews>
  <sheetFormatPr defaultRowHeight="14.5" x14ac:dyDescent="0.35"/>
  <sheetData>
    <row r="1" spans="1:9" x14ac:dyDescent="0.35">
      <c r="A1" t="s">
        <v>0</v>
      </c>
      <c r="B1" t="s">
        <v>1</v>
      </c>
      <c r="C1" t="s">
        <v>2</v>
      </c>
      <c r="D1" t="s">
        <v>3</v>
      </c>
      <c r="E1" t="s">
        <v>192</v>
      </c>
      <c r="F1" t="s">
        <v>193</v>
      </c>
      <c r="G1" t="s">
        <v>194</v>
      </c>
      <c r="H1" t="s">
        <v>195</v>
      </c>
      <c r="I1" t="s">
        <v>196</v>
      </c>
    </row>
    <row r="2" spans="1:9" x14ac:dyDescent="0.35">
      <c r="A2" t="s">
        <v>8</v>
      </c>
      <c r="B2">
        <v>2019</v>
      </c>
      <c r="C2" t="s">
        <v>9</v>
      </c>
      <c r="D2" t="s">
        <v>175</v>
      </c>
      <c r="E2" t="b">
        <v>0</v>
      </c>
      <c r="F2" t="s">
        <v>197</v>
      </c>
      <c r="G2" t="s">
        <v>198</v>
      </c>
      <c r="I2">
        <v>0.9</v>
      </c>
    </row>
    <row r="3" spans="1:9" x14ac:dyDescent="0.35">
      <c r="A3" t="s">
        <v>10</v>
      </c>
      <c r="B3">
        <v>2019</v>
      </c>
      <c r="C3" t="s">
        <v>11</v>
      </c>
      <c r="D3" t="s">
        <v>180</v>
      </c>
      <c r="E3" t="b">
        <v>0</v>
      </c>
      <c r="F3" t="s">
        <v>214</v>
      </c>
      <c r="G3" t="s">
        <v>198</v>
      </c>
      <c r="I3">
        <v>0.9</v>
      </c>
    </row>
    <row r="4" spans="1:9" x14ac:dyDescent="0.35">
      <c r="A4" t="s">
        <v>12</v>
      </c>
      <c r="B4">
        <v>2019</v>
      </c>
      <c r="C4" t="s">
        <v>13</v>
      </c>
      <c r="D4" t="s">
        <v>176</v>
      </c>
      <c r="E4" t="b">
        <v>0</v>
      </c>
      <c r="F4" t="s">
        <v>215</v>
      </c>
      <c r="G4" t="s">
        <v>198</v>
      </c>
      <c r="I4">
        <v>0.9</v>
      </c>
    </row>
    <row r="5" spans="1:9" x14ac:dyDescent="0.35">
      <c r="A5" t="s">
        <v>14</v>
      </c>
      <c r="B5">
        <v>2019</v>
      </c>
      <c r="C5" t="s">
        <v>15</v>
      </c>
      <c r="D5" t="s">
        <v>181</v>
      </c>
      <c r="E5" t="b">
        <v>1</v>
      </c>
      <c r="F5" t="s">
        <v>216</v>
      </c>
      <c r="G5" t="s">
        <v>200</v>
      </c>
      <c r="H5" t="s">
        <v>200</v>
      </c>
      <c r="I5">
        <v>0.9</v>
      </c>
    </row>
    <row r="6" spans="1:9" x14ac:dyDescent="0.35">
      <c r="A6" t="s">
        <v>19</v>
      </c>
      <c r="B6">
        <v>2019</v>
      </c>
      <c r="C6" t="s">
        <v>20</v>
      </c>
      <c r="D6" t="s">
        <v>177</v>
      </c>
      <c r="E6" t="b">
        <v>0</v>
      </c>
      <c r="F6" t="s">
        <v>217</v>
      </c>
      <c r="G6" t="s">
        <v>198</v>
      </c>
      <c r="I6">
        <v>1</v>
      </c>
    </row>
    <row r="7" spans="1:9" x14ac:dyDescent="0.35">
      <c r="A7" t="s">
        <v>21</v>
      </c>
      <c r="B7">
        <v>2019</v>
      </c>
      <c r="C7" t="s">
        <v>22</v>
      </c>
      <c r="D7" t="s">
        <v>218</v>
      </c>
      <c r="E7" t="b">
        <v>0</v>
      </c>
      <c r="F7" t="s">
        <v>219</v>
      </c>
      <c r="G7" t="s">
        <v>198</v>
      </c>
      <c r="I7">
        <v>0.9</v>
      </c>
    </row>
    <row r="8" spans="1:9" x14ac:dyDescent="0.35">
      <c r="A8" t="s">
        <v>23</v>
      </c>
      <c r="B8">
        <v>2019</v>
      </c>
      <c r="C8" t="s">
        <v>182</v>
      </c>
      <c r="D8" t="s">
        <v>183</v>
      </c>
      <c r="E8" t="b">
        <v>0</v>
      </c>
      <c r="F8" t="s">
        <v>201</v>
      </c>
      <c r="G8" t="s">
        <v>198</v>
      </c>
      <c r="I8">
        <v>0.95</v>
      </c>
    </row>
    <row r="9" spans="1:9" x14ac:dyDescent="0.35">
      <c r="A9" t="s">
        <v>24</v>
      </c>
      <c r="B9">
        <v>2019</v>
      </c>
      <c r="C9" t="s">
        <v>25</v>
      </c>
      <c r="D9" t="s">
        <v>26</v>
      </c>
      <c r="E9" t="b">
        <v>0</v>
      </c>
      <c r="F9" t="s">
        <v>220</v>
      </c>
      <c r="G9" t="s">
        <v>198</v>
      </c>
      <c r="I9">
        <v>0.9</v>
      </c>
    </row>
    <row r="10" spans="1:9" x14ac:dyDescent="0.35">
      <c r="A10" t="s">
        <v>27</v>
      </c>
      <c r="B10">
        <v>2019</v>
      </c>
      <c r="C10" t="s">
        <v>28</v>
      </c>
      <c r="D10" t="s">
        <v>29</v>
      </c>
      <c r="E10" t="b">
        <v>0</v>
      </c>
      <c r="F10" t="s">
        <v>221</v>
      </c>
      <c r="G10" t="s">
        <v>198</v>
      </c>
      <c r="I10">
        <v>0.9</v>
      </c>
    </row>
    <row r="11" spans="1:9" x14ac:dyDescent="0.35">
      <c r="A11" t="s">
        <v>31</v>
      </c>
      <c r="B11">
        <v>2019</v>
      </c>
      <c r="C11" t="s">
        <v>222</v>
      </c>
      <c r="D11" t="s">
        <v>223</v>
      </c>
      <c r="E11" t="b">
        <v>0</v>
      </c>
      <c r="F11" t="s">
        <v>224</v>
      </c>
      <c r="G11" t="s">
        <v>198</v>
      </c>
      <c r="I11">
        <v>0.9</v>
      </c>
    </row>
    <row r="12" spans="1:9" x14ac:dyDescent="0.35">
      <c r="A12" t="s">
        <v>32</v>
      </c>
      <c r="B12">
        <v>2019</v>
      </c>
      <c r="C12" t="s">
        <v>33</v>
      </c>
      <c r="D12" t="s">
        <v>225</v>
      </c>
      <c r="E12" t="b">
        <v>1</v>
      </c>
      <c r="F12" t="s">
        <v>226</v>
      </c>
      <c r="G12" t="s">
        <v>207</v>
      </c>
      <c r="H12" t="s">
        <v>207</v>
      </c>
      <c r="I12">
        <v>0.9</v>
      </c>
    </row>
    <row r="13" spans="1:9" x14ac:dyDescent="0.35">
      <c r="A13" t="s">
        <v>42</v>
      </c>
      <c r="B13">
        <v>2019</v>
      </c>
      <c r="C13" t="s">
        <v>43</v>
      </c>
      <c r="D13" t="s">
        <v>44</v>
      </c>
      <c r="E13" t="b">
        <v>0</v>
      </c>
      <c r="F13" t="s">
        <v>227</v>
      </c>
      <c r="G13" t="s">
        <v>198</v>
      </c>
      <c r="I13">
        <v>0.9</v>
      </c>
    </row>
    <row r="14" spans="1:9" x14ac:dyDescent="0.35">
      <c r="A14" t="s">
        <v>45</v>
      </c>
      <c r="B14">
        <v>2019</v>
      </c>
      <c r="C14" t="s">
        <v>46</v>
      </c>
      <c r="D14" t="s">
        <v>228</v>
      </c>
      <c r="E14" t="b">
        <v>0</v>
      </c>
      <c r="F14" t="s">
        <v>229</v>
      </c>
      <c r="G14" t="s">
        <v>198</v>
      </c>
      <c r="I14">
        <v>0.9</v>
      </c>
    </row>
    <row r="15" spans="1:9" x14ac:dyDescent="0.35">
      <c r="A15" t="s">
        <v>47</v>
      </c>
      <c r="B15">
        <v>2019</v>
      </c>
      <c r="C15" t="s">
        <v>48</v>
      </c>
      <c r="D15" t="s">
        <v>178</v>
      </c>
      <c r="E15" t="b">
        <v>0</v>
      </c>
      <c r="F15" t="s">
        <v>230</v>
      </c>
      <c r="G15" t="s">
        <v>198</v>
      </c>
      <c r="I15">
        <v>0.9</v>
      </c>
    </row>
    <row r="16" spans="1:9" x14ac:dyDescent="0.35">
      <c r="A16" t="s">
        <v>49</v>
      </c>
      <c r="B16">
        <v>2019</v>
      </c>
      <c r="C16" t="s">
        <v>184</v>
      </c>
      <c r="D16" t="s">
        <v>185</v>
      </c>
      <c r="E16" t="b">
        <v>0</v>
      </c>
      <c r="F16" t="s">
        <v>231</v>
      </c>
      <c r="G16" t="s">
        <v>198</v>
      </c>
      <c r="I16">
        <v>0.9</v>
      </c>
    </row>
    <row r="17" spans="1:9" x14ac:dyDescent="0.35">
      <c r="A17" t="s">
        <v>50</v>
      </c>
      <c r="B17">
        <v>2019</v>
      </c>
      <c r="C17" t="s">
        <v>186</v>
      </c>
      <c r="D17" t="s">
        <v>187</v>
      </c>
      <c r="E17" t="b">
        <v>0</v>
      </c>
      <c r="F17" t="s">
        <v>202</v>
      </c>
      <c r="G17" t="s">
        <v>198</v>
      </c>
      <c r="I17">
        <v>1</v>
      </c>
    </row>
    <row r="18" spans="1:9" x14ac:dyDescent="0.35">
      <c r="A18" t="s">
        <v>57</v>
      </c>
      <c r="B18">
        <v>2019</v>
      </c>
      <c r="C18" t="s">
        <v>58</v>
      </c>
      <c r="D18" t="s">
        <v>188</v>
      </c>
      <c r="E18" t="b">
        <v>0</v>
      </c>
      <c r="F18" t="s">
        <v>199</v>
      </c>
      <c r="G18" t="s">
        <v>198</v>
      </c>
      <c r="I18">
        <v>0.9</v>
      </c>
    </row>
    <row r="19" spans="1:9" x14ac:dyDescent="0.35">
      <c r="A19" t="s">
        <v>60</v>
      </c>
      <c r="B19">
        <v>2019</v>
      </c>
      <c r="C19" t="s">
        <v>61</v>
      </c>
      <c r="D19" t="s">
        <v>232</v>
      </c>
      <c r="E19" t="b">
        <v>0</v>
      </c>
      <c r="F19" t="s">
        <v>233</v>
      </c>
      <c r="G19" t="s">
        <v>198</v>
      </c>
      <c r="I19">
        <v>0.95</v>
      </c>
    </row>
    <row r="20" spans="1:9" x14ac:dyDescent="0.35">
      <c r="A20" t="s">
        <v>62</v>
      </c>
      <c r="B20">
        <v>2019</v>
      </c>
      <c r="C20" t="s">
        <v>63</v>
      </c>
      <c r="D20" t="s">
        <v>189</v>
      </c>
      <c r="E20" t="b">
        <v>0</v>
      </c>
      <c r="F20" t="s">
        <v>234</v>
      </c>
      <c r="G20" t="s">
        <v>198</v>
      </c>
      <c r="I20">
        <v>0.95</v>
      </c>
    </row>
    <row r="21" spans="1:9" x14ac:dyDescent="0.35">
      <c r="A21" t="s">
        <v>74</v>
      </c>
      <c r="B21">
        <v>2019</v>
      </c>
      <c r="C21" t="s">
        <v>75</v>
      </c>
      <c r="D21" t="s">
        <v>190</v>
      </c>
      <c r="E21" t="b">
        <v>1</v>
      </c>
      <c r="F21" t="s">
        <v>235</v>
      </c>
      <c r="G21" t="s">
        <v>200</v>
      </c>
      <c r="H21" t="s">
        <v>200</v>
      </c>
      <c r="I21">
        <v>0.9</v>
      </c>
    </row>
    <row r="22" spans="1:9" x14ac:dyDescent="0.35">
      <c r="A22" t="s">
        <v>76</v>
      </c>
      <c r="B22">
        <v>2019</v>
      </c>
      <c r="C22" t="s">
        <v>77</v>
      </c>
      <c r="D22" t="s">
        <v>236</v>
      </c>
      <c r="E22" t="b">
        <v>0</v>
      </c>
      <c r="F22" t="s">
        <v>237</v>
      </c>
      <c r="G22" t="s">
        <v>198</v>
      </c>
      <c r="I22">
        <v>0.9</v>
      </c>
    </row>
    <row r="23" spans="1:9" x14ac:dyDescent="0.35">
      <c r="A23" t="s">
        <v>78</v>
      </c>
      <c r="B23">
        <v>2019</v>
      </c>
      <c r="C23" t="s">
        <v>79</v>
      </c>
      <c r="D23" t="s">
        <v>179</v>
      </c>
      <c r="E23" t="b">
        <v>0</v>
      </c>
      <c r="F23" t="s">
        <v>238</v>
      </c>
      <c r="G23" t="s">
        <v>198</v>
      </c>
      <c r="I23">
        <v>0.9</v>
      </c>
    </row>
    <row r="24" spans="1:9" x14ac:dyDescent="0.35">
      <c r="A24" t="s">
        <v>83</v>
      </c>
      <c r="B24">
        <v>2019</v>
      </c>
      <c r="C24" t="s">
        <v>84</v>
      </c>
      <c r="D24" t="s">
        <v>191</v>
      </c>
      <c r="E24" t="b">
        <v>0</v>
      </c>
      <c r="F24" t="s">
        <v>203</v>
      </c>
      <c r="G24" t="s">
        <v>198</v>
      </c>
      <c r="I24">
        <v>0.95</v>
      </c>
    </row>
    <row r="25" spans="1:9" ht="409.5" x14ac:dyDescent="0.35">
      <c r="A25" t="s">
        <v>85</v>
      </c>
      <c r="B25">
        <v>2019</v>
      </c>
      <c r="C25" t="s">
        <v>86</v>
      </c>
      <c r="D25" s="1" t="s">
        <v>87</v>
      </c>
      <c r="E25" t="b">
        <v>0</v>
      </c>
      <c r="F25" t="s">
        <v>239</v>
      </c>
      <c r="G25" t="s">
        <v>198</v>
      </c>
      <c r="I25">
        <v>0.9</v>
      </c>
    </row>
    <row r="26" spans="1:9" x14ac:dyDescent="0.35">
      <c r="A26" t="s">
        <v>91</v>
      </c>
      <c r="B26">
        <v>2019</v>
      </c>
      <c r="C26" t="s">
        <v>92</v>
      </c>
      <c r="D26" t="s">
        <v>93</v>
      </c>
      <c r="E26" t="b">
        <v>1</v>
      </c>
      <c r="F26" t="s">
        <v>240</v>
      </c>
      <c r="G26" t="s">
        <v>200</v>
      </c>
      <c r="H26" t="s">
        <v>200</v>
      </c>
      <c r="I26">
        <v>0.9</v>
      </c>
    </row>
    <row r="27" spans="1:9" x14ac:dyDescent="0.35">
      <c r="A27" t="s">
        <v>94</v>
      </c>
      <c r="B27">
        <v>2019</v>
      </c>
      <c r="C27" t="s">
        <v>95</v>
      </c>
      <c r="D27" t="s">
        <v>96</v>
      </c>
      <c r="E27" t="b">
        <v>1</v>
      </c>
      <c r="F27" t="s">
        <v>204</v>
      </c>
      <c r="G27" t="s">
        <v>200</v>
      </c>
      <c r="H27" t="s">
        <v>200</v>
      </c>
      <c r="I27">
        <v>0.9</v>
      </c>
    </row>
    <row r="28" spans="1:9" x14ac:dyDescent="0.35">
      <c r="A28" t="s">
        <v>99</v>
      </c>
      <c r="B28">
        <v>2019</v>
      </c>
      <c r="C28" t="s">
        <v>100</v>
      </c>
      <c r="D28" t="s">
        <v>101</v>
      </c>
      <c r="E28" t="b">
        <v>1</v>
      </c>
      <c r="F28" t="s">
        <v>241</v>
      </c>
      <c r="G28" t="s">
        <v>200</v>
      </c>
      <c r="H28" t="s">
        <v>200</v>
      </c>
      <c r="I28">
        <v>0.9</v>
      </c>
    </row>
    <row r="29" spans="1:9" x14ac:dyDescent="0.35">
      <c r="A29" t="s">
        <v>103</v>
      </c>
      <c r="B29">
        <v>2019</v>
      </c>
      <c r="C29" t="s">
        <v>104</v>
      </c>
      <c r="D29" t="s">
        <v>105</v>
      </c>
      <c r="E29" t="b">
        <v>1</v>
      </c>
      <c r="F29" t="s">
        <v>242</v>
      </c>
      <c r="G29" t="s">
        <v>200</v>
      </c>
      <c r="H29" t="s">
        <v>200</v>
      </c>
      <c r="I29">
        <v>0.9</v>
      </c>
    </row>
    <row r="30" spans="1:9" x14ac:dyDescent="0.35">
      <c r="A30" t="s">
        <v>243</v>
      </c>
      <c r="B30">
        <v>2019</v>
      </c>
      <c r="C30" t="s">
        <v>244</v>
      </c>
      <c r="D30" t="s">
        <v>245</v>
      </c>
      <c r="E30" t="b">
        <v>0</v>
      </c>
      <c r="F30" t="s">
        <v>246</v>
      </c>
      <c r="G30" t="s">
        <v>198</v>
      </c>
      <c r="I30">
        <v>0.9</v>
      </c>
    </row>
    <row r="31" spans="1:9" x14ac:dyDescent="0.35">
      <c r="A31" t="s">
        <v>247</v>
      </c>
      <c r="B31">
        <v>2019</v>
      </c>
      <c r="C31" t="s">
        <v>248</v>
      </c>
      <c r="D31" t="s">
        <v>249</v>
      </c>
      <c r="E31" t="b">
        <v>1</v>
      </c>
      <c r="F31" t="s">
        <v>250</v>
      </c>
      <c r="G31" t="s">
        <v>207</v>
      </c>
      <c r="H31" t="s">
        <v>207</v>
      </c>
      <c r="I31">
        <v>0.9</v>
      </c>
    </row>
    <row r="32" spans="1:9" x14ac:dyDescent="0.35">
      <c r="A32" t="s">
        <v>251</v>
      </c>
      <c r="B32">
        <v>2019</v>
      </c>
      <c r="C32" t="s">
        <v>252</v>
      </c>
      <c r="D32" t="s">
        <v>253</v>
      </c>
      <c r="E32" t="b">
        <v>0</v>
      </c>
      <c r="F32" t="s">
        <v>254</v>
      </c>
      <c r="G32" t="s">
        <v>198</v>
      </c>
      <c r="I32">
        <v>0.9</v>
      </c>
    </row>
    <row r="33" spans="1:9" x14ac:dyDescent="0.35">
      <c r="A33" t="s">
        <v>255</v>
      </c>
      <c r="B33">
        <v>2019</v>
      </c>
      <c r="C33" t="s">
        <v>256</v>
      </c>
      <c r="D33" t="s">
        <v>257</v>
      </c>
      <c r="E33" t="b">
        <v>0</v>
      </c>
      <c r="F33" t="s">
        <v>258</v>
      </c>
      <c r="G33" t="s">
        <v>198</v>
      </c>
      <c r="I33">
        <v>0.9</v>
      </c>
    </row>
    <row r="34" spans="1:9" x14ac:dyDescent="0.35">
      <c r="A34" t="s">
        <v>259</v>
      </c>
      <c r="B34">
        <v>2019</v>
      </c>
      <c r="C34" t="s">
        <v>260</v>
      </c>
      <c r="D34" t="s">
        <v>261</v>
      </c>
      <c r="E34" t="b">
        <v>0</v>
      </c>
      <c r="F34" t="s">
        <v>262</v>
      </c>
      <c r="G34" t="s">
        <v>198</v>
      </c>
      <c r="I34">
        <v>0.9</v>
      </c>
    </row>
    <row r="35" spans="1:9" x14ac:dyDescent="0.35">
      <c r="A35" t="s">
        <v>263</v>
      </c>
      <c r="B35">
        <v>2019</v>
      </c>
      <c r="C35" t="s">
        <v>264</v>
      </c>
      <c r="D35" t="s">
        <v>265</v>
      </c>
      <c r="E35" t="b">
        <v>0</v>
      </c>
      <c r="F35" t="s">
        <v>266</v>
      </c>
      <c r="G35" t="s">
        <v>198</v>
      </c>
      <c r="I35">
        <v>0.9</v>
      </c>
    </row>
    <row r="36" spans="1:9" x14ac:dyDescent="0.35">
      <c r="A36" t="s">
        <v>267</v>
      </c>
      <c r="B36">
        <v>2019</v>
      </c>
      <c r="C36" t="s">
        <v>268</v>
      </c>
      <c r="D36" t="s">
        <v>269</v>
      </c>
      <c r="E36" t="b">
        <v>0</v>
      </c>
      <c r="F36" t="s">
        <v>270</v>
      </c>
      <c r="G36" t="s">
        <v>198</v>
      </c>
      <c r="I36">
        <v>0.9</v>
      </c>
    </row>
    <row r="37" spans="1:9" ht="409.5" x14ac:dyDescent="0.35">
      <c r="A37" t="s">
        <v>271</v>
      </c>
      <c r="B37">
        <v>2019</v>
      </c>
      <c r="C37" t="s">
        <v>272</v>
      </c>
      <c r="D37" s="1" t="s">
        <v>273</v>
      </c>
      <c r="E37" t="b">
        <v>1</v>
      </c>
      <c r="F37" t="s">
        <v>274</v>
      </c>
      <c r="G37" t="s">
        <v>207</v>
      </c>
      <c r="H37" t="s">
        <v>207</v>
      </c>
      <c r="I37">
        <v>0.95</v>
      </c>
    </row>
    <row r="38" spans="1:9" x14ac:dyDescent="0.35">
      <c r="A38" t="s">
        <v>275</v>
      </c>
      <c r="B38">
        <v>2019</v>
      </c>
      <c r="C38" t="s">
        <v>276</v>
      </c>
      <c r="D38" t="s">
        <v>277</v>
      </c>
      <c r="E38" t="b">
        <v>1</v>
      </c>
      <c r="F38" t="s">
        <v>278</v>
      </c>
      <c r="G38" t="s">
        <v>200</v>
      </c>
      <c r="H38" t="s">
        <v>200</v>
      </c>
      <c r="I38">
        <v>0.9</v>
      </c>
    </row>
    <row r="39" spans="1:9" x14ac:dyDescent="0.35">
      <c r="A39" t="s">
        <v>279</v>
      </c>
      <c r="B39">
        <v>2019</v>
      </c>
      <c r="C39" t="s">
        <v>280</v>
      </c>
      <c r="D39" t="s">
        <v>281</v>
      </c>
      <c r="E39" t="b">
        <v>1</v>
      </c>
      <c r="F39" t="s">
        <v>278</v>
      </c>
      <c r="G39" t="s">
        <v>200</v>
      </c>
      <c r="H39" t="s">
        <v>200</v>
      </c>
      <c r="I39">
        <v>0.9</v>
      </c>
    </row>
    <row r="40" spans="1:9" x14ac:dyDescent="0.35">
      <c r="A40" t="s">
        <v>282</v>
      </c>
      <c r="B40">
        <v>2019</v>
      </c>
      <c r="C40" t="s">
        <v>283</v>
      </c>
      <c r="D40" t="s">
        <v>284</v>
      </c>
      <c r="E40" t="b">
        <v>1</v>
      </c>
      <c r="F40" t="s">
        <v>285</v>
      </c>
      <c r="G40" t="s">
        <v>207</v>
      </c>
      <c r="H40" t="s">
        <v>286</v>
      </c>
      <c r="I40">
        <v>0.9</v>
      </c>
    </row>
    <row r="41" spans="1:9" x14ac:dyDescent="0.35">
      <c r="A41" t="s">
        <v>287</v>
      </c>
      <c r="B41">
        <v>2019</v>
      </c>
      <c r="C41" t="s">
        <v>288</v>
      </c>
      <c r="D41" t="s">
        <v>289</v>
      </c>
      <c r="E41" t="b">
        <v>0</v>
      </c>
      <c r="F41" t="s">
        <v>199</v>
      </c>
      <c r="G41" t="s">
        <v>198</v>
      </c>
      <c r="I41">
        <v>0.9</v>
      </c>
    </row>
    <row r="42" spans="1:9" x14ac:dyDescent="0.35">
      <c r="A42" t="s">
        <v>290</v>
      </c>
      <c r="B42">
        <v>2019</v>
      </c>
      <c r="C42" t="s">
        <v>291</v>
      </c>
      <c r="D42" t="s">
        <v>292</v>
      </c>
      <c r="E42" t="b">
        <v>0</v>
      </c>
      <c r="F42" t="s">
        <v>293</v>
      </c>
      <c r="G42" t="s">
        <v>198</v>
      </c>
      <c r="I42">
        <v>0.9</v>
      </c>
    </row>
    <row r="43" spans="1:9" x14ac:dyDescent="0.35">
      <c r="A43" t="s">
        <v>294</v>
      </c>
      <c r="B43">
        <v>2019</v>
      </c>
      <c r="C43" t="s">
        <v>295</v>
      </c>
      <c r="D43" t="s">
        <v>296</v>
      </c>
      <c r="E43" t="b">
        <v>0</v>
      </c>
      <c r="F43" t="s">
        <v>297</v>
      </c>
      <c r="G43" t="s">
        <v>198</v>
      </c>
      <c r="I43">
        <v>0.9</v>
      </c>
    </row>
    <row r="44" spans="1:9" x14ac:dyDescent="0.35">
      <c r="A44" t="s">
        <v>298</v>
      </c>
      <c r="B44">
        <v>2019</v>
      </c>
      <c r="C44" t="s">
        <v>299</v>
      </c>
      <c r="D44" t="s">
        <v>300</v>
      </c>
      <c r="E44" t="b">
        <v>0</v>
      </c>
      <c r="F44" t="s">
        <v>301</v>
      </c>
      <c r="G44" t="s">
        <v>198</v>
      </c>
      <c r="I44">
        <v>0.9</v>
      </c>
    </row>
    <row r="45" spans="1:9" x14ac:dyDescent="0.35">
      <c r="A45" t="s">
        <v>302</v>
      </c>
      <c r="B45">
        <v>2019</v>
      </c>
      <c r="C45" t="s">
        <v>303</v>
      </c>
      <c r="D45" t="s">
        <v>304</v>
      </c>
      <c r="E45" t="b">
        <v>1</v>
      </c>
      <c r="F45" t="s">
        <v>305</v>
      </c>
      <c r="G45" t="s">
        <v>200</v>
      </c>
      <c r="H45" t="s">
        <v>200</v>
      </c>
      <c r="I45">
        <v>0.9</v>
      </c>
    </row>
    <row r="46" spans="1:9" x14ac:dyDescent="0.35">
      <c r="A46" t="s">
        <v>306</v>
      </c>
      <c r="B46">
        <v>2019</v>
      </c>
      <c r="C46" t="s">
        <v>307</v>
      </c>
      <c r="D46" t="s">
        <v>308</v>
      </c>
      <c r="E46" t="b">
        <v>0</v>
      </c>
      <c r="F46" t="s">
        <v>309</v>
      </c>
      <c r="G46" t="s">
        <v>198</v>
      </c>
      <c r="I46">
        <v>0.95</v>
      </c>
    </row>
    <row r="47" spans="1:9" x14ac:dyDescent="0.35">
      <c r="A47" t="s">
        <v>310</v>
      </c>
      <c r="B47">
        <v>2021</v>
      </c>
      <c r="C47" t="s">
        <v>311</v>
      </c>
      <c r="D47" t="s">
        <v>312</v>
      </c>
      <c r="E47" t="b">
        <v>0</v>
      </c>
      <c r="F47" t="s">
        <v>313</v>
      </c>
      <c r="G47" t="s">
        <v>198</v>
      </c>
      <c r="I47">
        <v>0.9</v>
      </c>
    </row>
    <row r="48" spans="1:9" x14ac:dyDescent="0.35">
      <c r="A48" t="s">
        <v>314</v>
      </c>
      <c r="B48">
        <v>2021</v>
      </c>
      <c r="C48" t="s">
        <v>315</v>
      </c>
      <c r="D48" t="s">
        <v>316</v>
      </c>
      <c r="E48" t="b">
        <v>1</v>
      </c>
      <c r="F48" t="s">
        <v>317</v>
      </c>
      <c r="G48" t="s">
        <v>208</v>
      </c>
      <c r="H48" t="s">
        <v>318</v>
      </c>
      <c r="I48">
        <v>0.9</v>
      </c>
    </row>
    <row r="49" spans="1:9" x14ac:dyDescent="0.35">
      <c r="A49" t="s">
        <v>319</v>
      </c>
      <c r="B49">
        <v>2021</v>
      </c>
      <c r="C49" t="s">
        <v>320</v>
      </c>
      <c r="D49" t="s">
        <v>321</v>
      </c>
      <c r="E49" t="b">
        <v>0</v>
      </c>
      <c r="F49" t="s">
        <v>322</v>
      </c>
      <c r="G49" t="s">
        <v>198</v>
      </c>
      <c r="I49">
        <v>0.95</v>
      </c>
    </row>
    <row r="50" spans="1:9" x14ac:dyDescent="0.35">
      <c r="A50" t="s">
        <v>323</v>
      </c>
      <c r="B50">
        <v>2021</v>
      </c>
      <c r="C50" t="s">
        <v>324</v>
      </c>
      <c r="D50" t="s">
        <v>325</v>
      </c>
      <c r="E50" t="b">
        <v>0</v>
      </c>
      <c r="F50" t="s">
        <v>326</v>
      </c>
      <c r="G50" t="s">
        <v>198</v>
      </c>
      <c r="I50">
        <v>0.9</v>
      </c>
    </row>
    <row r="51" spans="1:9" x14ac:dyDescent="0.35">
      <c r="A51" t="s">
        <v>327</v>
      </c>
      <c r="B51">
        <v>2021</v>
      </c>
      <c r="C51" t="s">
        <v>328</v>
      </c>
      <c r="D51" t="s">
        <v>329</v>
      </c>
      <c r="E51" t="b">
        <v>0</v>
      </c>
      <c r="F51" t="s">
        <v>330</v>
      </c>
      <c r="G51" t="s">
        <v>198</v>
      </c>
      <c r="I51">
        <v>0.9</v>
      </c>
    </row>
    <row r="52" spans="1:9" x14ac:dyDescent="0.35">
      <c r="A52" t="s">
        <v>331</v>
      </c>
      <c r="B52">
        <v>2021</v>
      </c>
      <c r="C52" t="s">
        <v>332</v>
      </c>
      <c r="D52" t="s">
        <v>333</v>
      </c>
      <c r="E52" t="b">
        <v>1</v>
      </c>
      <c r="F52" t="s">
        <v>334</v>
      </c>
      <c r="G52" t="s">
        <v>207</v>
      </c>
      <c r="H52" t="s">
        <v>207</v>
      </c>
      <c r="I52">
        <v>0.9</v>
      </c>
    </row>
    <row r="53" spans="1:9" x14ac:dyDescent="0.35">
      <c r="A53" t="s">
        <v>335</v>
      </c>
      <c r="B53">
        <v>2021</v>
      </c>
      <c r="C53" t="s">
        <v>336</v>
      </c>
      <c r="D53" t="s">
        <v>337</v>
      </c>
      <c r="E53" t="b">
        <v>0</v>
      </c>
      <c r="F53" t="s">
        <v>338</v>
      </c>
      <c r="G53" t="s">
        <v>198</v>
      </c>
      <c r="I53">
        <v>0.9</v>
      </c>
    </row>
    <row r="54" spans="1:9" x14ac:dyDescent="0.35">
      <c r="A54" t="s">
        <v>339</v>
      </c>
      <c r="B54">
        <v>2021</v>
      </c>
      <c r="C54" t="s">
        <v>340</v>
      </c>
      <c r="D54" t="s">
        <v>341</v>
      </c>
      <c r="E54" t="b">
        <v>0</v>
      </c>
      <c r="F54" t="s">
        <v>297</v>
      </c>
      <c r="G54" t="s">
        <v>198</v>
      </c>
      <c r="I54">
        <v>0.9</v>
      </c>
    </row>
    <row r="55" spans="1:9" x14ac:dyDescent="0.35">
      <c r="A55" t="s">
        <v>342</v>
      </c>
      <c r="B55">
        <v>2021</v>
      </c>
      <c r="C55" t="s">
        <v>343</v>
      </c>
      <c r="D55" t="s">
        <v>344</v>
      </c>
      <c r="E55" t="b">
        <v>0</v>
      </c>
      <c r="F55" t="s">
        <v>345</v>
      </c>
      <c r="G55" t="s">
        <v>198</v>
      </c>
      <c r="I55">
        <v>0.9</v>
      </c>
    </row>
    <row r="56" spans="1:9" ht="409.5" x14ac:dyDescent="0.35">
      <c r="A56" t="s">
        <v>346</v>
      </c>
      <c r="B56">
        <v>2021</v>
      </c>
      <c r="C56" t="s">
        <v>347</v>
      </c>
      <c r="D56" s="1" t="s">
        <v>348</v>
      </c>
      <c r="E56" t="b">
        <v>1</v>
      </c>
      <c r="F56" t="s">
        <v>349</v>
      </c>
      <c r="G56" t="s">
        <v>207</v>
      </c>
      <c r="H56" t="s">
        <v>207</v>
      </c>
      <c r="I56">
        <v>0.9</v>
      </c>
    </row>
    <row r="57" spans="1:9" x14ac:dyDescent="0.35">
      <c r="A57" t="s">
        <v>350</v>
      </c>
      <c r="B57">
        <v>2021</v>
      </c>
      <c r="C57" t="s">
        <v>351</v>
      </c>
      <c r="D57" t="s">
        <v>352</v>
      </c>
      <c r="E57" t="b">
        <v>0</v>
      </c>
      <c r="F57" t="s">
        <v>199</v>
      </c>
      <c r="G57" t="s">
        <v>198</v>
      </c>
      <c r="I57">
        <v>0.9</v>
      </c>
    </row>
    <row r="58" spans="1:9" x14ac:dyDescent="0.35">
      <c r="A58" t="s">
        <v>353</v>
      </c>
      <c r="B58">
        <v>2021</v>
      </c>
      <c r="C58" t="s">
        <v>354</v>
      </c>
      <c r="D58" t="s">
        <v>355</v>
      </c>
      <c r="E58" t="b">
        <v>0</v>
      </c>
      <c r="F58" t="s">
        <v>356</v>
      </c>
      <c r="G58" t="s">
        <v>198</v>
      </c>
      <c r="I58">
        <v>0.95</v>
      </c>
    </row>
    <row r="59" spans="1:9" x14ac:dyDescent="0.35">
      <c r="A59" t="s">
        <v>357</v>
      </c>
      <c r="B59">
        <v>2021</v>
      </c>
      <c r="C59" t="s">
        <v>358</v>
      </c>
      <c r="D59" t="s">
        <v>359</v>
      </c>
      <c r="E59" t="b">
        <v>0</v>
      </c>
      <c r="F59" t="s">
        <v>360</v>
      </c>
      <c r="G59" t="s">
        <v>198</v>
      </c>
      <c r="I59">
        <v>0.9</v>
      </c>
    </row>
    <row r="60" spans="1:9" x14ac:dyDescent="0.35">
      <c r="A60" t="s">
        <v>361</v>
      </c>
      <c r="B60">
        <v>2021</v>
      </c>
      <c r="C60" t="s">
        <v>362</v>
      </c>
      <c r="D60" t="s">
        <v>363</v>
      </c>
      <c r="E60" t="b">
        <v>0</v>
      </c>
      <c r="F60" t="s">
        <v>364</v>
      </c>
      <c r="G60" t="s">
        <v>198</v>
      </c>
      <c r="I60">
        <v>0.9</v>
      </c>
    </row>
    <row r="61" spans="1:9" x14ac:dyDescent="0.35">
      <c r="A61" t="s">
        <v>365</v>
      </c>
      <c r="B61">
        <v>2021</v>
      </c>
      <c r="C61" t="s">
        <v>366</v>
      </c>
      <c r="D61" t="s">
        <v>367</v>
      </c>
      <c r="E61" t="b">
        <v>1</v>
      </c>
      <c r="F61" t="s">
        <v>368</v>
      </c>
      <c r="G61" t="s">
        <v>200</v>
      </c>
      <c r="H61" t="s">
        <v>200</v>
      </c>
      <c r="I61">
        <v>0.9</v>
      </c>
    </row>
    <row r="62" spans="1:9" x14ac:dyDescent="0.35">
      <c r="A62" t="s">
        <v>369</v>
      </c>
      <c r="B62">
        <v>2021</v>
      </c>
      <c r="C62" t="s">
        <v>370</v>
      </c>
      <c r="D62" t="s">
        <v>371</v>
      </c>
      <c r="E62" t="b">
        <v>0</v>
      </c>
      <c r="F62" t="s">
        <v>199</v>
      </c>
      <c r="G62" t="s">
        <v>198</v>
      </c>
      <c r="I62">
        <v>0.9</v>
      </c>
    </row>
    <row r="63" spans="1:9" x14ac:dyDescent="0.35">
      <c r="A63" t="s">
        <v>372</v>
      </c>
      <c r="B63">
        <v>2021</v>
      </c>
      <c r="C63" t="s">
        <v>373</v>
      </c>
      <c r="D63" t="s">
        <v>374</v>
      </c>
      <c r="E63" t="b">
        <v>0</v>
      </c>
      <c r="F63" t="s">
        <v>375</v>
      </c>
      <c r="G63" t="s">
        <v>198</v>
      </c>
      <c r="I63">
        <v>0.95</v>
      </c>
    </row>
    <row r="64" spans="1:9" x14ac:dyDescent="0.35">
      <c r="A64" t="s">
        <v>376</v>
      </c>
      <c r="B64">
        <v>2021</v>
      </c>
      <c r="C64" t="s">
        <v>377</v>
      </c>
      <c r="D64" t="s">
        <v>378</v>
      </c>
      <c r="E64" t="b">
        <v>1</v>
      </c>
      <c r="F64" t="s">
        <v>379</v>
      </c>
      <c r="G64" t="s">
        <v>207</v>
      </c>
      <c r="H64" t="s">
        <v>207</v>
      </c>
      <c r="I64">
        <v>0.9</v>
      </c>
    </row>
    <row r="65" spans="1:9" ht="409.5" x14ac:dyDescent="0.35">
      <c r="A65" t="s">
        <v>380</v>
      </c>
      <c r="B65">
        <v>2021</v>
      </c>
      <c r="C65" t="s">
        <v>381</v>
      </c>
      <c r="D65" s="1" t="s">
        <v>382</v>
      </c>
      <c r="E65" t="b">
        <v>0</v>
      </c>
      <c r="F65" t="s">
        <v>383</v>
      </c>
      <c r="G65" t="s">
        <v>198</v>
      </c>
      <c r="I65">
        <v>0.9</v>
      </c>
    </row>
    <row r="66" spans="1:9" x14ac:dyDescent="0.35">
      <c r="A66" t="s">
        <v>384</v>
      </c>
      <c r="B66">
        <v>2021</v>
      </c>
      <c r="C66" t="s">
        <v>385</v>
      </c>
      <c r="D66" t="s">
        <v>386</v>
      </c>
      <c r="E66" t="b">
        <v>0</v>
      </c>
      <c r="F66" t="s">
        <v>387</v>
      </c>
      <c r="G66" t="s">
        <v>198</v>
      </c>
      <c r="I66">
        <v>0.9</v>
      </c>
    </row>
    <row r="67" spans="1:9" x14ac:dyDescent="0.35">
      <c r="A67" t="s">
        <v>388</v>
      </c>
      <c r="B67">
        <v>2021</v>
      </c>
      <c r="C67" t="s">
        <v>389</v>
      </c>
      <c r="D67" t="s">
        <v>390</v>
      </c>
      <c r="E67" t="b">
        <v>0</v>
      </c>
      <c r="F67" t="s">
        <v>391</v>
      </c>
      <c r="G67" t="s">
        <v>198</v>
      </c>
      <c r="I67">
        <v>0.9</v>
      </c>
    </row>
    <row r="68" spans="1:9" x14ac:dyDescent="0.35">
      <c r="A68" t="s">
        <v>392</v>
      </c>
      <c r="B68">
        <v>2021</v>
      </c>
      <c r="C68" t="s">
        <v>393</v>
      </c>
      <c r="D68" t="s">
        <v>394</v>
      </c>
      <c r="E68" t="b">
        <v>0</v>
      </c>
      <c r="F68" t="s">
        <v>395</v>
      </c>
      <c r="G68" t="s">
        <v>198</v>
      </c>
      <c r="I68">
        <v>1</v>
      </c>
    </row>
    <row r="69" spans="1:9" x14ac:dyDescent="0.35">
      <c r="A69" t="s">
        <v>396</v>
      </c>
      <c r="B69">
        <v>2021</v>
      </c>
      <c r="C69" t="s">
        <v>397</v>
      </c>
      <c r="D69" t="s">
        <v>398</v>
      </c>
      <c r="E69" t="b">
        <v>0</v>
      </c>
      <c r="F69" t="s">
        <v>399</v>
      </c>
      <c r="G69" t="s">
        <v>198</v>
      </c>
      <c r="I69">
        <v>0.9</v>
      </c>
    </row>
    <row r="70" spans="1:9" x14ac:dyDescent="0.35">
      <c r="A70" t="s">
        <v>400</v>
      </c>
      <c r="B70">
        <v>2021</v>
      </c>
      <c r="C70" t="s">
        <v>401</v>
      </c>
      <c r="D70" t="s">
        <v>402</v>
      </c>
      <c r="E70" t="b">
        <v>0</v>
      </c>
      <c r="F70" t="s">
        <v>403</v>
      </c>
      <c r="G70" t="s">
        <v>198</v>
      </c>
      <c r="I70">
        <v>0.9</v>
      </c>
    </row>
    <row r="71" spans="1:9" x14ac:dyDescent="0.35">
      <c r="A71" t="s">
        <v>404</v>
      </c>
      <c r="B71">
        <v>2021</v>
      </c>
      <c r="C71" t="s">
        <v>405</v>
      </c>
      <c r="D71" t="s">
        <v>406</v>
      </c>
      <c r="E71" t="b">
        <v>0</v>
      </c>
      <c r="F71" t="s">
        <v>407</v>
      </c>
      <c r="G71" t="s">
        <v>198</v>
      </c>
      <c r="I71">
        <v>0.9</v>
      </c>
    </row>
    <row r="72" spans="1:9" x14ac:dyDescent="0.35">
      <c r="A72" t="s">
        <v>408</v>
      </c>
      <c r="B72">
        <v>2021</v>
      </c>
      <c r="C72" t="s">
        <v>409</v>
      </c>
      <c r="D72" t="s">
        <v>410</v>
      </c>
      <c r="E72" t="b">
        <v>0</v>
      </c>
      <c r="F72" t="s">
        <v>411</v>
      </c>
      <c r="G72" t="s">
        <v>198</v>
      </c>
      <c r="I72">
        <v>0.9</v>
      </c>
    </row>
    <row r="73" spans="1:9" x14ac:dyDescent="0.35">
      <c r="A73" t="s">
        <v>412</v>
      </c>
      <c r="B73">
        <v>2021</v>
      </c>
      <c r="C73" t="s">
        <v>413</v>
      </c>
      <c r="D73" t="s">
        <v>414</v>
      </c>
      <c r="E73" t="b">
        <v>1</v>
      </c>
      <c r="F73" t="s">
        <v>415</v>
      </c>
      <c r="G73" t="s">
        <v>208</v>
      </c>
      <c r="H73" t="s">
        <v>208</v>
      </c>
      <c r="I73">
        <v>0.9</v>
      </c>
    </row>
    <row r="74" spans="1:9" x14ac:dyDescent="0.35">
      <c r="A74" t="s">
        <v>416</v>
      </c>
      <c r="B74">
        <v>2021</v>
      </c>
      <c r="C74" t="s">
        <v>417</v>
      </c>
      <c r="D74" t="s">
        <v>418</v>
      </c>
      <c r="E74" t="b">
        <v>0</v>
      </c>
      <c r="F74" t="s">
        <v>199</v>
      </c>
      <c r="G74" t="s">
        <v>198</v>
      </c>
      <c r="I74">
        <v>0.9</v>
      </c>
    </row>
    <row r="75" spans="1:9" x14ac:dyDescent="0.35">
      <c r="A75" t="s">
        <v>419</v>
      </c>
      <c r="B75">
        <v>2021</v>
      </c>
      <c r="C75" t="s">
        <v>420</v>
      </c>
      <c r="D75" t="s">
        <v>421</v>
      </c>
      <c r="E75" t="b">
        <v>0</v>
      </c>
      <c r="F75" t="s">
        <v>309</v>
      </c>
      <c r="G75" t="s">
        <v>198</v>
      </c>
      <c r="I75">
        <v>0.9</v>
      </c>
    </row>
    <row r="76" spans="1:9" x14ac:dyDescent="0.35">
      <c r="A76" t="s">
        <v>422</v>
      </c>
      <c r="B76">
        <v>2021</v>
      </c>
      <c r="C76" t="s">
        <v>423</v>
      </c>
      <c r="D76" t="s">
        <v>424</v>
      </c>
      <c r="E76" t="b">
        <v>0</v>
      </c>
      <c r="F76" t="s">
        <v>199</v>
      </c>
      <c r="G76" t="s">
        <v>198</v>
      </c>
      <c r="I76">
        <v>0.95</v>
      </c>
    </row>
    <row r="77" spans="1:9" ht="409.5" x14ac:dyDescent="0.35">
      <c r="A77" t="s">
        <v>425</v>
      </c>
      <c r="B77">
        <v>2021</v>
      </c>
      <c r="C77" t="s">
        <v>426</v>
      </c>
      <c r="D77" s="1" t="s">
        <v>427</v>
      </c>
      <c r="E77" t="b">
        <v>0</v>
      </c>
      <c r="F77" t="s">
        <v>199</v>
      </c>
      <c r="G77" t="s">
        <v>198</v>
      </c>
      <c r="I77">
        <v>1</v>
      </c>
    </row>
    <row r="78" spans="1:9" x14ac:dyDescent="0.35">
      <c r="A78" t="s">
        <v>428</v>
      </c>
      <c r="B78">
        <v>2021</v>
      </c>
      <c r="C78" t="s">
        <v>429</v>
      </c>
      <c r="D78" t="s">
        <v>430</v>
      </c>
      <c r="E78" t="b">
        <v>0</v>
      </c>
      <c r="F78" t="s">
        <v>431</v>
      </c>
      <c r="G78" t="s">
        <v>198</v>
      </c>
      <c r="I78">
        <v>0.9</v>
      </c>
    </row>
    <row r="79" spans="1:9" x14ac:dyDescent="0.35">
      <c r="A79" t="s">
        <v>432</v>
      </c>
      <c r="B79">
        <v>2021</v>
      </c>
      <c r="C79" t="s">
        <v>433</v>
      </c>
      <c r="D79" t="s">
        <v>434</v>
      </c>
      <c r="E79" t="b">
        <v>1</v>
      </c>
      <c r="F79" t="s">
        <v>435</v>
      </c>
      <c r="G79" t="s">
        <v>208</v>
      </c>
      <c r="H79" t="s">
        <v>208</v>
      </c>
      <c r="I79">
        <v>0.95</v>
      </c>
    </row>
    <row r="80" spans="1:9" x14ac:dyDescent="0.35">
      <c r="A80" t="s">
        <v>436</v>
      </c>
      <c r="B80">
        <v>2021</v>
      </c>
      <c r="C80" t="s">
        <v>437</v>
      </c>
      <c r="D80" t="s">
        <v>438</v>
      </c>
      <c r="E80" t="b">
        <v>1</v>
      </c>
      <c r="F80" t="s">
        <v>439</v>
      </c>
      <c r="G80" t="s">
        <v>208</v>
      </c>
      <c r="H80" t="s">
        <v>208</v>
      </c>
      <c r="I80">
        <v>0.9</v>
      </c>
    </row>
    <row r="81" spans="1:9" ht="409.5" x14ac:dyDescent="0.35">
      <c r="A81" t="s">
        <v>440</v>
      </c>
      <c r="B81">
        <v>2021</v>
      </c>
      <c r="C81" t="s">
        <v>441</v>
      </c>
      <c r="D81" s="1" t="s">
        <v>442</v>
      </c>
      <c r="E81" t="b">
        <v>0</v>
      </c>
      <c r="F81" t="s">
        <v>443</v>
      </c>
      <c r="G81" t="s">
        <v>198</v>
      </c>
      <c r="I81">
        <v>1</v>
      </c>
    </row>
    <row r="82" spans="1:9" x14ac:dyDescent="0.35">
      <c r="A82" t="s">
        <v>444</v>
      </c>
      <c r="B82">
        <v>2021</v>
      </c>
      <c r="C82" t="s">
        <v>445</v>
      </c>
      <c r="D82" t="s">
        <v>446</v>
      </c>
      <c r="E82" t="b">
        <v>1</v>
      </c>
      <c r="F82" t="s">
        <v>447</v>
      </c>
      <c r="G82" t="s">
        <v>200</v>
      </c>
      <c r="H82" t="s">
        <v>200</v>
      </c>
      <c r="I82">
        <v>0.9</v>
      </c>
    </row>
    <row r="83" spans="1:9" x14ac:dyDescent="0.35">
      <c r="A83" t="s">
        <v>448</v>
      </c>
      <c r="B83">
        <v>2021</v>
      </c>
      <c r="C83" t="s">
        <v>449</v>
      </c>
      <c r="D83" t="s">
        <v>450</v>
      </c>
      <c r="E83" t="b">
        <v>0</v>
      </c>
      <c r="F83" t="s">
        <v>451</v>
      </c>
      <c r="G83" t="s">
        <v>198</v>
      </c>
      <c r="I83">
        <v>0.9</v>
      </c>
    </row>
    <row r="84" spans="1:9" x14ac:dyDescent="0.35">
      <c r="A84" t="s">
        <v>452</v>
      </c>
      <c r="B84">
        <v>2021</v>
      </c>
      <c r="C84" t="s">
        <v>453</v>
      </c>
      <c r="D84" t="s">
        <v>454</v>
      </c>
      <c r="E84" t="b">
        <v>0</v>
      </c>
      <c r="F84" t="s">
        <v>455</v>
      </c>
      <c r="G84" t="s">
        <v>198</v>
      </c>
      <c r="I84">
        <v>0.95</v>
      </c>
    </row>
    <row r="85" spans="1:9" x14ac:dyDescent="0.35">
      <c r="A85" t="s">
        <v>456</v>
      </c>
      <c r="B85">
        <v>2021</v>
      </c>
      <c r="C85" t="s">
        <v>457</v>
      </c>
      <c r="D85" t="s">
        <v>458</v>
      </c>
      <c r="E85" t="b">
        <v>1</v>
      </c>
      <c r="F85" t="s">
        <v>459</v>
      </c>
      <c r="G85" t="s">
        <v>207</v>
      </c>
      <c r="H85" t="s">
        <v>207</v>
      </c>
      <c r="I85">
        <v>0.9</v>
      </c>
    </row>
    <row r="86" spans="1:9" x14ac:dyDescent="0.35">
      <c r="A86" t="s">
        <v>460</v>
      </c>
      <c r="B86">
        <v>2021</v>
      </c>
      <c r="C86" t="s">
        <v>461</v>
      </c>
      <c r="D86" t="s">
        <v>462</v>
      </c>
      <c r="E86" t="b">
        <v>1</v>
      </c>
      <c r="F86" t="s">
        <v>463</v>
      </c>
      <c r="G86" t="s">
        <v>200</v>
      </c>
      <c r="H86" t="s">
        <v>200</v>
      </c>
      <c r="I86">
        <v>0.9</v>
      </c>
    </row>
    <row r="87" spans="1:9" ht="409.5" x14ac:dyDescent="0.35">
      <c r="A87" t="s">
        <v>464</v>
      </c>
      <c r="B87">
        <v>2025</v>
      </c>
      <c r="C87" t="s">
        <v>465</v>
      </c>
      <c r="D87" s="1" t="s">
        <v>466</v>
      </c>
      <c r="E87" t="b">
        <v>0</v>
      </c>
      <c r="F87" t="s">
        <v>467</v>
      </c>
      <c r="G87" t="s">
        <v>198</v>
      </c>
      <c r="I87">
        <v>0.9</v>
      </c>
    </row>
    <row r="88" spans="1:9" x14ac:dyDescent="0.35">
      <c r="A88" t="s">
        <v>468</v>
      </c>
      <c r="B88">
        <v>2025</v>
      </c>
      <c r="C88" t="s">
        <v>465</v>
      </c>
      <c r="D88" t="s">
        <v>469</v>
      </c>
      <c r="E88" t="b">
        <v>0</v>
      </c>
      <c r="F88" t="s">
        <v>470</v>
      </c>
      <c r="G88" t="s">
        <v>198</v>
      </c>
      <c r="I88">
        <v>0.95</v>
      </c>
    </row>
    <row r="89" spans="1:9" x14ac:dyDescent="0.35">
      <c r="A89" t="s">
        <v>471</v>
      </c>
      <c r="B89">
        <v>2025</v>
      </c>
      <c r="C89" t="s">
        <v>472</v>
      </c>
      <c r="D89" t="s">
        <v>473</v>
      </c>
      <c r="E89" t="b">
        <v>0</v>
      </c>
      <c r="F89" t="s">
        <v>474</v>
      </c>
      <c r="G89" t="s">
        <v>198</v>
      </c>
      <c r="I89">
        <v>0.9</v>
      </c>
    </row>
    <row r="90" spans="1:9" x14ac:dyDescent="0.35">
      <c r="A90" t="s">
        <v>475</v>
      </c>
      <c r="B90">
        <v>2025</v>
      </c>
      <c r="C90" t="s">
        <v>476</v>
      </c>
      <c r="D90" t="s">
        <v>477</v>
      </c>
      <c r="E90" t="b">
        <v>0</v>
      </c>
      <c r="F90" t="s">
        <v>478</v>
      </c>
      <c r="G90" t="s">
        <v>198</v>
      </c>
      <c r="I90">
        <v>0.9</v>
      </c>
    </row>
    <row r="91" spans="1:9" x14ac:dyDescent="0.35">
      <c r="A91" t="s">
        <v>479</v>
      </c>
      <c r="B91">
        <v>2025</v>
      </c>
      <c r="C91" t="s">
        <v>480</v>
      </c>
      <c r="D91" t="s">
        <v>481</v>
      </c>
      <c r="E91" t="b">
        <v>0</v>
      </c>
      <c r="F91" t="s">
        <v>482</v>
      </c>
      <c r="G91" t="s">
        <v>198</v>
      </c>
      <c r="I91">
        <v>0.9</v>
      </c>
    </row>
    <row r="92" spans="1:9" x14ac:dyDescent="0.35">
      <c r="A92" t="s">
        <v>483</v>
      </c>
      <c r="B92">
        <v>2025</v>
      </c>
      <c r="C92" t="s">
        <v>484</v>
      </c>
      <c r="D92" t="s">
        <v>485</v>
      </c>
      <c r="E92" t="b">
        <v>1</v>
      </c>
      <c r="F92" t="s">
        <v>486</v>
      </c>
      <c r="G92" t="s">
        <v>208</v>
      </c>
      <c r="H92" t="s">
        <v>208</v>
      </c>
      <c r="I92">
        <v>0.9</v>
      </c>
    </row>
    <row r="93" spans="1:9" x14ac:dyDescent="0.35">
      <c r="A93" t="s">
        <v>487</v>
      </c>
      <c r="B93">
        <v>2025</v>
      </c>
      <c r="C93" t="s">
        <v>488</v>
      </c>
      <c r="D93" t="s">
        <v>489</v>
      </c>
      <c r="E93" t="b">
        <v>1</v>
      </c>
      <c r="F93" t="s">
        <v>490</v>
      </c>
      <c r="G93" t="s">
        <v>208</v>
      </c>
      <c r="H93" t="s">
        <v>208</v>
      </c>
      <c r="I93">
        <v>0.9</v>
      </c>
    </row>
    <row r="94" spans="1:9" x14ac:dyDescent="0.35">
      <c r="A94" t="s">
        <v>491</v>
      </c>
      <c r="B94">
        <v>2025</v>
      </c>
      <c r="C94" t="s">
        <v>492</v>
      </c>
      <c r="D94" t="s">
        <v>493</v>
      </c>
      <c r="E94" t="b">
        <v>0</v>
      </c>
      <c r="F94" t="s">
        <v>494</v>
      </c>
      <c r="G94" t="s">
        <v>198</v>
      </c>
      <c r="I94">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6000-B170-40EA-8241-FE1490451DA5}">
  <dimension ref="A1:A94"/>
  <sheetViews>
    <sheetView workbookViewId="0">
      <selection sqref="A1:A1048576"/>
    </sheetView>
  </sheetViews>
  <sheetFormatPr defaultRowHeight="14.5" x14ac:dyDescent="0.35"/>
  <sheetData>
    <row r="1" spans="1:1" x14ac:dyDescent="0.35">
      <c r="A1" t="s">
        <v>0</v>
      </c>
    </row>
    <row r="2" spans="1:1" x14ac:dyDescent="0.35">
      <c r="A2" t="s">
        <v>8</v>
      </c>
    </row>
    <row r="3" spans="1:1" x14ac:dyDescent="0.35">
      <c r="A3" t="s">
        <v>10</v>
      </c>
    </row>
    <row r="4" spans="1:1" x14ac:dyDescent="0.35">
      <c r="A4" t="s">
        <v>12</v>
      </c>
    </row>
    <row r="5" spans="1:1" x14ac:dyDescent="0.35">
      <c r="A5" t="s">
        <v>14</v>
      </c>
    </row>
    <row r="6" spans="1:1" x14ac:dyDescent="0.35">
      <c r="A6" t="s">
        <v>19</v>
      </c>
    </row>
    <row r="7" spans="1:1" x14ac:dyDescent="0.35">
      <c r="A7" t="s">
        <v>21</v>
      </c>
    </row>
    <row r="8" spans="1:1" x14ac:dyDescent="0.35">
      <c r="A8" t="s">
        <v>23</v>
      </c>
    </row>
    <row r="9" spans="1:1" x14ac:dyDescent="0.35">
      <c r="A9" t="s">
        <v>24</v>
      </c>
    </row>
    <row r="10" spans="1:1" x14ac:dyDescent="0.35">
      <c r="A10" t="s">
        <v>27</v>
      </c>
    </row>
    <row r="11" spans="1:1" x14ac:dyDescent="0.35">
      <c r="A11" t="s">
        <v>31</v>
      </c>
    </row>
    <row r="12" spans="1:1" x14ac:dyDescent="0.35">
      <c r="A12" t="s">
        <v>32</v>
      </c>
    </row>
    <row r="13" spans="1:1" x14ac:dyDescent="0.35">
      <c r="A13" t="s">
        <v>42</v>
      </c>
    </row>
    <row r="14" spans="1:1" x14ac:dyDescent="0.35">
      <c r="A14" t="s">
        <v>45</v>
      </c>
    </row>
    <row r="15" spans="1:1" x14ac:dyDescent="0.35">
      <c r="A15" t="s">
        <v>47</v>
      </c>
    </row>
    <row r="16" spans="1:1" x14ac:dyDescent="0.35">
      <c r="A16" t="s">
        <v>49</v>
      </c>
    </row>
    <row r="17" spans="1:1" x14ac:dyDescent="0.35">
      <c r="A17" t="s">
        <v>50</v>
      </c>
    </row>
    <row r="18" spans="1:1" x14ac:dyDescent="0.35">
      <c r="A18" t="s">
        <v>57</v>
      </c>
    </row>
    <row r="19" spans="1:1" x14ac:dyDescent="0.35">
      <c r="A19" t="s">
        <v>60</v>
      </c>
    </row>
    <row r="20" spans="1:1" x14ac:dyDescent="0.35">
      <c r="A20" t="s">
        <v>62</v>
      </c>
    </row>
    <row r="21" spans="1:1" x14ac:dyDescent="0.35">
      <c r="A21" t="s">
        <v>74</v>
      </c>
    </row>
    <row r="22" spans="1:1" x14ac:dyDescent="0.35">
      <c r="A22" t="s">
        <v>76</v>
      </c>
    </row>
    <row r="23" spans="1:1" x14ac:dyDescent="0.35">
      <c r="A23" t="s">
        <v>78</v>
      </c>
    </row>
    <row r="24" spans="1:1" x14ac:dyDescent="0.35">
      <c r="A24" t="s">
        <v>83</v>
      </c>
    </row>
    <row r="25" spans="1:1" x14ac:dyDescent="0.35">
      <c r="A25" t="s">
        <v>85</v>
      </c>
    </row>
    <row r="26" spans="1:1" x14ac:dyDescent="0.35">
      <c r="A26" t="s">
        <v>91</v>
      </c>
    </row>
    <row r="27" spans="1:1" x14ac:dyDescent="0.35">
      <c r="A27" t="s">
        <v>94</v>
      </c>
    </row>
    <row r="28" spans="1:1" x14ac:dyDescent="0.35">
      <c r="A28" t="s">
        <v>99</v>
      </c>
    </row>
    <row r="29" spans="1:1" x14ac:dyDescent="0.35">
      <c r="A29" t="s">
        <v>103</v>
      </c>
    </row>
    <row r="30" spans="1:1" x14ac:dyDescent="0.35">
      <c r="A30" t="s">
        <v>243</v>
      </c>
    </row>
    <row r="31" spans="1:1" x14ac:dyDescent="0.35">
      <c r="A31" t="s">
        <v>247</v>
      </c>
    </row>
    <row r="32" spans="1:1" x14ac:dyDescent="0.35">
      <c r="A32" t="s">
        <v>251</v>
      </c>
    </row>
    <row r="33" spans="1:1" x14ac:dyDescent="0.35">
      <c r="A33" t="s">
        <v>255</v>
      </c>
    </row>
    <row r="34" spans="1:1" x14ac:dyDescent="0.35">
      <c r="A34" t="s">
        <v>259</v>
      </c>
    </row>
    <row r="35" spans="1:1" x14ac:dyDescent="0.35">
      <c r="A35" t="s">
        <v>263</v>
      </c>
    </row>
    <row r="36" spans="1:1" x14ac:dyDescent="0.35">
      <c r="A36" t="s">
        <v>267</v>
      </c>
    </row>
    <row r="37" spans="1:1" x14ac:dyDescent="0.35">
      <c r="A37" t="s">
        <v>271</v>
      </c>
    </row>
    <row r="38" spans="1:1" x14ac:dyDescent="0.35">
      <c r="A38" t="s">
        <v>275</v>
      </c>
    </row>
    <row r="39" spans="1:1" x14ac:dyDescent="0.35">
      <c r="A39" t="s">
        <v>279</v>
      </c>
    </row>
    <row r="40" spans="1:1" x14ac:dyDescent="0.35">
      <c r="A40" t="s">
        <v>282</v>
      </c>
    </row>
    <row r="41" spans="1:1" x14ac:dyDescent="0.35">
      <c r="A41" t="s">
        <v>287</v>
      </c>
    </row>
    <row r="42" spans="1:1" x14ac:dyDescent="0.35">
      <c r="A42" t="s">
        <v>290</v>
      </c>
    </row>
    <row r="43" spans="1:1" x14ac:dyDescent="0.35">
      <c r="A43" t="s">
        <v>294</v>
      </c>
    </row>
    <row r="44" spans="1:1" x14ac:dyDescent="0.35">
      <c r="A44" t="s">
        <v>298</v>
      </c>
    </row>
    <row r="45" spans="1:1" x14ac:dyDescent="0.35">
      <c r="A45" t="s">
        <v>302</v>
      </c>
    </row>
    <row r="46" spans="1:1" x14ac:dyDescent="0.35">
      <c r="A46" t="s">
        <v>306</v>
      </c>
    </row>
    <row r="47" spans="1:1" x14ac:dyDescent="0.35">
      <c r="A47" t="s">
        <v>310</v>
      </c>
    </row>
    <row r="48" spans="1:1" x14ac:dyDescent="0.35">
      <c r="A48" t="s">
        <v>314</v>
      </c>
    </row>
    <row r="49" spans="1:1" x14ac:dyDescent="0.35">
      <c r="A49" t="s">
        <v>319</v>
      </c>
    </row>
    <row r="50" spans="1:1" x14ac:dyDescent="0.35">
      <c r="A50" t="s">
        <v>323</v>
      </c>
    </row>
    <row r="51" spans="1:1" x14ac:dyDescent="0.35">
      <c r="A51" t="s">
        <v>327</v>
      </c>
    </row>
    <row r="52" spans="1:1" x14ac:dyDescent="0.35">
      <c r="A52" t="s">
        <v>331</v>
      </c>
    </row>
    <row r="53" spans="1:1" x14ac:dyDescent="0.35">
      <c r="A53" t="s">
        <v>335</v>
      </c>
    </row>
    <row r="54" spans="1:1" x14ac:dyDescent="0.35">
      <c r="A54" t="s">
        <v>339</v>
      </c>
    </row>
    <row r="55" spans="1:1" x14ac:dyDescent="0.35">
      <c r="A55" t="s">
        <v>342</v>
      </c>
    </row>
    <row r="56" spans="1:1" x14ac:dyDescent="0.35">
      <c r="A56" t="s">
        <v>346</v>
      </c>
    </row>
    <row r="57" spans="1:1" x14ac:dyDescent="0.35">
      <c r="A57" t="s">
        <v>350</v>
      </c>
    </row>
    <row r="58" spans="1:1" x14ac:dyDescent="0.35">
      <c r="A58" t="s">
        <v>353</v>
      </c>
    </row>
    <row r="59" spans="1:1" x14ac:dyDescent="0.35">
      <c r="A59" t="s">
        <v>357</v>
      </c>
    </row>
    <row r="60" spans="1:1" x14ac:dyDescent="0.35">
      <c r="A60" t="s">
        <v>361</v>
      </c>
    </row>
    <row r="61" spans="1:1" x14ac:dyDescent="0.35">
      <c r="A61" t="s">
        <v>365</v>
      </c>
    </row>
    <row r="62" spans="1:1" x14ac:dyDescent="0.35">
      <c r="A62" t="s">
        <v>369</v>
      </c>
    </row>
    <row r="63" spans="1:1" x14ac:dyDescent="0.35">
      <c r="A63" t="s">
        <v>372</v>
      </c>
    </row>
    <row r="64" spans="1:1" x14ac:dyDescent="0.35">
      <c r="A64" t="s">
        <v>376</v>
      </c>
    </row>
    <row r="65" spans="1:1" x14ac:dyDescent="0.35">
      <c r="A65" t="s">
        <v>380</v>
      </c>
    </row>
    <row r="66" spans="1:1" x14ac:dyDescent="0.35">
      <c r="A66" t="s">
        <v>384</v>
      </c>
    </row>
    <row r="67" spans="1:1" x14ac:dyDescent="0.35">
      <c r="A67" t="s">
        <v>388</v>
      </c>
    </row>
    <row r="68" spans="1:1" x14ac:dyDescent="0.35">
      <c r="A68" t="s">
        <v>392</v>
      </c>
    </row>
    <row r="69" spans="1:1" x14ac:dyDescent="0.35">
      <c r="A69" t="s">
        <v>396</v>
      </c>
    </row>
    <row r="70" spans="1:1" x14ac:dyDescent="0.35">
      <c r="A70" t="s">
        <v>400</v>
      </c>
    </row>
    <row r="71" spans="1:1" x14ac:dyDescent="0.35">
      <c r="A71" t="s">
        <v>404</v>
      </c>
    </row>
    <row r="72" spans="1:1" x14ac:dyDescent="0.35">
      <c r="A72" t="s">
        <v>408</v>
      </c>
    </row>
    <row r="73" spans="1:1" x14ac:dyDescent="0.35">
      <c r="A73" t="s">
        <v>412</v>
      </c>
    </row>
    <row r="74" spans="1:1" x14ac:dyDescent="0.35">
      <c r="A74" t="s">
        <v>416</v>
      </c>
    </row>
    <row r="75" spans="1:1" x14ac:dyDescent="0.35">
      <c r="A75" t="s">
        <v>419</v>
      </c>
    </row>
    <row r="76" spans="1:1" x14ac:dyDescent="0.35">
      <c r="A76" t="s">
        <v>422</v>
      </c>
    </row>
    <row r="77" spans="1:1" x14ac:dyDescent="0.35">
      <c r="A77" t="s">
        <v>425</v>
      </c>
    </row>
    <row r="78" spans="1:1" x14ac:dyDescent="0.35">
      <c r="A78" t="s">
        <v>428</v>
      </c>
    </row>
    <row r="79" spans="1:1" x14ac:dyDescent="0.35">
      <c r="A79" t="s">
        <v>432</v>
      </c>
    </row>
    <row r="80" spans="1:1" x14ac:dyDescent="0.35">
      <c r="A80" t="s">
        <v>436</v>
      </c>
    </row>
    <row r="81" spans="1:1" x14ac:dyDescent="0.35">
      <c r="A81" t="s">
        <v>440</v>
      </c>
    </row>
    <row r="82" spans="1:1" x14ac:dyDescent="0.35">
      <c r="A82" t="s">
        <v>444</v>
      </c>
    </row>
    <row r="83" spans="1:1" x14ac:dyDescent="0.35">
      <c r="A83" t="s">
        <v>448</v>
      </c>
    </row>
    <row r="84" spans="1:1" x14ac:dyDescent="0.35">
      <c r="A84" t="s">
        <v>452</v>
      </c>
    </row>
    <row r="85" spans="1:1" x14ac:dyDescent="0.35">
      <c r="A85" t="s">
        <v>456</v>
      </c>
    </row>
    <row r="86" spans="1:1" x14ac:dyDescent="0.35">
      <c r="A86" t="s">
        <v>460</v>
      </c>
    </row>
    <row r="87" spans="1:1" x14ac:dyDescent="0.35">
      <c r="A87" t="s">
        <v>464</v>
      </c>
    </row>
    <row r="88" spans="1:1" x14ac:dyDescent="0.35">
      <c r="A88" t="s">
        <v>468</v>
      </c>
    </row>
    <row r="89" spans="1:1" x14ac:dyDescent="0.35">
      <c r="A89" t="s">
        <v>471</v>
      </c>
    </row>
    <row r="90" spans="1:1" x14ac:dyDescent="0.35">
      <c r="A90" t="s">
        <v>475</v>
      </c>
    </row>
    <row r="91" spans="1:1" x14ac:dyDescent="0.35">
      <c r="A91" t="s">
        <v>479</v>
      </c>
    </row>
    <row r="92" spans="1:1" x14ac:dyDescent="0.35">
      <c r="A92" t="s">
        <v>483</v>
      </c>
    </row>
    <row r="93" spans="1:1" x14ac:dyDescent="0.35">
      <c r="A93" t="s">
        <v>487</v>
      </c>
    </row>
    <row r="94" spans="1:1" x14ac:dyDescent="0.35">
      <c r="A94" t="s">
        <v>491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sheetPr filterMode="1"/>
  <dimension ref="A1:H201"/>
  <sheetViews>
    <sheetView topLeftCell="A184" workbookViewId="0">
      <selection activeCell="E1" sqref="E1:G201"/>
    </sheetView>
  </sheetViews>
  <sheetFormatPr defaultRowHeight="14.5" x14ac:dyDescent="0.35"/>
  <cols>
    <col min="2" max="2" width="10.81640625" customWidth="1"/>
    <col min="3" max="3" width="13.54296875" customWidth="1"/>
    <col min="4" max="4" width="13.26953125" customWidth="1"/>
  </cols>
  <sheetData>
    <row r="1" spans="1:8" ht="15" thickBot="1" x14ac:dyDescent="0.4">
      <c r="A1" s="4" t="s">
        <v>108</v>
      </c>
      <c r="B1" s="4" t="s">
        <v>1</v>
      </c>
      <c r="C1" s="4" t="s">
        <v>2</v>
      </c>
      <c r="D1" s="5" t="s">
        <v>3</v>
      </c>
      <c r="E1" s="9" t="s">
        <v>109</v>
      </c>
      <c r="F1" s="10" t="s">
        <v>110</v>
      </c>
      <c r="G1" t="s">
        <v>213</v>
      </c>
      <c r="H1" t="s">
        <v>174</v>
      </c>
    </row>
    <row r="2" spans="1:8" hidden="1" x14ac:dyDescent="0.35">
      <c r="A2" t="s">
        <v>4</v>
      </c>
      <c r="B2">
        <v>2019</v>
      </c>
      <c r="C2" t="s">
        <v>5</v>
      </c>
      <c r="D2" t="s">
        <v>111</v>
      </c>
      <c r="E2" t="s">
        <v>112</v>
      </c>
      <c r="F2" t="s">
        <v>200</v>
      </c>
      <c r="G2" t="b">
        <f>IF(E2="Include", TRUE, FALSE)</f>
        <v>1</v>
      </c>
      <c r="H2" t="e">
        <f>VLOOKUP(A2,ID_Lookup!A:A,1,FALSE)</f>
        <v>#N/A</v>
      </c>
    </row>
    <row r="3" spans="1:8" hidden="1" x14ac:dyDescent="0.35">
      <c r="A3" t="s">
        <v>6</v>
      </c>
      <c r="B3">
        <v>2019</v>
      </c>
      <c r="C3" t="s">
        <v>7</v>
      </c>
      <c r="D3" t="s">
        <v>113</v>
      </c>
      <c r="E3" t="s">
        <v>173</v>
      </c>
      <c r="F3" t="s">
        <v>205</v>
      </c>
      <c r="G3" t="b">
        <f t="shared" ref="G3:G66" si="0">IF(E3="Include", TRUE, FALSE)</f>
        <v>0</v>
      </c>
      <c r="H3" t="e">
        <f>VLOOKUP(A3,ID_Lookup!A:A,1,FALSE)</f>
        <v>#N/A</v>
      </c>
    </row>
    <row r="4" spans="1:8" x14ac:dyDescent="0.35">
      <c r="A4" t="s">
        <v>8</v>
      </c>
      <c r="B4">
        <v>2019</v>
      </c>
      <c r="C4" t="s">
        <v>9</v>
      </c>
      <c r="D4" t="s">
        <v>114</v>
      </c>
      <c r="E4" t="s">
        <v>173</v>
      </c>
      <c r="F4" t="s">
        <v>205</v>
      </c>
      <c r="G4" t="b">
        <f t="shared" si="0"/>
        <v>0</v>
      </c>
      <c r="H4" t="str">
        <f>VLOOKUP(A4,ID_Lookup!A:A,1,FALSE)</f>
        <v>J502</v>
      </c>
    </row>
    <row r="5" spans="1:8" x14ac:dyDescent="0.35">
      <c r="A5" t="s">
        <v>10</v>
      </c>
      <c r="B5">
        <v>2019</v>
      </c>
      <c r="C5" t="s">
        <v>11</v>
      </c>
      <c r="D5" t="s">
        <v>115</v>
      </c>
      <c r="E5" t="s">
        <v>112</v>
      </c>
      <c r="F5" t="s">
        <v>200</v>
      </c>
      <c r="G5" t="b">
        <f t="shared" si="0"/>
        <v>1</v>
      </c>
      <c r="H5" t="str">
        <f>VLOOKUP(A5,ID_Lookup!A:A,1,FALSE)</f>
        <v>J503</v>
      </c>
    </row>
    <row r="6" spans="1:8" x14ac:dyDescent="0.35">
      <c r="A6" t="s">
        <v>12</v>
      </c>
      <c r="B6">
        <v>2019</v>
      </c>
      <c r="C6" t="s">
        <v>13</v>
      </c>
      <c r="D6" t="s">
        <v>116</v>
      </c>
      <c r="E6" t="s">
        <v>112</v>
      </c>
      <c r="F6" t="s">
        <v>206</v>
      </c>
      <c r="G6" t="b">
        <f t="shared" si="0"/>
        <v>1</v>
      </c>
      <c r="H6" t="str">
        <f>VLOOKUP(A6,ID_Lookup!A:A,1,FALSE)</f>
        <v>J504</v>
      </c>
    </row>
    <row r="7" spans="1:8" x14ac:dyDescent="0.35">
      <c r="A7" t="s">
        <v>14</v>
      </c>
      <c r="B7">
        <v>2019</v>
      </c>
      <c r="C7" t="s">
        <v>15</v>
      </c>
      <c r="D7" t="s">
        <v>117</v>
      </c>
      <c r="E7" t="s">
        <v>112</v>
      </c>
      <c r="F7" t="s">
        <v>206</v>
      </c>
      <c r="G7" t="b">
        <f t="shared" si="0"/>
        <v>1</v>
      </c>
      <c r="H7" t="str">
        <f>VLOOKUP(A7,ID_Lookup!A:A,1,FALSE)</f>
        <v>J505</v>
      </c>
    </row>
    <row r="8" spans="1:8" hidden="1" x14ac:dyDescent="0.35">
      <c r="A8" t="s">
        <v>16</v>
      </c>
      <c r="B8">
        <v>2019</v>
      </c>
      <c r="C8" t="s">
        <v>17</v>
      </c>
      <c r="D8" t="s">
        <v>118</v>
      </c>
      <c r="E8" t="s">
        <v>112</v>
      </c>
      <c r="F8" t="s">
        <v>206</v>
      </c>
      <c r="G8" t="b">
        <f t="shared" si="0"/>
        <v>1</v>
      </c>
      <c r="H8" t="e">
        <f>VLOOKUP(A8,ID_Lookup!A:A,1,FALSE)</f>
        <v>#N/A</v>
      </c>
    </row>
    <row r="9" spans="1:8" hidden="1" x14ac:dyDescent="0.35">
      <c r="A9" t="s">
        <v>18</v>
      </c>
      <c r="B9">
        <v>2019</v>
      </c>
      <c r="C9" t="s">
        <v>119</v>
      </c>
      <c r="D9" t="s">
        <v>120</v>
      </c>
      <c r="E9" t="s">
        <v>112</v>
      </c>
      <c r="F9" t="s">
        <v>200</v>
      </c>
      <c r="G9" t="b">
        <f t="shared" si="0"/>
        <v>1</v>
      </c>
      <c r="H9" t="e">
        <f>VLOOKUP(A9,ID_Lookup!A:A,1,FALSE)</f>
        <v>#N/A</v>
      </c>
    </row>
    <row r="10" spans="1:8" x14ac:dyDescent="0.35">
      <c r="A10" t="s">
        <v>19</v>
      </c>
      <c r="B10">
        <v>2019</v>
      </c>
      <c r="C10" t="s">
        <v>20</v>
      </c>
      <c r="D10" t="s">
        <v>121</v>
      </c>
      <c r="E10" t="s">
        <v>112</v>
      </c>
      <c r="F10" t="s">
        <v>206</v>
      </c>
      <c r="G10" t="b">
        <f t="shared" si="0"/>
        <v>1</v>
      </c>
      <c r="H10" t="str">
        <f>VLOOKUP(A10,ID_Lookup!A:A,1,FALSE)</f>
        <v>J508</v>
      </c>
    </row>
    <row r="11" spans="1:8" x14ac:dyDescent="0.35">
      <c r="A11" t="s">
        <v>21</v>
      </c>
      <c r="B11">
        <v>2019</v>
      </c>
      <c r="C11" t="s">
        <v>22</v>
      </c>
      <c r="D11" t="s">
        <v>122</v>
      </c>
      <c r="E11" t="s">
        <v>112</v>
      </c>
      <c r="F11" t="s">
        <v>206</v>
      </c>
      <c r="G11" t="b">
        <f t="shared" si="0"/>
        <v>1</v>
      </c>
      <c r="H11" t="str">
        <f>VLOOKUP(A11,ID_Lookup!A:A,1,FALSE)</f>
        <v>J509</v>
      </c>
    </row>
    <row r="12" spans="1:8" x14ac:dyDescent="0.35">
      <c r="A12" t="s">
        <v>23</v>
      </c>
      <c r="B12">
        <v>2019</v>
      </c>
      <c r="C12" t="s">
        <v>123</v>
      </c>
      <c r="D12" t="s">
        <v>124</v>
      </c>
      <c r="E12" t="s">
        <v>173</v>
      </c>
      <c r="F12" t="s">
        <v>205</v>
      </c>
      <c r="G12" t="b">
        <f t="shared" si="0"/>
        <v>0</v>
      </c>
      <c r="H12" t="str">
        <f>VLOOKUP(A12,ID_Lookup!A:A,1,FALSE)</f>
        <v>J510</v>
      </c>
    </row>
    <row r="13" spans="1:8" x14ac:dyDescent="0.35">
      <c r="A13" t="s">
        <v>24</v>
      </c>
      <c r="B13">
        <v>2019</v>
      </c>
      <c r="C13" t="s">
        <v>25</v>
      </c>
      <c r="D13" t="s">
        <v>26</v>
      </c>
      <c r="E13" t="s">
        <v>173</v>
      </c>
      <c r="F13" t="s">
        <v>205</v>
      </c>
      <c r="G13" t="b">
        <f t="shared" si="0"/>
        <v>0</v>
      </c>
      <c r="H13" t="str">
        <f>VLOOKUP(A13,ID_Lookup!A:A,1,FALSE)</f>
        <v>J511</v>
      </c>
    </row>
    <row r="14" spans="1:8" x14ac:dyDescent="0.35">
      <c r="A14" s="6" t="s">
        <v>27</v>
      </c>
      <c r="B14" s="6">
        <v>2019</v>
      </c>
      <c r="C14" s="6" t="s">
        <v>28</v>
      </c>
      <c r="D14" s="6" t="s">
        <v>29</v>
      </c>
      <c r="E14" t="s">
        <v>173</v>
      </c>
      <c r="F14" t="s">
        <v>205</v>
      </c>
      <c r="G14" t="b">
        <f t="shared" si="0"/>
        <v>0</v>
      </c>
      <c r="H14" t="str">
        <f>VLOOKUP(A14,ID_Lookup!A:A,1,FALSE)</f>
        <v>J512</v>
      </c>
    </row>
    <row r="15" spans="1:8" hidden="1" x14ac:dyDescent="0.35">
      <c r="A15" t="s">
        <v>30</v>
      </c>
      <c r="B15">
        <v>2019</v>
      </c>
      <c r="C15" t="s">
        <v>125</v>
      </c>
      <c r="D15" t="s">
        <v>126</v>
      </c>
      <c r="E15" t="s">
        <v>173</v>
      </c>
      <c r="F15" t="s">
        <v>205</v>
      </c>
      <c r="G15" t="b">
        <f t="shared" si="0"/>
        <v>0</v>
      </c>
      <c r="H15" t="e">
        <f>VLOOKUP(A15,ID_Lookup!A:A,1,FALSE)</f>
        <v>#N/A</v>
      </c>
    </row>
    <row r="16" spans="1:8" x14ac:dyDescent="0.35">
      <c r="A16" t="s">
        <v>31</v>
      </c>
      <c r="B16">
        <v>2019</v>
      </c>
      <c r="C16" t="s">
        <v>127</v>
      </c>
      <c r="D16" t="s">
        <v>128</v>
      </c>
      <c r="E16" t="s">
        <v>173</v>
      </c>
      <c r="F16" t="s">
        <v>205</v>
      </c>
      <c r="G16" t="b">
        <f t="shared" si="0"/>
        <v>0</v>
      </c>
      <c r="H16" t="str">
        <f>VLOOKUP(A16,ID_Lookup!A:A,1,FALSE)</f>
        <v>J514</v>
      </c>
    </row>
    <row r="17" spans="1:8" x14ac:dyDescent="0.35">
      <c r="A17" t="s">
        <v>32</v>
      </c>
      <c r="B17">
        <v>2019</v>
      </c>
      <c r="C17" t="s">
        <v>33</v>
      </c>
      <c r="D17" t="s">
        <v>129</v>
      </c>
      <c r="E17" t="s">
        <v>112</v>
      </c>
      <c r="F17" t="s">
        <v>207</v>
      </c>
      <c r="G17" t="b">
        <f t="shared" si="0"/>
        <v>1</v>
      </c>
      <c r="H17" t="str">
        <f>VLOOKUP(A17,ID_Lookup!A:A,1,FALSE)</f>
        <v>J515</v>
      </c>
    </row>
    <row r="18" spans="1:8" hidden="1" x14ac:dyDescent="0.35">
      <c r="A18" t="s">
        <v>34</v>
      </c>
      <c r="B18">
        <v>2019</v>
      </c>
      <c r="C18" t="s">
        <v>35</v>
      </c>
      <c r="D18" t="s">
        <v>130</v>
      </c>
      <c r="E18" t="s">
        <v>112</v>
      </c>
      <c r="F18" t="s">
        <v>200</v>
      </c>
      <c r="G18" t="b">
        <f t="shared" si="0"/>
        <v>1</v>
      </c>
      <c r="H18" t="e">
        <f>VLOOKUP(A18,ID_Lookup!A:A,1,FALSE)</f>
        <v>#N/A</v>
      </c>
    </row>
    <row r="19" spans="1:8" s="2" customFormat="1" hidden="1" x14ac:dyDescent="0.35">
      <c r="A19" t="s">
        <v>36</v>
      </c>
      <c r="B19">
        <v>2019</v>
      </c>
      <c r="C19" t="s">
        <v>37</v>
      </c>
      <c r="D19" t="s">
        <v>131</v>
      </c>
      <c r="E19" t="s">
        <v>173</v>
      </c>
      <c r="F19" t="s">
        <v>205</v>
      </c>
      <c r="G19" t="b">
        <f t="shared" si="0"/>
        <v>0</v>
      </c>
      <c r="H19" t="e">
        <f>VLOOKUP(A19,ID_Lookup!A:A,1,FALSE)</f>
        <v>#N/A</v>
      </c>
    </row>
    <row r="20" spans="1:8" hidden="1" x14ac:dyDescent="0.35">
      <c r="A20" t="s">
        <v>38</v>
      </c>
      <c r="B20">
        <v>2019</v>
      </c>
      <c r="C20" t="s">
        <v>39</v>
      </c>
      <c r="D20" t="s">
        <v>132</v>
      </c>
      <c r="E20" t="s">
        <v>173</v>
      </c>
      <c r="F20" t="s">
        <v>205</v>
      </c>
      <c r="G20" t="b">
        <f t="shared" si="0"/>
        <v>0</v>
      </c>
      <c r="H20" t="e">
        <f>VLOOKUP(A20,ID_Lookup!A:A,1,FALSE)</f>
        <v>#N/A</v>
      </c>
    </row>
    <row r="21" spans="1:8" hidden="1" x14ac:dyDescent="0.35">
      <c r="A21" t="s">
        <v>40</v>
      </c>
      <c r="B21">
        <v>2019</v>
      </c>
      <c r="C21" t="s">
        <v>41</v>
      </c>
      <c r="D21" t="s">
        <v>133</v>
      </c>
      <c r="E21" t="s">
        <v>173</v>
      </c>
      <c r="F21" t="s">
        <v>205</v>
      </c>
      <c r="G21" t="b">
        <f t="shared" si="0"/>
        <v>0</v>
      </c>
      <c r="H21" t="e">
        <f>VLOOKUP(A21,ID_Lookup!A:A,1,FALSE)</f>
        <v>#N/A</v>
      </c>
    </row>
    <row r="22" spans="1:8" x14ac:dyDescent="0.35">
      <c r="A22" t="s">
        <v>42</v>
      </c>
      <c r="B22">
        <v>2019</v>
      </c>
      <c r="C22" t="s">
        <v>43</v>
      </c>
      <c r="D22" t="s">
        <v>44</v>
      </c>
      <c r="E22" t="s">
        <v>173</v>
      </c>
      <c r="F22" t="s">
        <v>205</v>
      </c>
      <c r="G22" t="b">
        <f t="shared" si="0"/>
        <v>0</v>
      </c>
      <c r="H22" t="str">
        <f>VLOOKUP(A22,ID_Lookup!A:A,1,FALSE)</f>
        <v>J520</v>
      </c>
    </row>
    <row r="23" spans="1:8" x14ac:dyDescent="0.35">
      <c r="A23" t="s">
        <v>45</v>
      </c>
      <c r="B23">
        <v>2019</v>
      </c>
      <c r="C23" t="s">
        <v>46</v>
      </c>
      <c r="D23" t="s">
        <v>134</v>
      </c>
      <c r="E23" t="s">
        <v>112</v>
      </c>
      <c r="F23" t="s">
        <v>206</v>
      </c>
      <c r="G23" t="b">
        <f t="shared" si="0"/>
        <v>1</v>
      </c>
      <c r="H23" t="str">
        <f>VLOOKUP(A23,ID_Lookup!A:A,1,FALSE)</f>
        <v>J521</v>
      </c>
    </row>
    <row r="24" spans="1:8" x14ac:dyDescent="0.35">
      <c r="A24" t="s">
        <v>47</v>
      </c>
      <c r="B24">
        <v>2019</v>
      </c>
      <c r="C24" t="s">
        <v>48</v>
      </c>
      <c r="D24" t="s">
        <v>135</v>
      </c>
      <c r="E24" t="s">
        <v>173</v>
      </c>
      <c r="F24" t="s">
        <v>205</v>
      </c>
      <c r="G24" t="b">
        <f t="shared" si="0"/>
        <v>0</v>
      </c>
      <c r="H24" t="str">
        <f>VLOOKUP(A24,ID_Lookup!A:A,1,FALSE)</f>
        <v>J522</v>
      </c>
    </row>
    <row r="25" spans="1:8" x14ac:dyDescent="0.35">
      <c r="A25" t="s">
        <v>49</v>
      </c>
      <c r="B25">
        <v>2019</v>
      </c>
      <c r="C25" t="s">
        <v>136</v>
      </c>
      <c r="D25" t="s">
        <v>137</v>
      </c>
      <c r="E25" t="s">
        <v>112</v>
      </c>
      <c r="F25" t="s">
        <v>200</v>
      </c>
      <c r="G25" t="b">
        <f t="shared" si="0"/>
        <v>1</v>
      </c>
      <c r="H25" t="str">
        <f>VLOOKUP(A25,ID_Lookup!A:A,1,FALSE)</f>
        <v>J523</v>
      </c>
    </row>
    <row r="26" spans="1:8" x14ac:dyDescent="0.35">
      <c r="A26" t="s">
        <v>50</v>
      </c>
      <c r="B26">
        <v>2019</v>
      </c>
      <c r="C26" t="s">
        <v>138</v>
      </c>
      <c r="D26" t="s">
        <v>139</v>
      </c>
      <c r="E26" t="s">
        <v>112</v>
      </c>
      <c r="F26" t="s">
        <v>200</v>
      </c>
      <c r="G26" t="b">
        <f t="shared" si="0"/>
        <v>1</v>
      </c>
      <c r="H26" t="str">
        <f>VLOOKUP(A26,ID_Lookup!A:A,1,FALSE)</f>
        <v>J524</v>
      </c>
    </row>
    <row r="27" spans="1:8" hidden="1" x14ac:dyDescent="0.35">
      <c r="A27" t="s">
        <v>51</v>
      </c>
      <c r="B27">
        <v>2019</v>
      </c>
      <c r="C27" t="s">
        <v>52</v>
      </c>
      <c r="D27" t="s">
        <v>53</v>
      </c>
      <c r="E27" t="s">
        <v>112</v>
      </c>
      <c r="F27" t="s">
        <v>200</v>
      </c>
      <c r="G27" t="b">
        <f t="shared" si="0"/>
        <v>1</v>
      </c>
      <c r="H27" t="e">
        <f>VLOOKUP(A27,ID_Lookup!A:A,1,FALSE)</f>
        <v>#N/A</v>
      </c>
    </row>
    <row r="28" spans="1:8" hidden="1" x14ac:dyDescent="0.35">
      <c r="A28" t="s">
        <v>54</v>
      </c>
      <c r="B28">
        <v>2019</v>
      </c>
      <c r="C28" t="s">
        <v>55</v>
      </c>
      <c r="D28" t="s">
        <v>56</v>
      </c>
      <c r="E28" t="s">
        <v>112</v>
      </c>
      <c r="F28" t="s">
        <v>208</v>
      </c>
      <c r="G28" t="b">
        <f t="shared" si="0"/>
        <v>1</v>
      </c>
      <c r="H28" t="e">
        <f>VLOOKUP(A28,ID_Lookup!A:A,1,FALSE)</f>
        <v>#N/A</v>
      </c>
    </row>
    <row r="29" spans="1:8" x14ac:dyDescent="0.35">
      <c r="A29" t="s">
        <v>57</v>
      </c>
      <c r="B29">
        <v>2019</v>
      </c>
      <c r="C29" t="s">
        <v>58</v>
      </c>
      <c r="D29" t="s">
        <v>140</v>
      </c>
      <c r="E29" t="s">
        <v>173</v>
      </c>
      <c r="F29" t="s">
        <v>205</v>
      </c>
      <c r="G29" t="b">
        <f t="shared" si="0"/>
        <v>0</v>
      </c>
      <c r="H29" t="str">
        <f>VLOOKUP(A29,ID_Lookup!A:A,1,FALSE)</f>
        <v>J527</v>
      </c>
    </row>
    <row r="30" spans="1:8" hidden="1" x14ac:dyDescent="0.35">
      <c r="A30" t="s">
        <v>59</v>
      </c>
      <c r="B30">
        <v>2019</v>
      </c>
      <c r="C30" t="s">
        <v>141</v>
      </c>
      <c r="D30" t="s">
        <v>142</v>
      </c>
      <c r="E30" t="s">
        <v>173</v>
      </c>
      <c r="F30" t="s">
        <v>205</v>
      </c>
      <c r="G30" t="b">
        <f t="shared" si="0"/>
        <v>0</v>
      </c>
      <c r="H30" t="e">
        <f>VLOOKUP(A30,ID_Lookup!A:A,1,FALSE)</f>
        <v>#N/A</v>
      </c>
    </row>
    <row r="31" spans="1:8" x14ac:dyDescent="0.35">
      <c r="A31" t="s">
        <v>60</v>
      </c>
      <c r="B31">
        <v>2019</v>
      </c>
      <c r="C31" t="s">
        <v>61</v>
      </c>
      <c r="D31" t="s">
        <v>143</v>
      </c>
      <c r="E31" t="s">
        <v>173</v>
      </c>
      <c r="F31" t="s">
        <v>205</v>
      </c>
      <c r="G31" t="b">
        <f t="shared" si="0"/>
        <v>0</v>
      </c>
      <c r="H31" t="str">
        <f>VLOOKUP(A31,ID_Lookup!A:A,1,FALSE)</f>
        <v>J529</v>
      </c>
    </row>
    <row r="32" spans="1:8" x14ac:dyDescent="0.35">
      <c r="A32" t="s">
        <v>62</v>
      </c>
      <c r="B32">
        <v>2019</v>
      </c>
      <c r="C32" t="s">
        <v>63</v>
      </c>
      <c r="D32" t="s">
        <v>144</v>
      </c>
      <c r="E32" t="s">
        <v>173</v>
      </c>
      <c r="F32" t="s">
        <v>205</v>
      </c>
      <c r="G32" t="b">
        <f t="shared" si="0"/>
        <v>0</v>
      </c>
      <c r="H32" t="str">
        <f>VLOOKUP(A32,ID_Lookup!A:A,1,FALSE)</f>
        <v>J530</v>
      </c>
    </row>
    <row r="33" spans="1:8" hidden="1" x14ac:dyDescent="0.35">
      <c r="A33" t="s">
        <v>64</v>
      </c>
      <c r="B33">
        <v>2019</v>
      </c>
      <c r="C33" t="s">
        <v>65</v>
      </c>
      <c r="D33" t="s">
        <v>145</v>
      </c>
      <c r="E33" t="s">
        <v>173</v>
      </c>
      <c r="F33" t="s">
        <v>205</v>
      </c>
      <c r="G33" t="b">
        <f t="shared" si="0"/>
        <v>0</v>
      </c>
      <c r="H33" t="e">
        <f>VLOOKUP(A33,ID_Lookup!A:A,1,FALSE)</f>
        <v>#N/A</v>
      </c>
    </row>
    <row r="34" spans="1:8" hidden="1" x14ac:dyDescent="0.35">
      <c r="A34" t="s">
        <v>66</v>
      </c>
      <c r="B34">
        <v>2019</v>
      </c>
      <c r="C34" t="s">
        <v>67</v>
      </c>
      <c r="D34" t="s">
        <v>68</v>
      </c>
      <c r="E34" t="s">
        <v>173</v>
      </c>
      <c r="F34" t="s">
        <v>205</v>
      </c>
      <c r="G34" t="b">
        <f t="shared" si="0"/>
        <v>0</v>
      </c>
      <c r="H34" t="e">
        <f>VLOOKUP(A34,ID_Lookup!A:A,1,FALSE)</f>
        <v>#N/A</v>
      </c>
    </row>
    <row r="35" spans="1:8" hidden="1" x14ac:dyDescent="0.35">
      <c r="A35" t="s">
        <v>69</v>
      </c>
      <c r="B35">
        <v>2019</v>
      </c>
      <c r="C35" t="s">
        <v>70</v>
      </c>
      <c r="D35" t="s">
        <v>146</v>
      </c>
      <c r="E35" t="s">
        <v>112</v>
      </c>
      <c r="F35" t="s">
        <v>207</v>
      </c>
      <c r="G35" t="b">
        <f t="shared" si="0"/>
        <v>1</v>
      </c>
      <c r="H35" t="e">
        <f>VLOOKUP(A35,ID_Lookup!A:A,1,FALSE)</f>
        <v>#N/A</v>
      </c>
    </row>
    <row r="36" spans="1:8" ht="409.5" hidden="1" x14ac:dyDescent="0.35">
      <c r="A36" t="s">
        <v>71</v>
      </c>
      <c r="B36">
        <v>2019</v>
      </c>
      <c r="C36" t="s">
        <v>72</v>
      </c>
      <c r="D36" s="1" t="s">
        <v>73</v>
      </c>
      <c r="E36" t="s">
        <v>112</v>
      </c>
      <c r="F36" t="s">
        <v>209</v>
      </c>
      <c r="G36" t="b">
        <f t="shared" si="0"/>
        <v>1</v>
      </c>
      <c r="H36" t="e">
        <f>VLOOKUP(A36,ID_Lookup!A:A,1,FALSE)</f>
        <v>#N/A</v>
      </c>
    </row>
    <row r="37" spans="1:8" x14ac:dyDescent="0.35">
      <c r="A37" t="s">
        <v>74</v>
      </c>
      <c r="B37">
        <v>2019</v>
      </c>
      <c r="C37" t="s">
        <v>75</v>
      </c>
      <c r="D37" t="s">
        <v>147</v>
      </c>
      <c r="E37" t="s">
        <v>112</v>
      </c>
      <c r="F37" t="s">
        <v>200</v>
      </c>
      <c r="G37" t="b">
        <f t="shared" si="0"/>
        <v>1</v>
      </c>
      <c r="H37" t="str">
        <f>VLOOKUP(A37,ID_Lookup!A:A,1,FALSE)</f>
        <v>J535</v>
      </c>
    </row>
    <row r="38" spans="1:8" x14ac:dyDescent="0.35">
      <c r="A38" t="s">
        <v>76</v>
      </c>
      <c r="B38">
        <v>2019</v>
      </c>
      <c r="C38" t="s">
        <v>77</v>
      </c>
      <c r="D38" t="s">
        <v>148</v>
      </c>
      <c r="E38" t="s">
        <v>173</v>
      </c>
      <c r="F38" t="s">
        <v>205</v>
      </c>
      <c r="G38" t="b">
        <f t="shared" si="0"/>
        <v>0</v>
      </c>
      <c r="H38" t="str">
        <f>VLOOKUP(A38,ID_Lookup!A:A,1,FALSE)</f>
        <v>J536</v>
      </c>
    </row>
    <row r="39" spans="1:8" x14ac:dyDescent="0.35">
      <c r="A39" t="s">
        <v>78</v>
      </c>
      <c r="B39">
        <v>2019</v>
      </c>
      <c r="C39" t="s">
        <v>79</v>
      </c>
      <c r="D39" t="s">
        <v>149</v>
      </c>
      <c r="E39" t="s">
        <v>112</v>
      </c>
      <c r="F39" t="s">
        <v>200</v>
      </c>
      <c r="G39" t="b">
        <f t="shared" si="0"/>
        <v>1</v>
      </c>
      <c r="H39" t="str">
        <f>VLOOKUP(A39,ID_Lookup!A:A,1,FALSE)</f>
        <v>J537</v>
      </c>
    </row>
    <row r="40" spans="1:8" hidden="1" x14ac:dyDescent="0.35">
      <c r="A40" t="s">
        <v>80</v>
      </c>
      <c r="B40">
        <v>2019</v>
      </c>
      <c r="C40" t="s">
        <v>81</v>
      </c>
      <c r="D40" t="s">
        <v>150</v>
      </c>
      <c r="E40" t="s">
        <v>173</v>
      </c>
      <c r="F40" t="s">
        <v>205</v>
      </c>
      <c r="G40" t="b">
        <f t="shared" si="0"/>
        <v>0</v>
      </c>
      <c r="H40" t="e">
        <f>VLOOKUP(A40,ID_Lookup!A:A,1,FALSE)</f>
        <v>#N/A</v>
      </c>
    </row>
    <row r="41" spans="1:8" hidden="1" x14ac:dyDescent="0.35">
      <c r="A41" t="s">
        <v>82</v>
      </c>
      <c r="B41">
        <v>2019</v>
      </c>
      <c r="C41" t="s">
        <v>151</v>
      </c>
      <c r="D41" t="s">
        <v>152</v>
      </c>
      <c r="E41" t="s">
        <v>173</v>
      </c>
      <c r="F41" t="s">
        <v>205</v>
      </c>
      <c r="G41" t="b">
        <f t="shared" si="0"/>
        <v>0</v>
      </c>
      <c r="H41" t="e">
        <f>VLOOKUP(A41,ID_Lookup!A:A,1,FALSE)</f>
        <v>#N/A</v>
      </c>
    </row>
    <row r="42" spans="1:8" x14ac:dyDescent="0.35">
      <c r="A42" t="s">
        <v>83</v>
      </c>
      <c r="B42">
        <v>2019</v>
      </c>
      <c r="C42" t="s">
        <v>84</v>
      </c>
      <c r="D42" t="s">
        <v>153</v>
      </c>
      <c r="E42" t="s">
        <v>173</v>
      </c>
      <c r="F42" t="s">
        <v>205</v>
      </c>
      <c r="G42" t="b">
        <f t="shared" si="0"/>
        <v>0</v>
      </c>
      <c r="H42" t="str">
        <f>VLOOKUP(A42,ID_Lookup!A:A,1,FALSE)</f>
        <v>J540</v>
      </c>
    </row>
    <row r="43" spans="1:8" ht="409.5" x14ac:dyDescent="0.35">
      <c r="A43" t="s">
        <v>85</v>
      </c>
      <c r="B43">
        <v>2019</v>
      </c>
      <c r="C43" t="s">
        <v>86</v>
      </c>
      <c r="D43" s="1" t="s">
        <v>87</v>
      </c>
      <c r="E43" t="s">
        <v>173</v>
      </c>
      <c r="F43" t="s">
        <v>205</v>
      </c>
      <c r="G43" t="b">
        <f t="shared" si="0"/>
        <v>0</v>
      </c>
      <c r="H43" t="str">
        <f>VLOOKUP(A43,ID_Lookup!A:A,1,FALSE)</f>
        <v>J541</v>
      </c>
    </row>
    <row r="44" spans="1:8" hidden="1" x14ac:dyDescent="0.35">
      <c r="A44" t="s">
        <v>88</v>
      </c>
      <c r="B44">
        <v>2019</v>
      </c>
      <c r="C44" t="s">
        <v>154</v>
      </c>
      <c r="D44" t="s">
        <v>155</v>
      </c>
      <c r="E44" t="s">
        <v>173</v>
      </c>
      <c r="F44" t="s">
        <v>205</v>
      </c>
      <c r="G44" t="b">
        <f t="shared" si="0"/>
        <v>0</v>
      </c>
      <c r="H44" t="e">
        <f>VLOOKUP(A44,ID_Lookup!A:A,1,FALSE)</f>
        <v>#N/A</v>
      </c>
    </row>
    <row r="45" spans="1:8" hidden="1" x14ac:dyDescent="0.35">
      <c r="A45" t="s">
        <v>89</v>
      </c>
      <c r="B45">
        <v>2019</v>
      </c>
      <c r="C45" t="s">
        <v>90</v>
      </c>
      <c r="D45" t="s">
        <v>156</v>
      </c>
      <c r="E45" t="s">
        <v>173</v>
      </c>
      <c r="F45" t="s">
        <v>205</v>
      </c>
      <c r="G45" t="b">
        <f t="shared" si="0"/>
        <v>0</v>
      </c>
      <c r="H45" t="e">
        <f>VLOOKUP(A45,ID_Lookup!A:A,1,FALSE)</f>
        <v>#N/A</v>
      </c>
    </row>
    <row r="46" spans="1:8" x14ac:dyDescent="0.35">
      <c r="A46" t="s">
        <v>91</v>
      </c>
      <c r="B46">
        <v>2019</v>
      </c>
      <c r="C46" t="s">
        <v>92</v>
      </c>
      <c r="D46" t="s">
        <v>93</v>
      </c>
      <c r="E46" t="s">
        <v>112</v>
      </c>
      <c r="F46" t="s">
        <v>210</v>
      </c>
      <c r="G46" t="b">
        <f t="shared" si="0"/>
        <v>1</v>
      </c>
      <c r="H46" t="str">
        <f>VLOOKUP(A46,ID_Lookup!A:A,1,FALSE)</f>
        <v>J544</v>
      </c>
    </row>
    <row r="47" spans="1:8" x14ac:dyDescent="0.35">
      <c r="A47" t="s">
        <v>94</v>
      </c>
      <c r="B47">
        <v>2019</v>
      </c>
      <c r="C47" t="s">
        <v>95</v>
      </c>
      <c r="D47" t="s">
        <v>96</v>
      </c>
      <c r="E47" t="s">
        <v>112</v>
      </c>
      <c r="F47" t="s">
        <v>200</v>
      </c>
      <c r="G47" t="b">
        <f t="shared" si="0"/>
        <v>1</v>
      </c>
      <c r="H47" t="str">
        <f>VLOOKUP(A47,ID_Lookup!A:A,1,FALSE)</f>
        <v>J545</v>
      </c>
    </row>
    <row r="48" spans="1:8" hidden="1" x14ac:dyDescent="0.35">
      <c r="A48" t="s">
        <v>97</v>
      </c>
      <c r="B48">
        <v>2019</v>
      </c>
      <c r="C48" t="s">
        <v>98</v>
      </c>
      <c r="D48" t="s">
        <v>157</v>
      </c>
      <c r="E48" t="s">
        <v>173</v>
      </c>
      <c r="F48" t="s">
        <v>211</v>
      </c>
      <c r="G48" t="b">
        <f t="shared" si="0"/>
        <v>0</v>
      </c>
      <c r="H48" t="e">
        <f>VLOOKUP(A48,ID_Lookup!A:A,1,FALSE)</f>
        <v>#N/A</v>
      </c>
    </row>
    <row r="49" spans="1:8" x14ac:dyDescent="0.35">
      <c r="A49" t="s">
        <v>99</v>
      </c>
      <c r="B49">
        <v>2019</v>
      </c>
      <c r="C49" t="s">
        <v>100</v>
      </c>
      <c r="D49" t="s">
        <v>101</v>
      </c>
      <c r="E49" t="s">
        <v>173</v>
      </c>
      <c r="F49" t="s">
        <v>211</v>
      </c>
      <c r="G49" t="b">
        <f t="shared" si="0"/>
        <v>0</v>
      </c>
      <c r="H49" t="str">
        <f>VLOOKUP(A49,ID_Lookup!A:A,1,FALSE)</f>
        <v>J547</v>
      </c>
    </row>
    <row r="50" spans="1:8" hidden="1" x14ac:dyDescent="0.35">
      <c r="A50" t="s">
        <v>102</v>
      </c>
      <c r="B50">
        <v>2019</v>
      </c>
      <c r="C50" t="s">
        <v>158</v>
      </c>
      <c r="D50" t="s">
        <v>159</v>
      </c>
      <c r="E50" t="s">
        <v>112</v>
      </c>
      <c r="F50" t="s">
        <v>200</v>
      </c>
      <c r="G50" t="b">
        <f t="shared" si="0"/>
        <v>1</v>
      </c>
      <c r="H50" t="e">
        <f>VLOOKUP(A50,ID_Lookup!A:A,1,FALSE)</f>
        <v>#N/A</v>
      </c>
    </row>
    <row r="51" spans="1:8" x14ac:dyDescent="0.35">
      <c r="A51" t="s">
        <v>103</v>
      </c>
      <c r="B51">
        <v>2019</v>
      </c>
      <c r="C51" t="s">
        <v>104</v>
      </c>
      <c r="D51" t="s">
        <v>105</v>
      </c>
      <c r="E51" t="s">
        <v>112</v>
      </c>
      <c r="F51" t="s">
        <v>200</v>
      </c>
      <c r="G51" t="b">
        <f t="shared" si="0"/>
        <v>1</v>
      </c>
      <c r="H51" t="str">
        <f>VLOOKUP(A51,ID_Lookup!A:A,1,FALSE)</f>
        <v>J549</v>
      </c>
    </row>
    <row r="52" spans="1:8" hidden="1" x14ac:dyDescent="0.35">
      <c r="A52" t="s">
        <v>106</v>
      </c>
      <c r="B52">
        <v>2019</v>
      </c>
      <c r="C52" t="s">
        <v>107</v>
      </c>
      <c r="D52" t="s">
        <v>160</v>
      </c>
      <c r="E52" t="s">
        <v>173</v>
      </c>
      <c r="F52" t="s">
        <v>212</v>
      </c>
      <c r="G52" t="b">
        <f t="shared" si="0"/>
        <v>0</v>
      </c>
      <c r="H52" t="e">
        <f>VLOOKUP(A52,ID_Lookup!A:A,1,FALSE)</f>
        <v>#N/A</v>
      </c>
    </row>
    <row r="53" spans="1:8" x14ac:dyDescent="0.35">
      <c r="A53" t="s">
        <v>243</v>
      </c>
      <c r="B53">
        <v>2019</v>
      </c>
      <c r="C53" t="s">
        <v>244</v>
      </c>
      <c r="D53" t="s">
        <v>245</v>
      </c>
      <c r="E53" t="s">
        <v>173</v>
      </c>
      <c r="F53" t="s">
        <v>205</v>
      </c>
      <c r="G53" t="b">
        <f t="shared" si="0"/>
        <v>0</v>
      </c>
      <c r="H53" t="str">
        <f>VLOOKUP(A53,ID_Lookup!A:A,1,FALSE)</f>
        <v>J551</v>
      </c>
    </row>
    <row r="54" spans="1:8" x14ac:dyDescent="0.35">
      <c r="A54" t="s">
        <v>247</v>
      </c>
      <c r="B54">
        <v>2019</v>
      </c>
      <c r="C54" t="s">
        <v>495</v>
      </c>
      <c r="D54" t="s">
        <v>496</v>
      </c>
      <c r="E54" t="s">
        <v>173</v>
      </c>
      <c r="F54" t="s">
        <v>205</v>
      </c>
      <c r="G54" t="b">
        <f t="shared" si="0"/>
        <v>0</v>
      </c>
      <c r="H54" t="str">
        <f>VLOOKUP(A54,ID_Lookup!A:A,1,FALSE)</f>
        <v>J552</v>
      </c>
    </row>
    <row r="55" spans="1:8" hidden="1" x14ac:dyDescent="0.35">
      <c r="A55" t="s">
        <v>497</v>
      </c>
      <c r="B55">
        <v>2019</v>
      </c>
      <c r="C55" t="s">
        <v>498</v>
      </c>
      <c r="D55" t="s">
        <v>499</v>
      </c>
      <c r="E55" t="s">
        <v>112</v>
      </c>
      <c r="F55" t="s">
        <v>200</v>
      </c>
      <c r="G55" t="b">
        <f t="shared" si="0"/>
        <v>1</v>
      </c>
      <c r="H55" t="e">
        <f>VLOOKUP(A55,ID_Lookup!A:A,1,FALSE)</f>
        <v>#N/A</v>
      </c>
    </row>
    <row r="56" spans="1:8" hidden="1" x14ac:dyDescent="0.35">
      <c r="A56" t="s">
        <v>500</v>
      </c>
      <c r="B56">
        <v>2019</v>
      </c>
      <c r="C56" t="s">
        <v>501</v>
      </c>
      <c r="D56" t="s">
        <v>502</v>
      </c>
      <c r="E56" t="s">
        <v>112</v>
      </c>
      <c r="F56" t="s">
        <v>207</v>
      </c>
      <c r="G56" t="b">
        <f t="shared" si="0"/>
        <v>1</v>
      </c>
      <c r="H56" t="e">
        <f>VLOOKUP(A56,ID_Lookup!A:A,1,FALSE)</f>
        <v>#N/A</v>
      </c>
    </row>
    <row r="57" spans="1:8" hidden="1" x14ac:dyDescent="0.35">
      <c r="A57" t="s">
        <v>503</v>
      </c>
      <c r="B57">
        <v>2019</v>
      </c>
      <c r="C57" t="s">
        <v>504</v>
      </c>
      <c r="D57" t="s">
        <v>505</v>
      </c>
      <c r="E57" t="s">
        <v>173</v>
      </c>
      <c r="F57" t="s">
        <v>205</v>
      </c>
      <c r="G57" t="b">
        <f t="shared" si="0"/>
        <v>0</v>
      </c>
      <c r="H57" t="e">
        <f>VLOOKUP(A57,ID_Lookup!A:A,1,FALSE)</f>
        <v>#N/A</v>
      </c>
    </row>
    <row r="58" spans="1:8" hidden="1" x14ac:dyDescent="0.35">
      <c r="A58" t="s">
        <v>506</v>
      </c>
      <c r="B58">
        <v>2019</v>
      </c>
      <c r="C58" t="s">
        <v>507</v>
      </c>
      <c r="D58" t="s">
        <v>508</v>
      </c>
      <c r="E58" t="s">
        <v>112</v>
      </c>
      <c r="F58" t="s">
        <v>200</v>
      </c>
      <c r="G58" t="b">
        <f t="shared" si="0"/>
        <v>1</v>
      </c>
      <c r="H58" t="e">
        <f>VLOOKUP(A58,ID_Lookup!A:A,1,FALSE)</f>
        <v>#N/A</v>
      </c>
    </row>
    <row r="59" spans="1:8" x14ac:dyDescent="0.35">
      <c r="A59" t="s">
        <v>251</v>
      </c>
      <c r="B59">
        <v>2019</v>
      </c>
      <c r="C59" t="s">
        <v>252</v>
      </c>
      <c r="D59" t="s">
        <v>509</v>
      </c>
      <c r="E59" t="s">
        <v>173</v>
      </c>
      <c r="F59" t="s">
        <v>205</v>
      </c>
      <c r="G59" t="b">
        <f t="shared" si="0"/>
        <v>0</v>
      </c>
      <c r="H59" t="str">
        <f>VLOOKUP(A59,ID_Lookup!A:A,1,FALSE)</f>
        <v>J557</v>
      </c>
    </row>
    <row r="60" spans="1:8" x14ac:dyDescent="0.35">
      <c r="A60" t="s">
        <v>255</v>
      </c>
      <c r="B60">
        <v>2019</v>
      </c>
      <c r="C60" t="s">
        <v>256</v>
      </c>
      <c r="D60" t="s">
        <v>510</v>
      </c>
      <c r="E60" t="s">
        <v>173</v>
      </c>
      <c r="F60" t="s">
        <v>205</v>
      </c>
      <c r="G60" t="b">
        <f t="shared" si="0"/>
        <v>0</v>
      </c>
      <c r="H60" t="str">
        <f>VLOOKUP(A60,ID_Lookup!A:A,1,FALSE)</f>
        <v>J558</v>
      </c>
    </row>
    <row r="61" spans="1:8" hidden="1" x14ac:dyDescent="0.35">
      <c r="A61" t="s">
        <v>511</v>
      </c>
      <c r="B61">
        <v>2019</v>
      </c>
      <c r="C61" t="s">
        <v>512</v>
      </c>
      <c r="D61" t="s">
        <v>513</v>
      </c>
      <c r="E61" t="s">
        <v>173</v>
      </c>
      <c r="F61" t="s">
        <v>205</v>
      </c>
      <c r="G61" t="b">
        <f t="shared" si="0"/>
        <v>0</v>
      </c>
      <c r="H61" t="e">
        <f>VLOOKUP(A61,ID_Lookup!A:A,1,FALSE)</f>
        <v>#N/A</v>
      </c>
    </row>
    <row r="62" spans="1:8" hidden="1" x14ac:dyDescent="0.35">
      <c r="A62" t="s">
        <v>514</v>
      </c>
      <c r="B62">
        <v>2019</v>
      </c>
      <c r="C62" t="s">
        <v>515</v>
      </c>
      <c r="D62" t="s">
        <v>516</v>
      </c>
      <c r="E62" t="s">
        <v>112</v>
      </c>
      <c r="F62" t="s">
        <v>206</v>
      </c>
      <c r="G62" t="b">
        <f t="shared" si="0"/>
        <v>1</v>
      </c>
      <c r="H62" t="e">
        <f>VLOOKUP(A62,ID_Lookup!A:A,1,FALSE)</f>
        <v>#N/A</v>
      </c>
    </row>
    <row r="63" spans="1:8" x14ac:dyDescent="0.35">
      <c r="A63" t="s">
        <v>259</v>
      </c>
      <c r="B63">
        <v>2019</v>
      </c>
      <c r="C63" t="s">
        <v>260</v>
      </c>
      <c r="D63" t="s">
        <v>517</v>
      </c>
      <c r="E63" t="s">
        <v>112</v>
      </c>
      <c r="F63" t="s">
        <v>200</v>
      </c>
      <c r="G63" t="b">
        <f t="shared" si="0"/>
        <v>1</v>
      </c>
      <c r="H63" t="str">
        <f>VLOOKUP(A63,ID_Lookup!A:A,1,FALSE)</f>
        <v>J561</v>
      </c>
    </row>
    <row r="64" spans="1:8" hidden="1" x14ac:dyDescent="0.35">
      <c r="A64" t="s">
        <v>518</v>
      </c>
      <c r="B64">
        <v>2019</v>
      </c>
      <c r="C64" t="s">
        <v>519</v>
      </c>
      <c r="D64" t="s">
        <v>520</v>
      </c>
      <c r="E64" t="s">
        <v>112</v>
      </c>
      <c r="F64" t="s">
        <v>805</v>
      </c>
      <c r="G64" t="b">
        <f t="shared" si="0"/>
        <v>1</v>
      </c>
      <c r="H64" t="e">
        <f>VLOOKUP(A64,ID_Lookup!A:A,1,FALSE)</f>
        <v>#N/A</v>
      </c>
    </row>
    <row r="65" spans="1:8" hidden="1" x14ac:dyDescent="0.35">
      <c r="A65" t="s">
        <v>521</v>
      </c>
      <c r="B65">
        <v>2019</v>
      </c>
      <c r="C65" t="s">
        <v>522</v>
      </c>
      <c r="D65" t="s">
        <v>523</v>
      </c>
      <c r="E65" t="s">
        <v>173</v>
      </c>
      <c r="F65" t="s">
        <v>806</v>
      </c>
      <c r="G65" t="b">
        <f t="shared" si="0"/>
        <v>0</v>
      </c>
      <c r="H65" t="e">
        <f>VLOOKUP(A65,ID_Lookup!A:A,1,FALSE)</f>
        <v>#N/A</v>
      </c>
    </row>
    <row r="66" spans="1:8" hidden="1" x14ac:dyDescent="0.35">
      <c r="A66" t="s">
        <v>524</v>
      </c>
      <c r="B66">
        <v>2019</v>
      </c>
      <c r="C66" t="s">
        <v>525</v>
      </c>
      <c r="D66" t="s">
        <v>526</v>
      </c>
      <c r="E66" t="s">
        <v>112</v>
      </c>
      <c r="F66" t="s">
        <v>200</v>
      </c>
      <c r="G66" t="b">
        <f t="shared" si="0"/>
        <v>1</v>
      </c>
      <c r="H66" t="e">
        <f>VLOOKUP(A66,ID_Lookup!A:A,1,FALSE)</f>
        <v>#N/A</v>
      </c>
    </row>
    <row r="67" spans="1:8" hidden="1" x14ac:dyDescent="0.35">
      <c r="A67" t="s">
        <v>527</v>
      </c>
      <c r="B67">
        <v>2019</v>
      </c>
      <c r="C67" t="s">
        <v>528</v>
      </c>
      <c r="D67" t="s">
        <v>529</v>
      </c>
      <c r="E67" t="s">
        <v>112</v>
      </c>
      <c r="F67" t="s">
        <v>807</v>
      </c>
      <c r="G67" t="b">
        <f t="shared" ref="G67:G130" si="1">IF(E67="Include", TRUE, FALSE)</f>
        <v>1</v>
      </c>
      <c r="H67" t="e">
        <f>VLOOKUP(A67,ID_Lookup!A:A,1,FALSE)</f>
        <v>#N/A</v>
      </c>
    </row>
    <row r="68" spans="1:8" hidden="1" x14ac:dyDescent="0.35">
      <c r="A68" t="s">
        <v>530</v>
      </c>
      <c r="B68">
        <v>2019</v>
      </c>
      <c r="C68" t="s">
        <v>531</v>
      </c>
      <c r="D68" t="s">
        <v>532</v>
      </c>
      <c r="E68" t="s">
        <v>112</v>
      </c>
      <c r="F68" t="s">
        <v>808</v>
      </c>
      <c r="G68" t="b">
        <f t="shared" si="1"/>
        <v>1</v>
      </c>
      <c r="H68" t="e">
        <f>VLOOKUP(A68,ID_Lookup!A:A,1,FALSE)</f>
        <v>#N/A</v>
      </c>
    </row>
    <row r="69" spans="1:8" x14ac:dyDescent="0.35">
      <c r="A69" t="s">
        <v>263</v>
      </c>
      <c r="B69">
        <v>2019</v>
      </c>
      <c r="C69" t="s">
        <v>533</v>
      </c>
      <c r="D69" t="s">
        <v>534</v>
      </c>
      <c r="E69" t="s">
        <v>173</v>
      </c>
      <c r="F69" t="s">
        <v>205</v>
      </c>
      <c r="G69" t="b">
        <f t="shared" si="1"/>
        <v>0</v>
      </c>
      <c r="H69" t="str">
        <f>VLOOKUP(A69,ID_Lookup!A:A,1,FALSE)</f>
        <v>J567</v>
      </c>
    </row>
    <row r="70" spans="1:8" hidden="1" x14ac:dyDescent="0.35">
      <c r="A70" t="s">
        <v>535</v>
      </c>
      <c r="B70">
        <v>2019</v>
      </c>
      <c r="C70" t="s">
        <v>536</v>
      </c>
      <c r="D70" t="s">
        <v>537</v>
      </c>
      <c r="E70" t="s">
        <v>173</v>
      </c>
      <c r="F70" t="s">
        <v>205</v>
      </c>
      <c r="G70" t="b">
        <f t="shared" si="1"/>
        <v>0</v>
      </c>
      <c r="H70" t="e">
        <f>VLOOKUP(A70,ID_Lookup!A:A,1,FALSE)</f>
        <v>#N/A</v>
      </c>
    </row>
    <row r="71" spans="1:8" ht="409.5" hidden="1" x14ac:dyDescent="0.35">
      <c r="A71" t="s">
        <v>538</v>
      </c>
      <c r="B71">
        <v>2019</v>
      </c>
      <c r="C71" t="s">
        <v>539</v>
      </c>
      <c r="D71" s="1" t="s">
        <v>540</v>
      </c>
      <c r="E71" t="s">
        <v>173</v>
      </c>
      <c r="F71" t="s">
        <v>205</v>
      </c>
      <c r="G71" t="b">
        <f t="shared" si="1"/>
        <v>0</v>
      </c>
      <c r="H71" t="e">
        <f>VLOOKUP(A71,ID_Lookup!A:A,1,FALSE)</f>
        <v>#N/A</v>
      </c>
    </row>
    <row r="72" spans="1:8" x14ac:dyDescent="0.35">
      <c r="A72" t="s">
        <v>267</v>
      </c>
      <c r="B72">
        <v>2019</v>
      </c>
      <c r="C72" t="s">
        <v>541</v>
      </c>
      <c r="D72" t="s">
        <v>542</v>
      </c>
      <c r="E72" t="s">
        <v>173</v>
      </c>
      <c r="F72" t="s">
        <v>809</v>
      </c>
      <c r="G72" t="b">
        <f t="shared" si="1"/>
        <v>0</v>
      </c>
      <c r="H72" t="str">
        <f>VLOOKUP(A72,ID_Lookup!A:A,1,FALSE)</f>
        <v>J570</v>
      </c>
    </row>
    <row r="73" spans="1:8" ht="409.5" x14ac:dyDescent="0.35">
      <c r="A73" t="s">
        <v>271</v>
      </c>
      <c r="B73">
        <v>2019</v>
      </c>
      <c r="C73" t="s">
        <v>272</v>
      </c>
      <c r="D73" s="1" t="s">
        <v>273</v>
      </c>
      <c r="E73" t="s">
        <v>112</v>
      </c>
      <c r="F73" t="s">
        <v>207</v>
      </c>
      <c r="G73" t="b">
        <f t="shared" si="1"/>
        <v>1</v>
      </c>
      <c r="H73" t="str">
        <f>VLOOKUP(A73,ID_Lookup!A:A,1,FALSE)</f>
        <v>J571</v>
      </c>
    </row>
    <row r="74" spans="1:8" hidden="1" x14ac:dyDescent="0.35">
      <c r="A74" t="s">
        <v>543</v>
      </c>
      <c r="B74">
        <v>2019</v>
      </c>
      <c r="C74" t="s">
        <v>544</v>
      </c>
      <c r="D74" t="s">
        <v>545</v>
      </c>
      <c r="E74" t="s">
        <v>173</v>
      </c>
      <c r="F74" t="s">
        <v>205</v>
      </c>
      <c r="G74" t="b">
        <f t="shared" si="1"/>
        <v>0</v>
      </c>
      <c r="H74" t="e">
        <f>VLOOKUP(A74,ID_Lookup!A:A,1,FALSE)</f>
        <v>#N/A</v>
      </c>
    </row>
    <row r="75" spans="1:8" hidden="1" x14ac:dyDescent="0.35">
      <c r="A75" t="s">
        <v>546</v>
      </c>
      <c r="B75">
        <v>2019</v>
      </c>
      <c r="C75" t="s">
        <v>547</v>
      </c>
      <c r="D75" t="s">
        <v>548</v>
      </c>
      <c r="E75" t="s">
        <v>112</v>
      </c>
      <c r="F75" t="s">
        <v>208</v>
      </c>
      <c r="G75" t="b">
        <f t="shared" si="1"/>
        <v>1</v>
      </c>
      <c r="H75" t="e">
        <f>VLOOKUP(A75,ID_Lookup!A:A,1,FALSE)</f>
        <v>#N/A</v>
      </c>
    </row>
    <row r="76" spans="1:8" x14ac:dyDescent="0.35">
      <c r="A76" t="s">
        <v>275</v>
      </c>
      <c r="B76">
        <v>2019</v>
      </c>
      <c r="C76" t="s">
        <v>276</v>
      </c>
      <c r="D76" t="s">
        <v>277</v>
      </c>
      <c r="E76" t="s">
        <v>173</v>
      </c>
      <c r="F76" t="s">
        <v>205</v>
      </c>
      <c r="G76" t="b">
        <f t="shared" si="1"/>
        <v>0</v>
      </c>
      <c r="H76" t="str">
        <f>VLOOKUP(A76,ID_Lookup!A:A,1,FALSE)</f>
        <v>J574</v>
      </c>
    </row>
    <row r="77" spans="1:8" x14ac:dyDescent="0.35">
      <c r="A77" t="s">
        <v>279</v>
      </c>
      <c r="B77">
        <v>2019</v>
      </c>
      <c r="C77" t="s">
        <v>280</v>
      </c>
      <c r="D77" t="s">
        <v>549</v>
      </c>
      <c r="E77" t="s">
        <v>173</v>
      </c>
      <c r="F77" t="s">
        <v>205</v>
      </c>
      <c r="G77" t="b">
        <f t="shared" si="1"/>
        <v>0</v>
      </c>
      <c r="H77" t="str">
        <f>VLOOKUP(A77,ID_Lookup!A:A,1,FALSE)</f>
        <v>J575</v>
      </c>
    </row>
    <row r="78" spans="1:8" hidden="1" x14ac:dyDescent="0.35">
      <c r="A78" t="s">
        <v>550</v>
      </c>
      <c r="B78">
        <v>2019</v>
      </c>
      <c r="C78" t="s">
        <v>551</v>
      </c>
      <c r="D78" t="s">
        <v>552</v>
      </c>
      <c r="E78" t="s">
        <v>173</v>
      </c>
      <c r="F78" t="s">
        <v>205</v>
      </c>
      <c r="G78" t="b">
        <f t="shared" si="1"/>
        <v>0</v>
      </c>
      <c r="H78" t="e">
        <f>VLOOKUP(A78,ID_Lookup!A:A,1,FALSE)</f>
        <v>#N/A</v>
      </c>
    </row>
    <row r="79" spans="1:8" hidden="1" x14ac:dyDescent="0.35">
      <c r="A79" t="s">
        <v>553</v>
      </c>
      <c r="B79">
        <v>2019</v>
      </c>
      <c r="C79" t="s">
        <v>554</v>
      </c>
      <c r="D79" t="s">
        <v>555</v>
      </c>
      <c r="E79" t="s">
        <v>173</v>
      </c>
      <c r="F79" t="s">
        <v>205</v>
      </c>
      <c r="G79" t="b">
        <f t="shared" si="1"/>
        <v>0</v>
      </c>
      <c r="H79" t="e">
        <f>VLOOKUP(A79,ID_Lookup!A:A,1,FALSE)</f>
        <v>#N/A</v>
      </c>
    </row>
    <row r="80" spans="1:8" hidden="1" x14ac:dyDescent="0.35">
      <c r="A80" t="s">
        <v>556</v>
      </c>
      <c r="B80">
        <v>2019</v>
      </c>
      <c r="C80" t="s">
        <v>557</v>
      </c>
      <c r="D80" t="s">
        <v>558</v>
      </c>
      <c r="E80" t="s">
        <v>112</v>
      </c>
      <c r="F80" t="s">
        <v>200</v>
      </c>
      <c r="G80" t="b">
        <f t="shared" si="1"/>
        <v>1</v>
      </c>
      <c r="H80" t="e">
        <f>VLOOKUP(A80,ID_Lookup!A:A,1,FALSE)</f>
        <v>#N/A</v>
      </c>
    </row>
    <row r="81" spans="1:8" hidden="1" x14ac:dyDescent="0.35">
      <c r="A81" t="s">
        <v>559</v>
      </c>
      <c r="B81">
        <v>2019</v>
      </c>
      <c r="C81" s="7" t="s">
        <v>560</v>
      </c>
      <c r="D81" t="s">
        <v>561</v>
      </c>
      <c r="E81" t="s">
        <v>173</v>
      </c>
      <c r="F81" t="s">
        <v>810</v>
      </c>
      <c r="G81" t="b">
        <f t="shared" si="1"/>
        <v>0</v>
      </c>
      <c r="H81" t="e">
        <f>VLOOKUP(A81,ID_Lookup!A:A,1,FALSE)</f>
        <v>#N/A</v>
      </c>
    </row>
    <row r="82" spans="1:8" hidden="1" x14ac:dyDescent="0.35">
      <c r="A82" s="6" t="s">
        <v>562</v>
      </c>
      <c r="B82" s="6">
        <v>2019</v>
      </c>
      <c r="C82" s="6" t="s">
        <v>563</v>
      </c>
      <c r="D82" s="6" t="s">
        <v>564</v>
      </c>
      <c r="E82" t="s">
        <v>173</v>
      </c>
      <c r="F82" t="s">
        <v>810</v>
      </c>
      <c r="G82" t="b">
        <f t="shared" si="1"/>
        <v>0</v>
      </c>
      <c r="H82" t="e">
        <f>VLOOKUP(A82,ID_Lookup!A:A,1,FALSE)</f>
        <v>#N/A</v>
      </c>
    </row>
    <row r="83" spans="1:8" hidden="1" x14ac:dyDescent="0.35">
      <c r="A83" t="s">
        <v>565</v>
      </c>
      <c r="B83">
        <v>2019</v>
      </c>
      <c r="C83" t="s">
        <v>566</v>
      </c>
      <c r="D83" t="s">
        <v>567</v>
      </c>
      <c r="E83" t="s">
        <v>112</v>
      </c>
      <c r="F83" t="s">
        <v>200</v>
      </c>
      <c r="G83" t="b">
        <f t="shared" si="1"/>
        <v>1</v>
      </c>
      <c r="H83" t="e">
        <f>VLOOKUP(A83,ID_Lookup!A:A,1,FALSE)</f>
        <v>#N/A</v>
      </c>
    </row>
    <row r="84" spans="1:8" hidden="1" x14ac:dyDescent="0.35">
      <c r="A84" t="s">
        <v>568</v>
      </c>
      <c r="B84">
        <v>2019</v>
      </c>
      <c r="C84" t="s">
        <v>569</v>
      </c>
      <c r="D84" t="s">
        <v>570</v>
      </c>
      <c r="E84" t="s">
        <v>173</v>
      </c>
      <c r="F84" t="s">
        <v>205</v>
      </c>
      <c r="G84" t="b">
        <f t="shared" si="1"/>
        <v>0</v>
      </c>
      <c r="H84" t="e">
        <f>VLOOKUP(A84,ID_Lookup!A:A,1,FALSE)</f>
        <v>#N/A</v>
      </c>
    </row>
    <row r="85" spans="1:8" x14ac:dyDescent="0.35">
      <c r="A85" t="s">
        <v>282</v>
      </c>
      <c r="B85">
        <v>2019</v>
      </c>
      <c r="C85" t="s">
        <v>283</v>
      </c>
      <c r="D85" t="s">
        <v>571</v>
      </c>
      <c r="E85" t="s">
        <v>112</v>
      </c>
      <c r="F85" t="s">
        <v>200</v>
      </c>
      <c r="G85" t="b">
        <f t="shared" si="1"/>
        <v>1</v>
      </c>
      <c r="H85" t="str">
        <f>VLOOKUP(A85,ID_Lookup!A:A,1,FALSE)</f>
        <v>J583</v>
      </c>
    </row>
    <row r="86" spans="1:8" hidden="1" x14ac:dyDescent="0.35">
      <c r="A86" t="s">
        <v>572</v>
      </c>
      <c r="B86">
        <v>2019</v>
      </c>
      <c r="C86" t="s">
        <v>573</v>
      </c>
      <c r="D86" t="s">
        <v>574</v>
      </c>
      <c r="E86" t="s">
        <v>112</v>
      </c>
      <c r="F86" t="s">
        <v>811</v>
      </c>
      <c r="G86" t="b">
        <f t="shared" si="1"/>
        <v>1</v>
      </c>
      <c r="H86" t="e">
        <f>VLOOKUP(A86,ID_Lookup!A:A,1,FALSE)</f>
        <v>#N/A</v>
      </c>
    </row>
    <row r="87" spans="1:8" hidden="1" x14ac:dyDescent="0.35">
      <c r="A87" t="s">
        <v>575</v>
      </c>
      <c r="B87">
        <v>2019</v>
      </c>
      <c r="C87" t="s">
        <v>576</v>
      </c>
      <c r="D87" t="s">
        <v>577</v>
      </c>
      <c r="E87" t="s">
        <v>112</v>
      </c>
      <c r="F87" t="s">
        <v>200</v>
      </c>
      <c r="G87" t="b">
        <f t="shared" si="1"/>
        <v>1</v>
      </c>
      <c r="H87" t="e">
        <f>VLOOKUP(A87,ID_Lookup!A:A,1,FALSE)</f>
        <v>#N/A</v>
      </c>
    </row>
    <row r="88" spans="1:8" x14ac:dyDescent="0.35">
      <c r="A88" t="s">
        <v>287</v>
      </c>
      <c r="B88">
        <v>2019</v>
      </c>
      <c r="C88" t="s">
        <v>288</v>
      </c>
      <c r="D88" t="s">
        <v>578</v>
      </c>
      <c r="E88" t="s">
        <v>173</v>
      </c>
      <c r="F88" t="s">
        <v>205</v>
      </c>
      <c r="G88" t="b">
        <f t="shared" si="1"/>
        <v>0</v>
      </c>
      <c r="H88" t="str">
        <f>VLOOKUP(A88,ID_Lookup!A:A,1,FALSE)</f>
        <v>J586</v>
      </c>
    </row>
    <row r="89" spans="1:8" ht="409.5" hidden="1" x14ac:dyDescent="0.35">
      <c r="A89" t="s">
        <v>579</v>
      </c>
      <c r="B89">
        <v>2019</v>
      </c>
      <c r="C89" t="s">
        <v>580</v>
      </c>
      <c r="D89" s="1" t="s">
        <v>581</v>
      </c>
      <c r="E89" t="s">
        <v>112</v>
      </c>
      <c r="F89" t="s">
        <v>208</v>
      </c>
      <c r="G89" t="b">
        <f t="shared" si="1"/>
        <v>1</v>
      </c>
      <c r="H89" t="e">
        <f>VLOOKUP(A89,ID_Lookup!A:A,1,FALSE)</f>
        <v>#N/A</v>
      </c>
    </row>
    <row r="90" spans="1:8" ht="409.5" hidden="1" x14ac:dyDescent="0.35">
      <c r="A90" t="s">
        <v>582</v>
      </c>
      <c r="B90">
        <v>2019</v>
      </c>
      <c r="C90" t="s">
        <v>583</v>
      </c>
      <c r="D90" s="1" t="s">
        <v>584</v>
      </c>
      <c r="E90" t="s">
        <v>173</v>
      </c>
      <c r="F90" t="s">
        <v>205</v>
      </c>
      <c r="G90" t="b">
        <f t="shared" si="1"/>
        <v>0</v>
      </c>
      <c r="H90" t="e">
        <f>VLOOKUP(A90,ID_Lookup!A:A,1,FALSE)</f>
        <v>#N/A</v>
      </c>
    </row>
    <row r="91" spans="1:8" hidden="1" x14ac:dyDescent="0.35">
      <c r="A91" t="s">
        <v>585</v>
      </c>
      <c r="B91">
        <v>2019</v>
      </c>
      <c r="C91" t="s">
        <v>586</v>
      </c>
      <c r="D91" t="s">
        <v>587</v>
      </c>
      <c r="E91" t="s">
        <v>173</v>
      </c>
      <c r="F91" t="s">
        <v>205</v>
      </c>
      <c r="G91" t="b">
        <f t="shared" si="1"/>
        <v>0</v>
      </c>
      <c r="H91" t="e">
        <f>VLOOKUP(A91,ID_Lookup!A:A,1,FALSE)</f>
        <v>#N/A</v>
      </c>
    </row>
    <row r="92" spans="1:8" x14ac:dyDescent="0.35">
      <c r="A92" t="s">
        <v>290</v>
      </c>
      <c r="B92">
        <v>2019</v>
      </c>
      <c r="C92" t="s">
        <v>291</v>
      </c>
      <c r="D92" t="s">
        <v>588</v>
      </c>
      <c r="E92" t="s">
        <v>112</v>
      </c>
      <c r="F92" t="s">
        <v>200</v>
      </c>
      <c r="G92" t="b">
        <f t="shared" si="1"/>
        <v>1</v>
      </c>
      <c r="H92" t="str">
        <f>VLOOKUP(A92,ID_Lookup!A:A,1,FALSE)</f>
        <v>J590</v>
      </c>
    </row>
    <row r="93" spans="1:8" hidden="1" x14ac:dyDescent="0.35">
      <c r="A93" t="s">
        <v>589</v>
      </c>
      <c r="B93">
        <v>2019</v>
      </c>
      <c r="C93" t="s">
        <v>590</v>
      </c>
      <c r="D93" t="s">
        <v>591</v>
      </c>
      <c r="E93" t="s">
        <v>173</v>
      </c>
      <c r="F93" t="s">
        <v>205</v>
      </c>
      <c r="G93" t="b">
        <f t="shared" si="1"/>
        <v>0</v>
      </c>
      <c r="H93" t="e">
        <f>VLOOKUP(A93,ID_Lookup!A:A,1,FALSE)</f>
        <v>#N/A</v>
      </c>
    </row>
    <row r="94" spans="1:8" hidden="1" x14ac:dyDescent="0.35">
      <c r="A94" t="s">
        <v>592</v>
      </c>
      <c r="B94">
        <v>2019</v>
      </c>
      <c r="C94" t="s">
        <v>593</v>
      </c>
      <c r="D94" t="s">
        <v>594</v>
      </c>
      <c r="E94" t="s">
        <v>112</v>
      </c>
      <c r="F94" t="s">
        <v>208</v>
      </c>
      <c r="G94" t="b">
        <f t="shared" si="1"/>
        <v>1</v>
      </c>
      <c r="H94" t="e">
        <f>VLOOKUP(A94,ID_Lookup!A:A,1,FALSE)</f>
        <v>#N/A</v>
      </c>
    </row>
    <row r="95" spans="1:8" hidden="1" x14ac:dyDescent="0.35">
      <c r="A95" t="s">
        <v>595</v>
      </c>
      <c r="B95">
        <v>2019</v>
      </c>
      <c r="C95" t="s">
        <v>596</v>
      </c>
      <c r="D95" t="s">
        <v>597</v>
      </c>
      <c r="E95" t="s">
        <v>173</v>
      </c>
      <c r="F95" t="s">
        <v>205</v>
      </c>
      <c r="G95" t="b">
        <f t="shared" si="1"/>
        <v>0</v>
      </c>
      <c r="H95" t="e">
        <f>VLOOKUP(A95,ID_Lookup!A:A,1,FALSE)</f>
        <v>#N/A</v>
      </c>
    </row>
    <row r="96" spans="1:8" x14ac:dyDescent="0.35">
      <c r="A96" t="s">
        <v>294</v>
      </c>
      <c r="B96">
        <v>2019</v>
      </c>
      <c r="C96" t="s">
        <v>295</v>
      </c>
      <c r="D96" t="s">
        <v>296</v>
      </c>
      <c r="E96" t="s">
        <v>173</v>
      </c>
      <c r="F96" t="s">
        <v>205</v>
      </c>
      <c r="G96" t="b">
        <f t="shared" si="1"/>
        <v>0</v>
      </c>
      <c r="H96" t="str">
        <f>VLOOKUP(A96,ID_Lookup!A:A,1,FALSE)</f>
        <v>J594</v>
      </c>
    </row>
    <row r="97" spans="1:8" x14ac:dyDescent="0.35">
      <c r="A97" t="s">
        <v>298</v>
      </c>
      <c r="B97">
        <v>2019</v>
      </c>
      <c r="C97" t="s">
        <v>299</v>
      </c>
      <c r="D97" t="s">
        <v>598</v>
      </c>
      <c r="E97" t="s">
        <v>173</v>
      </c>
      <c r="F97" t="s">
        <v>211</v>
      </c>
      <c r="G97" t="b">
        <f t="shared" si="1"/>
        <v>0</v>
      </c>
      <c r="H97" t="str">
        <f>VLOOKUP(A97,ID_Lookup!A:A,1,FALSE)</f>
        <v>J595</v>
      </c>
    </row>
    <row r="98" spans="1:8" hidden="1" x14ac:dyDescent="0.35">
      <c r="A98" t="s">
        <v>599</v>
      </c>
      <c r="B98">
        <v>2019</v>
      </c>
      <c r="C98" t="s">
        <v>600</v>
      </c>
      <c r="D98" t="s">
        <v>601</v>
      </c>
      <c r="E98" t="s">
        <v>173</v>
      </c>
      <c r="F98" t="s">
        <v>205</v>
      </c>
      <c r="G98" t="b">
        <f t="shared" si="1"/>
        <v>0</v>
      </c>
      <c r="H98" t="e">
        <f>VLOOKUP(A98,ID_Lookup!A:A,1,FALSE)</f>
        <v>#N/A</v>
      </c>
    </row>
    <row r="99" spans="1:8" hidden="1" x14ac:dyDescent="0.35">
      <c r="A99" t="s">
        <v>602</v>
      </c>
      <c r="B99">
        <v>2019</v>
      </c>
      <c r="C99" t="s">
        <v>603</v>
      </c>
      <c r="D99" t="s">
        <v>604</v>
      </c>
      <c r="E99" t="s">
        <v>173</v>
      </c>
      <c r="F99" t="s">
        <v>205</v>
      </c>
      <c r="G99" t="b">
        <f t="shared" si="1"/>
        <v>0</v>
      </c>
      <c r="H99" t="e">
        <f>VLOOKUP(A99,ID_Lookup!A:A,1,FALSE)</f>
        <v>#N/A</v>
      </c>
    </row>
    <row r="100" spans="1:8" x14ac:dyDescent="0.35">
      <c r="A100" t="s">
        <v>302</v>
      </c>
      <c r="B100">
        <v>2019</v>
      </c>
      <c r="C100" t="s">
        <v>303</v>
      </c>
      <c r="D100" t="s">
        <v>605</v>
      </c>
      <c r="E100" t="s">
        <v>112</v>
      </c>
      <c r="F100" t="s">
        <v>206</v>
      </c>
      <c r="G100" t="b">
        <f t="shared" si="1"/>
        <v>1</v>
      </c>
      <c r="H100" t="str">
        <f>VLOOKUP(A100,ID_Lookup!A:A,1,FALSE)</f>
        <v>J598</v>
      </c>
    </row>
    <row r="101" spans="1:8" x14ac:dyDescent="0.35">
      <c r="A101" t="s">
        <v>306</v>
      </c>
      <c r="B101">
        <v>2019</v>
      </c>
      <c r="C101" t="s">
        <v>307</v>
      </c>
      <c r="D101" t="s">
        <v>606</v>
      </c>
      <c r="E101" t="s">
        <v>112</v>
      </c>
      <c r="F101" t="s">
        <v>200</v>
      </c>
      <c r="G101" t="b">
        <f t="shared" si="1"/>
        <v>1</v>
      </c>
      <c r="H101" t="str">
        <f>VLOOKUP(A101,ID_Lookup!A:A,1,FALSE)</f>
        <v>J599</v>
      </c>
    </row>
    <row r="102" spans="1:8" x14ac:dyDescent="0.35">
      <c r="A102" t="s">
        <v>310</v>
      </c>
      <c r="B102">
        <v>2021</v>
      </c>
      <c r="C102" t="s">
        <v>311</v>
      </c>
      <c r="D102" t="s">
        <v>607</v>
      </c>
      <c r="E102" t="s">
        <v>173</v>
      </c>
      <c r="F102" t="s">
        <v>205</v>
      </c>
      <c r="G102" t="b">
        <f t="shared" si="1"/>
        <v>0</v>
      </c>
      <c r="H102" t="str">
        <f>VLOOKUP(A102,ID_Lookup!A:A,1,FALSE)</f>
        <v>J2830</v>
      </c>
    </row>
    <row r="103" spans="1:8" hidden="1" x14ac:dyDescent="0.35">
      <c r="A103" t="s">
        <v>608</v>
      </c>
      <c r="B103">
        <v>2021</v>
      </c>
      <c r="C103" t="s">
        <v>609</v>
      </c>
      <c r="D103" t="s">
        <v>610</v>
      </c>
      <c r="E103" t="s">
        <v>173</v>
      </c>
      <c r="F103" t="s">
        <v>200</v>
      </c>
      <c r="G103" t="b">
        <f t="shared" si="1"/>
        <v>0</v>
      </c>
      <c r="H103" t="e">
        <f>VLOOKUP(A103,ID_Lookup!A:A,1,FALSE)</f>
        <v>#N/A</v>
      </c>
    </row>
    <row r="104" spans="1:8" hidden="1" x14ac:dyDescent="0.35">
      <c r="A104" t="s">
        <v>611</v>
      </c>
      <c r="B104">
        <v>2021</v>
      </c>
      <c r="C104" t="s">
        <v>612</v>
      </c>
      <c r="D104" t="s">
        <v>613</v>
      </c>
      <c r="E104" t="s">
        <v>112</v>
      </c>
      <c r="F104" t="s">
        <v>207</v>
      </c>
      <c r="G104" t="b">
        <f t="shared" si="1"/>
        <v>1</v>
      </c>
      <c r="H104" t="e">
        <f>VLOOKUP(A104,ID_Lookup!A:A,1,FALSE)</f>
        <v>#N/A</v>
      </c>
    </row>
    <row r="105" spans="1:8" x14ac:dyDescent="0.35">
      <c r="A105" t="s">
        <v>314</v>
      </c>
      <c r="B105">
        <v>2021</v>
      </c>
      <c r="C105" t="s">
        <v>614</v>
      </c>
      <c r="D105" t="s">
        <v>615</v>
      </c>
      <c r="E105" t="s">
        <v>112</v>
      </c>
      <c r="F105" t="s">
        <v>207</v>
      </c>
      <c r="G105" t="b">
        <f t="shared" si="1"/>
        <v>1</v>
      </c>
      <c r="H105" t="str">
        <f>VLOOKUP(A105,ID_Lookup!A:A,1,FALSE)</f>
        <v>J2833</v>
      </c>
    </row>
    <row r="106" spans="1:8" ht="409.5" hidden="1" x14ac:dyDescent="0.35">
      <c r="A106" t="s">
        <v>616</v>
      </c>
      <c r="B106">
        <v>2021</v>
      </c>
      <c r="C106" t="s">
        <v>617</v>
      </c>
      <c r="D106" s="1" t="s">
        <v>618</v>
      </c>
      <c r="E106" t="s">
        <v>112</v>
      </c>
      <c r="F106" t="s">
        <v>207</v>
      </c>
      <c r="G106" t="b">
        <f t="shared" si="1"/>
        <v>1</v>
      </c>
      <c r="H106" t="e">
        <f>VLOOKUP(A106,ID_Lookup!A:A,1,FALSE)</f>
        <v>#N/A</v>
      </c>
    </row>
    <row r="107" spans="1:8" x14ac:dyDescent="0.35">
      <c r="A107" t="s">
        <v>319</v>
      </c>
      <c r="B107">
        <v>2021</v>
      </c>
      <c r="C107" t="s">
        <v>619</v>
      </c>
      <c r="D107" t="s">
        <v>620</v>
      </c>
      <c r="E107" t="s">
        <v>173</v>
      </c>
      <c r="F107" t="s">
        <v>205</v>
      </c>
      <c r="G107" t="b">
        <f t="shared" si="1"/>
        <v>0</v>
      </c>
      <c r="H107" t="str">
        <f>VLOOKUP(A107,ID_Lookup!A:A,1,FALSE)</f>
        <v>J2835</v>
      </c>
    </row>
    <row r="108" spans="1:8" hidden="1" x14ac:dyDescent="0.35">
      <c r="A108" t="s">
        <v>621</v>
      </c>
      <c r="B108">
        <v>2021</v>
      </c>
      <c r="C108" t="s">
        <v>622</v>
      </c>
      <c r="D108" t="s">
        <v>623</v>
      </c>
      <c r="E108" t="s">
        <v>173</v>
      </c>
      <c r="F108" t="s">
        <v>205</v>
      </c>
      <c r="G108" t="b">
        <f t="shared" si="1"/>
        <v>0</v>
      </c>
      <c r="H108" t="e">
        <f>VLOOKUP(A108,ID_Lookup!A:A,1,FALSE)</f>
        <v>#N/A</v>
      </c>
    </row>
    <row r="109" spans="1:8" hidden="1" x14ac:dyDescent="0.35">
      <c r="A109" t="s">
        <v>624</v>
      </c>
      <c r="B109">
        <v>2021</v>
      </c>
      <c r="C109" t="s">
        <v>625</v>
      </c>
      <c r="D109" t="s">
        <v>626</v>
      </c>
      <c r="E109" t="s">
        <v>112</v>
      </c>
      <c r="F109" t="s">
        <v>200</v>
      </c>
      <c r="G109" t="b">
        <f t="shared" si="1"/>
        <v>1</v>
      </c>
      <c r="H109" t="e">
        <f>VLOOKUP(A109,ID_Lookup!A:A,1,FALSE)</f>
        <v>#N/A</v>
      </c>
    </row>
    <row r="110" spans="1:8" hidden="1" x14ac:dyDescent="0.35">
      <c r="A110" t="s">
        <v>627</v>
      </c>
      <c r="B110">
        <v>2021</v>
      </c>
      <c r="C110" t="s">
        <v>628</v>
      </c>
      <c r="D110" t="s">
        <v>629</v>
      </c>
      <c r="E110" t="s">
        <v>173</v>
      </c>
      <c r="F110" t="s">
        <v>205</v>
      </c>
      <c r="G110" t="b">
        <f t="shared" si="1"/>
        <v>0</v>
      </c>
      <c r="H110" t="e">
        <f>VLOOKUP(A110,ID_Lookup!A:A,1,FALSE)</f>
        <v>#N/A</v>
      </c>
    </row>
    <row r="111" spans="1:8" hidden="1" x14ac:dyDescent="0.35">
      <c r="A111" t="s">
        <v>630</v>
      </c>
      <c r="B111">
        <v>2021</v>
      </c>
      <c r="C111" t="s">
        <v>631</v>
      </c>
      <c r="D111" t="s">
        <v>632</v>
      </c>
      <c r="E111" t="s">
        <v>173</v>
      </c>
      <c r="F111" t="s">
        <v>205</v>
      </c>
      <c r="G111" t="b">
        <f t="shared" si="1"/>
        <v>0</v>
      </c>
      <c r="H111" t="e">
        <f>VLOOKUP(A111,ID_Lookup!A:A,1,FALSE)</f>
        <v>#N/A</v>
      </c>
    </row>
    <row r="112" spans="1:8" hidden="1" x14ac:dyDescent="0.35">
      <c r="A112" t="s">
        <v>633</v>
      </c>
      <c r="B112">
        <v>2021</v>
      </c>
      <c r="C112" t="s">
        <v>634</v>
      </c>
      <c r="D112" t="s">
        <v>635</v>
      </c>
      <c r="E112" t="s">
        <v>112</v>
      </c>
      <c r="F112" t="s">
        <v>812</v>
      </c>
      <c r="G112" t="b">
        <f t="shared" si="1"/>
        <v>1</v>
      </c>
      <c r="H112" t="e">
        <f>VLOOKUP(A112,ID_Lookup!A:A,1,FALSE)</f>
        <v>#N/A</v>
      </c>
    </row>
    <row r="113" spans="1:8" x14ac:dyDescent="0.35">
      <c r="A113" t="s">
        <v>323</v>
      </c>
      <c r="B113">
        <v>2021</v>
      </c>
      <c r="C113" t="s">
        <v>324</v>
      </c>
      <c r="D113" t="s">
        <v>636</v>
      </c>
      <c r="E113" t="s">
        <v>112</v>
      </c>
      <c r="F113" t="s">
        <v>812</v>
      </c>
      <c r="G113" t="b">
        <f t="shared" si="1"/>
        <v>1</v>
      </c>
      <c r="H113" t="str">
        <f>VLOOKUP(A113,ID_Lookup!A:A,1,FALSE)</f>
        <v>J2841</v>
      </c>
    </row>
    <row r="114" spans="1:8" x14ac:dyDescent="0.35">
      <c r="A114" t="s">
        <v>327</v>
      </c>
      <c r="B114">
        <v>2021</v>
      </c>
      <c r="C114" t="s">
        <v>328</v>
      </c>
      <c r="D114" t="s">
        <v>637</v>
      </c>
      <c r="E114" t="s">
        <v>112</v>
      </c>
      <c r="F114" t="s">
        <v>812</v>
      </c>
      <c r="G114" t="b">
        <f t="shared" si="1"/>
        <v>1</v>
      </c>
      <c r="H114" t="str">
        <f>VLOOKUP(A114,ID_Lookup!A:A,1,FALSE)</f>
        <v>J2842</v>
      </c>
    </row>
    <row r="115" spans="1:8" x14ac:dyDescent="0.35">
      <c r="A115" t="s">
        <v>331</v>
      </c>
      <c r="B115">
        <v>2021</v>
      </c>
      <c r="C115" t="s">
        <v>332</v>
      </c>
      <c r="D115" t="s">
        <v>638</v>
      </c>
      <c r="E115" t="s">
        <v>173</v>
      </c>
      <c r="F115" t="s">
        <v>205</v>
      </c>
      <c r="G115" t="b">
        <f t="shared" si="1"/>
        <v>0</v>
      </c>
      <c r="H115" t="str">
        <f>VLOOKUP(A115,ID_Lookup!A:A,1,FALSE)</f>
        <v>J2843</v>
      </c>
    </row>
    <row r="116" spans="1:8" x14ac:dyDescent="0.35">
      <c r="A116" t="s">
        <v>335</v>
      </c>
      <c r="B116">
        <v>2021</v>
      </c>
      <c r="C116" t="s">
        <v>336</v>
      </c>
      <c r="D116" t="s">
        <v>639</v>
      </c>
      <c r="E116" t="s">
        <v>173</v>
      </c>
      <c r="F116" t="s">
        <v>205</v>
      </c>
      <c r="G116" t="b">
        <f t="shared" si="1"/>
        <v>0</v>
      </c>
      <c r="H116" t="str">
        <f>VLOOKUP(A116,ID_Lookup!A:A,1,FALSE)</f>
        <v>J2844</v>
      </c>
    </row>
    <row r="117" spans="1:8" hidden="1" x14ac:dyDescent="0.35">
      <c r="A117" t="s">
        <v>640</v>
      </c>
      <c r="B117">
        <v>2021</v>
      </c>
      <c r="C117" t="s">
        <v>641</v>
      </c>
      <c r="D117" t="s">
        <v>642</v>
      </c>
      <c r="E117" t="s">
        <v>173</v>
      </c>
      <c r="F117" t="s">
        <v>205</v>
      </c>
      <c r="G117" t="b">
        <f t="shared" si="1"/>
        <v>0</v>
      </c>
      <c r="H117" t="e">
        <f>VLOOKUP(A117,ID_Lookup!A:A,1,FALSE)</f>
        <v>#N/A</v>
      </c>
    </row>
    <row r="118" spans="1:8" hidden="1" x14ac:dyDescent="0.35">
      <c r="A118" t="s">
        <v>643</v>
      </c>
      <c r="B118">
        <v>2021</v>
      </c>
      <c r="C118" t="s">
        <v>644</v>
      </c>
      <c r="D118" t="s">
        <v>645</v>
      </c>
      <c r="E118" t="s">
        <v>173</v>
      </c>
      <c r="F118" t="s">
        <v>205</v>
      </c>
      <c r="G118" t="b">
        <f t="shared" si="1"/>
        <v>0</v>
      </c>
      <c r="H118" t="e">
        <f>VLOOKUP(A118,ID_Lookup!A:A,1,FALSE)</f>
        <v>#N/A</v>
      </c>
    </row>
    <row r="119" spans="1:8" hidden="1" x14ac:dyDescent="0.35">
      <c r="A119" t="s">
        <v>646</v>
      </c>
      <c r="B119">
        <v>2021</v>
      </c>
      <c r="C119" t="s">
        <v>647</v>
      </c>
      <c r="D119" t="s">
        <v>648</v>
      </c>
      <c r="E119" t="s">
        <v>112</v>
      </c>
      <c r="F119" t="s">
        <v>207</v>
      </c>
      <c r="G119" t="b">
        <f t="shared" si="1"/>
        <v>1</v>
      </c>
      <c r="H119" t="e">
        <f>VLOOKUP(A119,ID_Lookup!A:A,1,FALSE)</f>
        <v>#N/A</v>
      </c>
    </row>
    <row r="120" spans="1:8" x14ac:dyDescent="0.35">
      <c r="A120" t="s">
        <v>339</v>
      </c>
      <c r="B120">
        <v>2021</v>
      </c>
      <c r="C120" t="s">
        <v>340</v>
      </c>
      <c r="D120" t="s">
        <v>649</v>
      </c>
      <c r="E120" t="s">
        <v>173</v>
      </c>
      <c r="F120" t="s">
        <v>205</v>
      </c>
      <c r="G120" t="b">
        <f t="shared" si="1"/>
        <v>0</v>
      </c>
      <c r="H120" t="str">
        <f>VLOOKUP(A120,ID_Lookup!A:A,1,FALSE)</f>
        <v>J2848</v>
      </c>
    </row>
    <row r="121" spans="1:8" x14ac:dyDescent="0.35">
      <c r="A121" t="s">
        <v>342</v>
      </c>
      <c r="B121">
        <v>2021</v>
      </c>
      <c r="C121" t="s">
        <v>343</v>
      </c>
      <c r="D121" t="s">
        <v>650</v>
      </c>
      <c r="E121" t="s">
        <v>173</v>
      </c>
      <c r="F121" t="s">
        <v>205</v>
      </c>
      <c r="G121" t="b">
        <f t="shared" si="1"/>
        <v>0</v>
      </c>
      <c r="H121" t="str">
        <f>VLOOKUP(A121,ID_Lookup!A:A,1,FALSE)</f>
        <v>J2849</v>
      </c>
    </row>
    <row r="122" spans="1:8" ht="409.5" x14ac:dyDescent="0.35">
      <c r="A122" t="s">
        <v>346</v>
      </c>
      <c r="B122">
        <v>2021</v>
      </c>
      <c r="C122" t="s">
        <v>347</v>
      </c>
      <c r="D122" s="1" t="s">
        <v>348</v>
      </c>
      <c r="E122" t="s">
        <v>173</v>
      </c>
      <c r="F122" t="s">
        <v>205</v>
      </c>
      <c r="G122" t="b">
        <f t="shared" si="1"/>
        <v>0</v>
      </c>
      <c r="H122" t="str">
        <f>VLOOKUP(A122,ID_Lookup!A:A,1,FALSE)</f>
        <v>J2850</v>
      </c>
    </row>
    <row r="123" spans="1:8" x14ac:dyDescent="0.35">
      <c r="A123" t="s">
        <v>350</v>
      </c>
      <c r="B123">
        <v>2021</v>
      </c>
      <c r="C123" t="s">
        <v>351</v>
      </c>
      <c r="D123" t="s">
        <v>352</v>
      </c>
      <c r="E123" t="s">
        <v>173</v>
      </c>
      <c r="F123" t="s">
        <v>205</v>
      </c>
      <c r="G123" t="b">
        <f t="shared" si="1"/>
        <v>0</v>
      </c>
      <c r="H123" t="str">
        <f>VLOOKUP(A123,ID_Lookup!A:A,1,FALSE)</f>
        <v>J2851</v>
      </c>
    </row>
    <row r="124" spans="1:8" x14ac:dyDescent="0.35">
      <c r="A124" s="6" t="s">
        <v>353</v>
      </c>
      <c r="B124" s="6">
        <v>2021</v>
      </c>
      <c r="C124" s="6" t="s">
        <v>354</v>
      </c>
      <c r="D124" s="6" t="s">
        <v>651</v>
      </c>
      <c r="E124" t="s">
        <v>173</v>
      </c>
      <c r="F124" t="s">
        <v>205</v>
      </c>
      <c r="G124" t="b">
        <f t="shared" si="1"/>
        <v>0</v>
      </c>
      <c r="H124" t="str">
        <f>VLOOKUP(A124,ID_Lookup!A:A,1,FALSE)</f>
        <v>J2852</v>
      </c>
    </row>
    <row r="125" spans="1:8" x14ac:dyDescent="0.35">
      <c r="A125" t="s">
        <v>357</v>
      </c>
      <c r="B125">
        <v>2021</v>
      </c>
      <c r="C125" t="s">
        <v>358</v>
      </c>
      <c r="D125" t="s">
        <v>652</v>
      </c>
      <c r="E125" t="s">
        <v>173</v>
      </c>
      <c r="F125" t="s">
        <v>205</v>
      </c>
      <c r="G125" t="b">
        <f t="shared" si="1"/>
        <v>0</v>
      </c>
      <c r="H125" t="str">
        <f>VLOOKUP(A125,ID_Lookup!A:A,1,FALSE)</f>
        <v>J2853</v>
      </c>
    </row>
    <row r="126" spans="1:8" hidden="1" x14ac:dyDescent="0.35">
      <c r="A126" t="s">
        <v>653</v>
      </c>
      <c r="B126">
        <v>2021</v>
      </c>
      <c r="C126" t="s">
        <v>654</v>
      </c>
      <c r="D126" t="s">
        <v>655</v>
      </c>
      <c r="E126" t="s">
        <v>173</v>
      </c>
      <c r="F126" t="s">
        <v>205</v>
      </c>
      <c r="G126" t="b">
        <f t="shared" si="1"/>
        <v>0</v>
      </c>
      <c r="H126" t="e">
        <f>VLOOKUP(A126,ID_Lookup!A:A,1,FALSE)</f>
        <v>#N/A</v>
      </c>
    </row>
    <row r="127" spans="1:8" x14ac:dyDescent="0.35">
      <c r="A127" t="s">
        <v>361</v>
      </c>
      <c r="B127">
        <v>2021</v>
      </c>
      <c r="C127" t="s">
        <v>362</v>
      </c>
      <c r="D127" t="s">
        <v>656</v>
      </c>
      <c r="E127" t="s">
        <v>173</v>
      </c>
      <c r="F127" t="s">
        <v>205</v>
      </c>
      <c r="G127" t="b">
        <f t="shared" si="1"/>
        <v>0</v>
      </c>
      <c r="H127" t="str">
        <f>VLOOKUP(A127,ID_Lookup!A:A,1,FALSE)</f>
        <v>J2855</v>
      </c>
    </row>
    <row r="128" spans="1:8" x14ac:dyDescent="0.35">
      <c r="A128" t="s">
        <v>365</v>
      </c>
      <c r="B128">
        <v>2021</v>
      </c>
      <c r="C128" t="s">
        <v>366</v>
      </c>
      <c r="D128" t="s">
        <v>367</v>
      </c>
      <c r="E128" t="s">
        <v>112</v>
      </c>
      <c r="F128" t="s">
        <v>813</v>
      </c>
      <c r="G128" t="b">
        <f t="shared" si="1"/>
        <v>1</v>
      </c>
      <c r="H128" t="str">
        <f>VLOOKUP(A128,ID_Lookup!A:A,1,FALSE)</f>
        <v>J2856</v>
      </c>
    </row>
    <row r="129" spans="1:8" x14ac:dyDescent="0.35">
      <c r="A129" t="s">
        <v>369</v>
      </c>
      <c r="B129">
        <v>2021</v>
      </c>
      <c r="C129" t="s">
        <v>657</v>
      </c>
      <c r="D129" t="s">
        <v>658</v>
      </c>
      <c r="E129" t="s">
        <v>112</v>
      </c>
      <c r="F129" t="s">
        <v>200</v>
      </c>
      <c r="G129" t="b">
        <f t="shared" si="1"/>
        <v>1</v>
      </c>
      <c r="H129" t="str">
        <f>VLOOKUP(A129,ID_Lookup!A:A,1,FALSE)</f>
        <v>J2857</v>
      </c>
    </row>
    <row r="130" spans="1:8" x14ac:dyDescent="0.35">
      <c r="A130" t="s">
        <v>372</v>
      </c>
      <c r="B130">
        <v>2021</v>
      </c>
      <c r="C130" t="s">
        <v>659</v>
      </c>
      <c r="D130" t="s">
        <v>660</v>
      </c>
      <c r="E130" t="s">
        <v>112</v>
      </c>
      <c r="F130" t="s">
        <v>200</v>
      </c>
      <c r="G130" t="b">
        <f t="shared" si="1"/>
        <v>1</v>
      </c>
      <c r="H130" t="str">
        <f>VLOOKUP(A130,ID_Lookup!A:A,1,FALSE)</f>
        <v>J2858</v>
      </c>
    </row>
    <row r="131" spans="1:8" hidden="1" x14ac:dyDescent="0.35">
      <c r="A131" t="s">
        <v>661</v>
      </c>
      <c r="B131">
        <v>2021</v>
      </c>
      <c r="C131" t="s">
        <v>662</v>
      </c>
      <c r="D131" t="s">
        <v>663</v>
      </c>
      <c r="E131" t="s">
        <v>112</v>
      </c>
      <c r="F131" t="s">
        <v>207</v>
      </c>
      <c r="G131" t="b">
        <f t="shared" ref="G131:G194" si="2">IF(E131="Include", TRUE, FALSE)</f>
        <v>1</v>
      </c>
      <c r="H131" t="e">
        <f>VLOOKUP(A131,ID_Lookup!A:A,1,FALSE)</f>
        <v>#N/A</v>
      </c>
    </row>
    <row r="132" spans="1:8" hidden="1" x14ac:dyDescent="0.35">
      <c r="A132" t="s">
        <v>664</v>
      </c>
      <c r="B132">
        <v>2021</v>
      </c>
      <c r="C132" t="s">
        <v>665</v>
      </c>
      <c r="D132" t="s">
        <v>666</v>
      </c>
      <c r="E132" t="s">
        <v>112</v>
      </c>
      <c r="F132" t="s">
        <v>207</v>
      </c>
      <c r="G132" t="b">
        <f t="shared" si="2"/>
        <v>1</v>
      </c>
      <c r="H132" t="e">
        <f>VLOOKUP(A132,ID_Lookup!A:A,1,FALSE)</f>
        <v>#N/A</v>
      </c>
    </row>
    <row r="133" spans="1:8" x14ac:dyDescent="0.35">
      <c r="A133" t="s">
        <v>376</v>
      </c>
      <c r="B133">
        <v>2021</v>
      </c>
      <c r="C133" t="s">
        <v>377</v>
      </c>
      <c r="D133" t="s">
        <v>667</v>
      </c>
      <c r="E133" t="s">
        <v>112</v>
      </c>
      <c r="F133" t="s">
        <v>206</v>
      </c>
      <c r="G133" t="b">
        <f t="shared" si="2"/>
        <v>1</v>
      </c>
      <c r="H133" t="str">
        <f>VLOOKUP(A133,ID_Lookup!A:A,1,FALSE)</f>
        <v>J2861</v>
      </c>
    </row>
    <row r="134" spans="1:8" hidden="1" x14ac:dyDescent="0.35">
      <c r="A134" t="s">
        <v>668</v>
      </c>
      <c r="B134">
        <v>2021</v>
      </c>
      <c r="C134" t="s">
        <v>669</v>
      </c>
      <c r="D134" t="s">
        <v>670</v>
      </c>
      <c r="E134" t="s">
        <v>112</v>
      </c>
      <c r="F134" t="s">
        <v>200</v>
      </c>
      <c r="G134" t="b">
        <f t="shared" si="2"/>
        <v>1</v>
      </c>
      <c r="H134" t="e">
        <f>VLOOKUP(A134,ID_Lookup!A:A,1,FALSE)</f>
        <v>#N/A</v>
      </c>
    </row>
    <row r="135" spans="1:8" ht="409.5" x14ac:dyDescent="0.35">
      <c r="A135" t="s">
        <v>380</v>
      </c>
      <c r="B135">
        <v>2021</v>
      </c>
      <c r="C135" t="s">
        <v>381</v>
      </c>
      <c r="D135" s="1" t="s">
        <v>382</v>
      </c>
      <c r="E135" t="s">
        <v>173</v>
      </c>
      <c r="F135" t="s">
        <v>205</v>
      </c>
      <c r="G135" t="b">
        <f t="shared" si="2"/>
        <v>0</v>
      </c>
      <c r="H135" t="str">
        <f>VLOOKUP(A135,ID_Lookup!A:A,1,FALSE)</f>
        <v>J2863</v>
      </c>
    </row>
    <row r="136" spans="1:8" hidden="1" x14ac:dyDescent="0.35">
      <c r="A136" t="s">
        <v>671</v>
      </c>
      <c r="B136">
        <v>2021</v>
      </c>
      <c r="C136" t="s">
        <v>672</v>
      </c>
      <c r="D136" t="s">
        <v>673</v>
      </c>
      <c r="E136" t="s">
        <v>112</v>
      </c>
      <c r="F136" t="s">
        <v>207</v>
      </c>
      <c r="G136" t="b">
        <f t="shared" si="2"/>
        <v>1</v>
      </c>
      <c r="H136" t="e">
        <f>VLOOKUP(A136,ID_Lookup!A:A,1,FALSE)</f>
        <v>#N/A</v>
      </c>
    </row>
    <row r="137" spans="1:8" x14ac:dyDescent="0.35">
      <c r="A137" t="s">
        <v>384</v>
      </c>
      <c r="B137">
        <v>2021</v>
      </c>
      <c r="C137" t="s">
        <v>674</v>
      </c>
      <c r="D137" t="s">
        <v>675</v>
      </c>
      <c r="E137" t="s">
        <v>173</v>
      </c>
      <c r="F137" t="s">
        <v>205</v>
      </c>
      <c r="G137" t="b">
        <f t="shared" si="2"/>
        <v>0</v>
      </c>
      <c r="H137" t="str">
        <f>VLOOKUP(A137,ID_Lookup!A:A,1,FALSE)</f>
        <v>J2865</v>
      </c>
    </row>
    <row r="138" spans="1:8" hidden="1" x14ac:dyDescent="0.35">
      <c r="A138" t="s">
        <v>676</v>
      </c>
      <c r="B138">
        <v>2021</v>
      </c>
      <c r="C138" t="s">
        <v>677</v>
      </c>
      <c r="D138" t="s">
        <v>678</v>
      </c>
      <c r="E138" t="s">
        <v>173</v>
      </c>
      <c r="F138" t="s">
        <v>205</v>
      </c>
      <c r="G138" t="b">
        <f t="shared" si="2"/>
        <v>0</v>
      </c>
      <c r="H138" t="e">
        <f>VLOOKUP(A138,ID_Lookup!A:A,1,FALSE)</f>
        <v>#N/A</v>
      </c>
    </row>
    <row r="139" spans="1:8" hidden="1" x14ac:dyDescent="0.35">
      <c r="A139" t="s">
        <v>679</v>
      </c>
      <c r="B139">
        <v>2021</v>
      </c>
      <c r="C139" t="s">
        <v>680</v>
      </c>
      <c r="D139" t="s">
        <v>681</v>
      </c>
      <c r="E139" t="s">
        <v>173</v>
      </c>
      <c r="F139" t="s">
        <v>205</v>
      </c>
      <c r="G139" t="b">
        <f t="shared" si="2"/>
        <v>0</v>
      </c>
      <c r="H139" t="e">
        <f>VLOOKUP(A139,ID_Lookup!A:A,1,FALSE)</f>
        <v>#N/A</v>
      </c>
    </row>
    <row r="140" spans="1:8" hidden="1" x14ac:dyDescent="0.35">
      <c r="A140" t="s">
        <v>682</v>
      </c>
      <c r="B140">
        <v>2021</v>
      </c>
      <c r="C140" t="s">
        <v>683</v>
      </c>
      <c r="D140" t="s">
        <v>684</v>
      </c>
      <c r="E140" t="s">
        <v>112</v>
      </c>
      <c r="F140" t="s">
        <v>207</v>
      </c>
      <c r="G140" t="b">
        <f t="shared" si="2"/>
        <v>1</v>
      </c>
      <c r="H140" t="e">
        <f>VLOOKUP(A140,ID_Lookup!A:A,1,FALSE)</f>
        <v>#N/A</v>
      </c>
    </row>
    <row r="141" spans="1:8" x14ac:dyDescent="0.35">
      <c r="A141" t="s">
        <v>388</v>
      </c>
      <c r="B141">
        <v>2021</v>
      </c>
      <c r="C141" t="s">
        <v>389</v>
      </c>
      <c r="D141" t="s">
        <v>390</v>
      </c>
      <c r="E141" t="s">
        <v>112</v>
      </c>
      <c r="F141" t="s">
        <v>208</v>
      </c>
      <c r="G141" t="b">
        <f t="shared" si="2"/>
        <v>1</v>
      </c>
      <c r="H141" t="str">
        <f>VLOOKUP(A141,ID_Lookup!A:A,1,FALSE)</f>
        <v>J2869</v>
      </c>
    </row>
    <row r="142" spans="1:8" x14ac:dyDescent="0.35">
      <c r="A142" t="s">
        <v>392</v>
      </c>
      <c r="B142">
        <v>2021</v>
      </c>
      <c r="C142" t="s">
        <v>393</v>
      </c>
      <c r="D142" t="s">
        <v>685</v>
      </c>
      <c r="E142" t="s">
        <v>173</v>
      </c>
      <c r="F142" t="s">
        <v>205</v>
      </c>
      <c r="G142" t="b">
        <f t="shared" si="2"/>
        <v>0</v>
      </c>
      <c r="H142" t="str">
        <f>VLOOKUP(A142,ID_Lookup!A:A,1,FALSE)</f>
        <v>J2870</v>
      </c>
    </row>
    <row r="143" spans="1:8" x14ac:dyDescent="0.35">
      <c r="A143" t="s">
        <v>396</v>
      </c>
      <c r="B143">
        <v>2021</v>
      </c>
      <c r="C143" t="s">
        <v>397</v>
      </c>
      <c r="D143" t="s">
        <v>398</v>
      </c>
      <c r="E143" t="s">
        <v>173</v>
      </c>
      <c r="F143" t="s">
        <v>205</v>
      </c>
      <c r="G143" t="b">
        <f t="shared" si="2"/>
        <v>0</v>
      </c>
      <c r="H143" t="str">
        <f>VLOOKUP(A143,ID_Lookup!A:A,1,FALSE)</f>
        <v>J2871</v>
      </c>
    </row>
    <row r="144" spans="1:8" hidden="1" x14ac:dyDescent="0.35">
      <c r="A144" t="s">
        <v>686</v>
      </c>
      <c r="B144">
        <v>2021</v>
      </c>
      <c r="C144" t="s">
        <v>687</v>
      </c>
      <c r="D144" t="s">
        <v>688</v>
      </c>
      <c r="E144" t="s">
        <v>112</v>
      </c>
      <c r="F144" t="s">
        <v>200</v>
      </c>
      <c r="G144" t="b">
        <f t="shared" si="2"/>
        <v>1</v>
      </c>
      <c r="H144" t="e">
        <f>VLOOKUP(A144,ID_Lookup!A:A,1,FALSE)</f>
        <v>#N/A</v>
      </c>
    </row>
    <row r="145" spans="1:8" hidden="1" x14ac:dyDescent="0.35">
      <c r="A145" t="s">
        <v>689</v>
      </c>
      <c r="B145">
        <v>2021</v>
      </c>
      <c r="C145" t="s">
        <v>690</v>
      </c>
      <c r="D145" t="s">
        <v>691</v>
      </c>
      <c r="E145" t="s">
        <v>173</v>
      </c>
      <c r="F145" t="s">
        <v>205</v>
      </c>
      <c r="G145" t="b">
        <f t="shared" si="2"/>
        <v>0</v>
      </c>
      <c r="H145" t="e">
        <f>VLOOKUP(A145,ID_Lookup!A:A,1,FALSE)</f>
        <v>#N/A</v>
      </c>
    </row>
    <row r="146" spans="1:8" hidden="1" x14ac:dyDescent="0.35">
      <c r="A146" t="s">
        <v>692</v>
      </c>
      <c r="B146">
        <v>2021</v>
      </c>
      <c r="C146" t="s">
        <v>693</v>
      </c>
      <c r="D146" t="s">
        <v>694</v>
      </c>
      <c r="E146" t="s">
        <v>173</v>
      </c>
      <c r="F146" t="s">
        <v>205</v>
      </c>
      <c r="G146" t="b">
        <f t="shared" si="2"/>
        <v>0</v>
      </c>
      <c r="H146" t="e">
        <f>VLOOKUP(A146,ID_Lookup!A:A,1,FALSE)</f>
        <v>#N/A</v>
      </c>
    </row>
    <row r="147" spans="1:8" hidden="1" x14ac:dyDescent="0.35">
      <c r="A147" t="s">
        <v>695</v>
      </c>
      <c r="B147">
        <v>2021</v>
      </c>
      <c r="C147" t="s">
        <v>696</v>
      </c>
      <c r="D147" t="s">
        <v>697</v>
      </c>
      <c r="E147" t="s">
        <v>112</v>
      </c>
      <c r="F147" t="s">
        <v>200</v>
      </c>
      <c r="G147" t="b">
        <f t="shared" si="2"/>
        <v>1</v>
      </c>
      <c r="H147" t="e">
        <f>VLOOKUP(A147,ID_Lookup!A:A,1,FALSE)</f>
        <v>#N/A</v>
      </c>
    </row>
    <row r="148" spans="1:8" x14ac:dyDescent="0.35">
      <c r="A148" t="s">
        <v>400</v>
      </c>
      <c r="B148">
        <v>2021</v>
      </c>
      <c r="C148" t="s">
        <v>401</v>
      </c>
      <c r="D148" t="s">
        <v>698</v>
      </c>
      <c r="E148" t="s">
        <v>112</v>
      </c>
      <c r="F148" t="s">
        <v>200</v>
      </c>
      <c r="G148" t="b">
        <f t="shared" si="2"/>
        <v>1</v>
      </c>
      <c r="H148" t="str">
        <f>VLOOKUP(A148,ID_Lookup!A:A,1,FALSE)</f>
        <v>J2876</v>
      </c>
    </row>
    <row r="149" spans="1:8" hidden="1" x14ac:dyDescent="0.35">
      <c r="A149" t="s">
        <v>699</v>
      </c>
      <c r="B149">
        <v>2021</v>
      </c>
      <c r="C149" t="s">
        <v>700</v>
      </c>
      <c r="D149" t="s">
        <v>701</v>
      </c>
      <c r="E149" t="s">
        <v>173</v>
      </c>
      <c r="F149" t="s">
        <v>205</v>
      </c>
      <c r="G149" t="b">
        <f t="shared" si="2"/>
        <v>0</v>
      </c>
      <c r="H149" t="e">
        <f>VLOOKUP(A149,ID_Lookup!A:A,1,FALSE)</f>
        <v>#N/A</v>
      </c>
    </row>
    <row r="150" spans="1:8" x14ac:dyDescent="0.35">
      <c r="A150" t="s">
        <v>404</v>
      </c>
      <c r="B150">
        <v>2021</v>
      </c>
      <c r="C150" t="s">
        <v>702</v>
      </c>
      <c r="D150" t="s">
        <v>703</v>
      </c>
      <c r="E150" t="s">
        <v>112</v>
      </c>
      <c r="F150" t="s">
        <v>207</v>
      </c>
      <c r="G150" t="b">
        <f t="shared" si="2"/>
        <v>1</v>
      </c>
      <c r="H150" t="str">
        <f>VLOOKUP(A150,ID_Lookup!A:A,1,FALSE)</f>
        <v>J2878</v>
      </c>
    </row>
    <row r="151" spans="1:8" x14ac:dyDescent="0.35">
      <c r="A151" t="s">
        <v>408</v>
      </c>
      <c r="B151">
        <v>2021</v>
      </c>
      <c r="C151" t="s">
        <v>409</v>
      </c>
      <c r="D151" t="s">
        <v>410</v>
      </c>
      <c r="E151" t="s">
        <v>173</v>
      </c>
      <c r="F151" t="s">
        <v>205</v>
      </c>
      <c r="G151" t="b">
        <f t="shared" si="2"/>
        <v>0</v>
      </c>
      <c r="H151" t="str">
        <f>VLOOKUP(A151,ID_Lookup!A:A,1,FALSE)</f>
        <v>J2879</v>
      </c>
    </row>
    <row r="152" spans="1:8" hidden="1" x14ac:dyDescent="0.35">
      <c r="A152" t="s">
        <v>704</v>
      </c>
      <c r="B152">
        <v>2021</v>
      </c>
      <c r="C152" t="s">
        <v>705</v>
      </c>
      <c r="D152" t="s">
        <v>691</v>
      </c>
      <c r="E152" t="s">
        <v>173</v>
      </c>
      <c r="F152" t="s">
        <v>814</v>
      </c>
      <c r="G152" t="b">
        <f t="shared" si="2"/>
        <v>0</v>
      </c>
      <c r="H152" t="e">
        <f>VLOOKUP(A152,ID_Lookup!A:A,1,FALSE)</f>
        <v>#N/A</v>
      </c>
    </row>
    <row r="153" spans="1:8" x14ac:dyDescent="0.35">
      <c r="A153" t="s">
        <v>412</v>
      </c>
      <c r="B153">
        <v>2021</v>
      </c>
      <c r="C153" t="s">
        <v>413</v>
      </c>
      <c r="D153" t="s">
        <v>706</v>
      </c>
      <c r="E153" t="s">
        <v>112</v>
      </c>
      <c r="F153" t="s">
        <v>208</v>
      </c>
      <c r="G153" t="b">
        <f t="shared" si="2"/>
        <v>1</v>
      </c>
      <c r="H153" t="str">
        <f>VLOOKUP(A153,ID_Lookup!A:A,1,FALSE)</f>
        <v>J2881</v>
      </c>
    </row>
    <row r="154" spans="1:8" hidden="1" x14ac:dyDescent="0.35">
      <c r="A154" t="s">
        <v>707</v>
      </c>
      <c r="B154">
        <v>2021</v>
      </c>
      <c r="C154" t="s">
        <v>708</v>
      </c>
      <c r="D154" t="s">
        <v>709</v>
      </c>
      <c r="E154" t="s">
        <v>173</v>
      </c>
      <c r="F154" t="s">
        <v>815</v>
      </c>
      <c r="G154" t="b">
        <f t="shared" si="2"/>
        <v>0</v>
      </c>
      <c r="H154" t="e">
        <f>VLOOKUP(A154,ID_Lookup!A:A,1,FALSE)</f>
        <v>#N/A</v>
      </c>
    </row>
    <row r="155" spans="1:8" hidden="1" x14ac:dyDescent="0.35">
      <c r="A155" t="s">
        <v>710</v>
      </c>
      <c r="B155">
        <v>2021</v>
      </c>
      <c r="C155" t="s">
        <v>711</v>
      </c>
      <c r="D155" t="s">
        <v>712</v>
      </c>
      <c r="E155" t="s">
        <v>173</v>
      </c>
      <c r="F155" t="s">
        <v>205</v>
      </c>
      <c r="G155" t="b">
        <f t="shared" si="2"/>
        <v>0</v>
      </c>
      <c r="H155" t="e">
        <f>VLOOKUP(A155,ID_Lookup!A:A,1,FALSE)</f>
        <v>#N/A</v>
      </c>
    </row>
    <row r="156" spans="1:8" hidden="1" x14ac:dyDescent="0.35">
      <c r="A156" t="s">
        <v>713</v>
      </c>
      <c r="B156">
        <v>2021</v>
      </c>
      <c r="C156" t="s">
        <v>714</v>
      </c>
      <c r="D156" t="s">
        <v>715</v>
      </c>
      <c r="E156" t="s">
        <v>112</v>
      </c>
      <c r="F156" t="s">
        <v>200</v>
      </c>
      <c r="G156" t="b">
        <f t="shared" si="2"/>
        <v>1</v>
      </c>
      <c r="H156" t="e">
        <f>VLOOKUP(A156,ID_Lookup!A:A,1,FALSE)</f>
        <v>#N/A</v>
      </c>
    </row>
    <row r="157" spans="1:8" hidden="1" x14ac:dyDescent="0.35">
      <c r="A157" t="s">
        <v>716</v>
      </c>
      <c r="B157">
        <v>2021</v>
      </c>
      <c r="C157" t="s">
        <v>717</v>
      </c>
      <c r="D157" t="s">
        <v>718</v>
      </c>
      <c r="E157" t="s">
        <v>173</v>
      </c>
      <c r="F157" t="s">
        <v>814</v>
      </c>
      <c r="G157" t="b">
        <f t="shared" si="2"/>
        <v>0</v>
      </c>
      <c r="H157" t="e">
        <f>VLOOKUP(A157,ID_Lookup!A:A,1,FALSE)</f>
        <v>#N/A</v>
      </c>
    </row>
    <row r="158" spans="1:8" hidden="1" x14ac:dyDescent="0.35">
      <c r="A158" t="s">
        <v>719</v>
      </c>
      <c r="B158">
        <v>2021</v>
      </c>
      <c r="C158" t="s">
        <v>720</v>
      </c>
      <c r="D158" t="s">
        <v>721</v>
      </c>
      <c r="E158" t="s">
        <v>112</v>
      </c>
      <c r="F158" t="s">
        <v>200</v>
      </c>
      <c r="G158" t="b">
        <f t="shared" si="2"/>
        <v>1</v>
      </c>
      <c r="H158" t="e">
        <f>VLOOKUP(A158,ID_Lookup!A:A,1,FALSE)</f>
        <v>#N/A</v>
      </c>
    </row>
    <row r="159" spans="1:8" x14ac:dyDescent="0.35">
      <c r="A159" t="s">
        <v>416</v>
      </c>
      <c r="B159">
        <v>2021</v>
      </c>
      <c r="C159" t="s">
        <v>722</v>
      </c>
      <c r="D159" t="s">
        <v>723</v>
      </c>
      <c r="E159" t="s">
        <v>173</v>
      </c>
      <c r="F159" t="s">
        <v>814</v>
      </c>
      <c r="G159" t="b">
        <f t="shared" si="2"/>
        <v>0</v>
      </c>
      <c r="H159" t="str">
        <f>VLOOKUP(A159,ID_Lookup!A:A,1,FALSE)</f>
        <v>J2887</v>
      </c>
    </row>
    <row r="160" spans="1:8" x14ac:dyDescent="0.35">
      <c r="A160" t="s">
        <v>419</v>
      </c>
      <c r="B160">
        <v>2021</v>
      </c>
      <c r="C160" t="s">
        <v>724</v>
      </c>
      <c r="D160" t="s">
        <v>725</v>
      </c>
      <c r="E160" t="s">
        <v>173</v>
      </c>
      <c r="F160" t="s">
        <v>814</v>
      </c>
      <c r="G160" t="b">
        <f t="shared" si="2"/>
        <v>0</v>
      </c>
      <c r="H160" t="str">
        <f>VLOOKUP(A160,ID_Lookup!A:A,1,FALSE)</f>
        <v>J2888</v>
      </c>
    </row>
    <row r="161" spans="1:8" x14ac:dyDescent="0.35">
      <c r="A161" t="s">
        <v>422</v>
      </c>
      <c r="B161">
        <v>2021</v>
      </c>
      <c r="C161" t="s">
        <v>423</v>
      </c>
      <c r="D161" t="s">
        <v>726</v>
      </c>
      <c r="E161" t="s">
        <v>173</v>
      </c>
      <c r="F161" t="s">
        <v>816</v>
      </c>
      <c r="G161" t="b">
        <f t="shared" si="2"/>
        <v>0</v>
      </c>
      <c r="H161" t="str">
        <f>VLOOKUP(A161,ID_Lookup!A:A,1,FALSE)</f>
        <v>J2889</v>
      </c>
    </row>
    <row r="162" spans="1:8" ht="409.5" x14ac:dyDescent="0.35">
      <c r="A162" t="s">
        <v>425</v>
      </c>
      <c r="B162">
        <v>2021</v>
      </c>
      <c r="C162" t="s">
        <v>426</v>
      </c>
      <c r="D162" s="1" t="s">
        <v>427</v>
      </c>
      <c r="E162" t="s">
        <v>173</v>
      </c>
      <c r="F162" t="s">
        <v>814</v>
      </c>
      <c r="G162" t="b">
        <f t="shared" si="2"/>
        <v>0</v>
      </c>
      <c r="H162" t="str">
        <f>VLOOKUP(A162,ID_Lookup!A:A,1,FALSE)</f>
        <v>J2890</v>
      </c>
    </row>
    <row r="163" spans="1:8" hidden="1" x14ac:dyDescent="0.35">
      <c r="A163" t="s">
        <v>727</v>
      </c>
      <c r="B163">
        <v>2021</v>
      </c>
      <c r="C163" t="s">
        <v>728</v>
      </c>
      <c r="D163" t="s">
        <v>729</v>
      </c>
      <c r="E163" t="s">
        <v>173</v>
      </c>
      <c r="F163" t="s">
        <v>814</v>
      </c>
      <c r="G163" t="b">
        <f t="shared" si="2"/>
        <v>0</v>
      </c>
      <c r="H163" t="e">
        <f>VLOOKUP(A163,ID_Lookup!A:A,1,FALSE)</f>
        <v>#N/A</v>
      </c>
    </row>
    <row r="164" spans="1:8" x14ac:dyDescent="0.35">
      <c r="A164" t="s">
        <v>428</v>
      </c>
      <c r="B164">
        <v>2021</v>
      </c>
      <c r="C164" t="s">
        <v>429</v>
      </c>
      <c r="D164" t="s">
        <v>730</v>
      </c>
      <c r="E164" t="s">
        <v>112</v>
      </c>
      <c r="F164" t="s">
        <v>817</v>
      </c>
      <c r="G164" t="b">
        <f t="shared" si="2"/>
        <v>1</v>
      </c>
      <c r="H164" t="str">
        <f>VLOOKUP(A164,ID_Lookup!A:A,1,FALSE)</f>
        <v>J2892</v>
      </c>
    </row>
    <row r="165" spans="1:8" x14ac:dyDescent="0.35">
      <c r="A165" t="s">
        <v>432</v>
      </c>
      <c r="B165">
        <v>2021</v>
      </c>
      <c r="C165" t="s">
        <v>433</v>
      </c>
      <c r="D165" t="s">
        <v>434</v>
      </c>
      <c r="E165" t="s">
        <v>112</v>
      </c>
      <c r="F165" t="s">
        <v>818</v>
      </c>
      <c r="G165" t="b">
        <f t="shared" si="2"/>
        <v>1</v>
      </c>
      <c r="H165" t="str">
        <f>VLOOKUP(A165,ID_Lookup!A:A,1,FALSE)</f>
        <v>J2893</v>
      </c>
    </row>
    <row r="166" spans="1:8" hidden="1" x14ac:dyDescent="0.35">
      <c r="A166" t="s">
        <v>731</v>
      </c>
      <c r="B166">
        <v>2021</v>
      </c>
      <c r="C166" t="s">
        <v>732</v>
      </c>
      <c r="D166" t="s">
        <v>733</v>
      </c>
      <c r="E166" t="s">
        <v>173</v>
      </c>
      <c r="F166" t="s">
        <v>814</v>
      </c>
      <c r="G166" t="b">
        <f t="shared" si="2"/>
        <v>0</v>
      </c>
      <c r="H166" t="e">
        <f>VLOOKUP(A166,ID_Lookup!A:A,1,FALSE)</f>
        <v>#N/A</v>
      </c>
    </row>
    <row r="167" spans="1:8" x14ac:dyDescent="0.35">
      <c r="A167" t="s">
        <v>436</v>
      </c>
      <c r="B167">
        <v>2021</v>
      </c>
      <c r="C167" t="s">
        <v>437</v>
      </c>
      <c r="D167" t="s">
        <v>438</v>
      </c>
      <c r="E167" t="s">
        <v>112</v>
      </c>
      <c r="F167" t="s">
        <v>200</v>
      </c>
      <c r="G167" t="b">
        <f t="shared" si="2"/>
        <v>1</v>
      </c>
      <c r="H167" t="str">
        <f>VLOOKUP(A167,ID_Lookup!A:A,1,FALSE)</f>
        <v>J2895</v>
      </c>
    </row>
    <row r="168" spans="1:8" hidden="1" x14ac:dyDescent="0.35">
      <c r="A168" t="s">
        <v>734</v>
      </c>
      <c r="B168">
        <v>2021</v>
      </c>
      <c r="C168" t="s">
        <v>735</v>
      </c>
      <c r="D168" t="s">
        <v>736</v>
      </c>
      <c r="E168" t="s">
        <v>112</v>
      </c>
      <c r="F168" t="s">
        <v>200</v>
      </c>
      <c r="G168" t="b">
        <f t="shared" si="2"/>
        <v>1</v>
      </c>
      <c r="H168" t="e">
        <f>VLOOKUP(A168,ID_Lookup!A:A,1,FALSE)</f>
        <v>#N/A</v>
      </c>
    </row>
    <row r="169" spans="1:8" hidden="1" x14ac:dyDescent="0.35">
      <c r="A169" t="s">
        <v>737</v>
      </c>
      <c r="B169">
        <v>2021</v>
      </c>
      <c r="C169" t="s">
        <v>738</v>
      </c>
      <c r="D169" t="s">
        <v>739</v>
      </c>
      <c r="E169" t="s">
        <v>112</v>
      </c>
      <c r="F169" t="s">
        <v>200</v>
      </c>
      <c r="G169" t="b">
        <f t="shared" si="2"/>
        <v>1</v>
      </c>
      <c r="H169" t="e">
        <f>VLOOKUP(A169,ID_Lookup!A:A,1,FALSE)</f>
        <v>#N/A</v>
      </c>
    </row>
    <row r="170" spans="1:8" ht="409.5" x14ac:dyDescent="0.35">
      <c r="A170" t="s">
        <v>440</v>
      </c>
      <c r="B170">
        <v>2021</v>
      </c>
      <c r="C170" t="s">
        <v>441</v>
      </c>
      <c r="D170" s="1" t="s">
        <v>442</v>
      </c>
      <c r="E170" t="s">
        <v>112</v>
      </c>
      <c r="F170" t="s">
        <v>206</v>
      </c>
      <c r="G170" t="b">
        <f t="shared" si="2"/>
        <v>1</v>
      </c>
      <c r="H170" t="str">
        <f>VLOOKUP(A170,ID_Lookup!A:A,1,FALSE)</f>
        <v>J2898</v>
      </c>
    </row>
    <row r="171" spans="1:8" x14ac:dyDescent="0.35">
      <c r="A171" t="s">
        <v>444</v>
      </c>
      <c r="B171">
        <v>2021</v>
      </c>
      <c r="C171" t="s">
        <v>740</v>
      </c>
      <c r="D171" t="s">
        <v>741</v>
      </c>
      <c r="E171" t="s">
        <v>112</v>
      </c>
      <c r="F171" t="s">
        <v>200</v>
      </c>
      <c r="G171" t="b">
        <f t="shared" si="2"/>
        <v>1</v>
      </c>
      <c r="H171" t="str">
        <f>VLOOKUP(A171,ID_Lookup!A:A,1,FALSE)</f>
        <v>J2899</v>
      </c>
    </row>
    <row r="172" spans="1:8" hidden="1" x14ac:dyDescent="0.35">
      <c r="A172" t="s">
        <v>742</v>
      </c>
      <c r="B172">
        <v>2021</v>
      </c>
      <c r="C172" t="s">
        <v>743</v>
      </c>
      <c r="D172" t="s">
        <v>744</v>
      </c>
      <c r="E172" t="s">
        <v>173</v>
      </c>
      <c r="F172" t="s">
        <v>814</v>
      </c>
      <c r="G172" t="b">
        <f t="shared" si="2"/>
        <v>0</v>
      </c>
      <c r="H172" t="e">
        <f>VLOOKUP(A172,ID_Lookup!A:A,1,FALSE)</f>
        <v>#N/A</v>
      </c>
    </row>
    <row r="173" spans="1:8" hidden="1" x14ac:dyDescent="0.35">
      <c r="A173" t="s">
        <v>745</v>
      </c>
      <c r="B173">
        <v>2021</v>
      </c>
      <c r="C173" t="s">
        <v>746</v>
      </c>
      <c r="D173" t="s">
        <v>747</v>
      </c>
      <c r="E173" t="s">
        <v>173</v>
      </c>
      <c r="F173" t="s">
        <v>814</v>
      </c>
      <c r="G173" t="b">
        <f t="shared" si="2"/>
        <v>0</v>
      </c>
      <c r="H173" t="e">
        <f>VLOOKUP(A173,ID_Lookup!A:A,1,FALSE)</f>
        <v>#N/A</v>
      </c>
    </row>
    <row r="174" spans="1:8" hidden="1" x14ac:dyDescent="0.35">
      <c r="A174" t="s">
        <v>748</v>
      </c>
      <c r="B174">
        <v>2021</v>
      </c>
      <c r="C174" t="s">
        <v>749</v>
      </c>
      <c r="D174" t="s">
        <v>750</v>
      </c>
      <c r="E174" t="s">
        <v>173</v>
      </c>
      <c r="F174" t="s">
        <v>814</v>
      </c>
      <c r="G174" t="b">
        <f t="shared" si="2"/>
        <v>0</v>
      </c>
      <c r="H174" t="e">
        <f>VLOOKUP(A174,ID_Lookup!A:A,1,FALSE)</f>
        <v>#N/A</v>
      </c>
    </row>
    <row r="175" spans="1:8" hidden="1" x14ac:dyDescent="0.35">
      <c r="A175" t="s">
        <v>751</v>
      </c>
      <c r="B175">
        <v>2021</v>
      </c>
      <c r="C175" t="s">
        <v>752</v>
      </c>
      <c r="D175" t="s">
        <v>691</v>
      </c>
      <c r="E175" t="s">
        <v>112</v>
      </c>
      <c r="F175" t="s">
        <v>819</v>
      </c>
      <c r="G175" t="b">
        <f t="shared" si="2"/>
        <v>1</v>
      </c>
      <c r="H175" t="e">
        <f>VLOOKUP(A175,ID_Lookup!A:A,1,FALSE)</f>
        <v>#N/A</v>
      </c>
    </row>
    <row r="176" spans="1:8" x14ac:dyDescent="0.35">
      <c r="A176" t="s">
        <v>448</v>
      </c>
      <c r="B176">
        <v>2021</v>
      </c>
      <c r="C176" t="s">
        <v>449</v>
      </c>
      <c r="D176" t="s">
        <v>753</v>
      </c>
      <c r="E176" t="s">
        <v>173</v>
      </c>
      <c r="F176" t="s">
        <v>814</v>
      </c>
      <c r="G176" t="b">
        <f t="shared" si="2"/>
        <v>0</v>
      </c>
      <c r="H176" t="str">
        <f>VLOOKUP(A176,ID_Lookup!A:A,1,FALSE)</f>
        <v>J2904</v>
      </c>
    </row>
    <row r="177" spans="1:8" x14ac:dyDescent="0.35">
      <c r="A177" t="s">
        <v>452</v>
      </c>
      <c r="B177">
        <v>2021</v>
      </c>
      <c r="C177" t="s">
        <v>754</v>
      </c>
      <c r="D177" t="s">
        <v>755</v>
      </c>
      <c r="E177" t="s">
        <v>173</v>
      </c>
      <c r="F177" t="s">
        <v>814</v>
      </c>
      <c r="G177" t="b">
        <f t="shared" si="2"/>
        <v>0</v>
      </c>
      <c r="H177" t="str">
        <f>VLOOKUP(A177,ID_Lookup!A:A,1,FALSE)</f>
        <v>J2905</v>
      </c>
    </row>
    <row r="178" spans="1:8" x14ac:dyDescent="0.35">
      <c r="A178" t="s">
        <v>456</v>
      </c>
      <c r="B178">
        <v>2021</v>
      </c>
      <c r="C178" t="s">
        <v>457</v>
      </c>
      <c r="D178" t="s">
        <v>458</v>
      </c>
      <c r="E178" t="s">
        <v>173</v>
      </c>
      <c r="F178" t="s">
        <v>814</v>
      </c>
      <c r="G178" t="b">
        <f t="shared" si="2"/>
        <v>0</v>
      </c>
      <c r="H178" t="str">
        <f>VLOOKUP(A178,ID_Lookup!A:A,1,FALSE)</f>
        <v>J2906</v>
      </c>
    </row>
    <row r="179" spans="1:8" x14ac:dyDescent="0.35">
      <c r="A179" t="s">
        <v>460</v>
      </c>
      <c r="B179">
        <v>2021</v>
      </c>
      <c r="C179" t="s">
        <v>461</v>
      </c>
      <c r="D179" t="s">
        <v>756</v>
      </c>
      <c r="E179" t="s">
        <v>173</v>
      </c>
      <c r="F179" t="s">
        <v>814</v>
      </c>
      <c r="G179" t="b">
        <f t="shared" si="2"/>
        <v>0</v>
      </c>
      <c r="H179" t="str">
        <f>VLOOKUP(A179,ID_Lookup!A:A,1,FALSE)</f>
        <v>J2907</v>
      </c>
    </row>
    <row r="180" spans="1:8" hidden="1" x14ac:dyDescent="0.35">
      <c r="A180" t="s">
        <v>757</v>
      </c>
      <c r="B180">
        <v>2021</v>
      </c>
      <c r="C180" t="s">
        <v>758</v>
      </c>
      <c r="D180" t="s">
        <v>759</v>
      </c>
      <c r="E180" t="s">
        <v>112</v>
      </c>
      <c r="F180" t="s">
        <v>200</v>
      </c>
      <c r="G180" t="b">
        <f t="shared" si="2"/>
        <v>1</v>
      </c>
      <c r="H180" t="e">
        <f>VLOOKUP(A180,ID_Lookup!A:A,1,FALSE)</f>
        <v>#N/A</v>
      </c>
    </row>
    <row r="181" spans="1:8" ht="409.5" hidden="1" x14ac:dyDescent="0.35">
      <c r="A181" s="6" t="s">
        <v>760</v>
      </c>
      <c r="B181" s="6">
        <v>2021</v>
      </c>
      <c r="C181" s="6" t="s">
        <v>758</v>
      </c>
      <c r="D181" s="8" t="s">
        <v>761</v>
      </c>
      <c r="E181" t="s">
        <v>112</v>
      </c>
      <c r="F181" t="s">
        <v>200</v>
      </c>
      <c r="G181" t="b">
        <f t="shared" si="2"/>
        <v>1</v>
      </c>
      <c r="H181" t="e">
        <f>VLOOKUP(A181,ID_Lookup!A:A,1,FALSE)</f>
        <v>#N/A</v>
      </c>
    </row>
    <row r="182" spans="1:8" hidden="1" x14ac:dyDescent="0.35">
      <c r="A182" t="s">
        <v>762</v>
      </c>
      <c r="B182">
        <v>2021</v>
      </c>
      <c r="C182" t="s">
        <v>763</v>
      </c>
      <c r="D182" t="s">
        <v>764</v>
      </c>
      <c r="E182" t="s">
        <v>112</v>
      </c>
      <c r="F182" t="s">
        <v>805</v>
      </c>
      <c r="G182" t="b">
        <f t="shared" si="2"/>
        <v>1</v>
      </c>
      <c r="H182" t="e">
        <f>VLOOKUP(A182,ID_Lookup!A:A,1,FALSE)</f>
        <v>#N/A</v>
      </c>
    </row>
    <row r="183" spans="1:8" ht="409.5" x14ac:dyDescent="0.35">
      <c r="A183" t="s">
        <v>464</v>
      </c>
      <c r="B183">
        <v>2025</v>
      </c>
      <c r="C183" t="s">
        <v>465</v>
      </c>
      <c r="D183" s="1" t="s">
        <v>466</v>
      </c>
      <c r="E183" t="s">
        <v>173</v>
      </c>
      <c r="F183" t="s">
        <v>814</v>
      </c>
      <c r="G183" t="b">
        <f t="shared" si="2"/>
        <v>0</v>
      </c>
      <c r="H183" t="str">
        <f>VLOOKUP(A183,ID_Lookup!A:A,1,FALSE)</f>
        <v>J6200</v>
      </c>
    </row>
    <row r="184" spans="1:8" x14ac:dyDescent="0.35">
      <c r="A184" s="6" t="s">
        <v>468</v>
      </c>
      <c r="B184" s="6">
        <v>2025</v>
      </c>
      <c r="C184" s="6" t="s">
        <v>465</v>
      </c>
      <c r="D184" s="6" t="s">
        <v>765</v>
      </c>
      <c r="E184" t="s">
        <v>173</v>
      </c>
      <c r="F184" t="s">
        <v>814</v>
      </c>
      <c r="G184" t="b">
        <f t="shared" si="2"/>
        <v>0</v>
      </c>
      <c r="H184" t="str">
        <f>VLOOKUP(A184,ID_Lookup!A:A,1,FALSE)</f>
        <v>J6201</v>
      </c>
    </row>
    <row r="185" spans="1:8" hidden="1" x14ac:dyDescent="0.35">
      <c r="A185" t="s">
        <v>766</v>
      </c>
      <c r="B185">
        <v>2025</v>
      </c>
      <c r="C185" t="s">
        <v>767</v>
      </c>
      <c r="D185" t="s">
        <v>768</v>
      </c>
      <c r="E185" t="s">
        <v>112</v>
      </c>
      <c r="F185" t="s">
        <v>820</v>
      </c>
      <c r="G185" t="b">
        <f t="shared" si="2"/>
        <v>1</v>
      </c>
      <c r="H185" t="e">
        <f>VLOOKUP(A185,ID_Lookup!A:A,1,FALSE)</f>
        <v>#N/A</v>
      </c>
    </row>
    <row r="186" spans="1:8" hidden="1" x14ac:dyDescent="0.35">
      <c r="A186" t="s">
        <v>769</v>
      </c>
      <c r="B186">
        <v>2025</v>
      </c>
      <c r="C186" t="s">
        <v>770</v>
      </c>
      <c r="D186" t="s">
        <v>771</v>
      </c>
      <c r="E186" t="s">
        <v>173</v>
      </c>
      <c r="F186" t="s">
        <v>814</v>
      </c>
      <c r="G186" t="b">
        <f t="shared" si="2"/>
        <v>0</v>
      </c>
      <c r="H186" t="e">
        <f>VLOOKUP(A186,ID_Lookup!A:A,1,FALSE)</f>
        <v>#N/A</v>
      </c>
    </row>
    <row r="187" spans="1:8" hidden="1" x14ac:dyDescent="0.35">
      <c r="A187" t="s">
        <v>772</v>
      </c>
      <c r="B187">
        <v>2025</v>
      </c>
      <c r="C187" t="s">
        <v>773</v>
      </c>
      <c r="D187" t="s">
        <v>774</v>
      </c>
      <c r="E187" t="s">
        <v>173</v>
      </c>
      <c r="F187" t="s">
        <v>814</v>
      </c>
      <c r="G187" t="b">
        <f t="shared" si="2"/>
        <v>0</v>
      </c>
      <c r="H187" t="e">
        <f>VLOOKUP(A187,ID_Lookup!A:A,1,FALSE)</f>
        <v>#N/A</v>
      </c>
    </row>
    <row r="188" spans="1:8" hidden="1" x14ac:dyDescent="0.35">
      <c r="A188" t="s">
        <v>775</v>
      </c>
      <c r="B188">
        <v>2025</v>
      </c>
      <c r="C188" t="s">
        <v>776</v>
      </c>
      <c r="D188" t="s">
        <v>777</v>
      </c>
      <c r="E188" t="s">
        <v>112</v>
      </c>
      <c r="F188" t="s">
        <v>200</v>
      </c>
      <c r="G188" t="b">
        <f t="shared" si="2"/>
        <v>1</v>
      </c>
      <c r="H188" t="e">
        <f>VLOOKUP(A188,ID_Lookup!A:A,1,FALSE)</f>
        <v>#N/A</v>
      </c>
    </row>
    <row r="189" spans="1:8" x14ac:dyDescent="0.35">
      <c r="A189" t="s">
        <v>471</v>
      </c>
      <c r="B189">
        <v>2025</v>
      </c>
      <c r="C189" t="s">
        <v>778</v>
      </c>
      <c r="D189" t="s">
        <v>779</v>
      </c>
      <c r="E189" t="s">
        <v>173</v>
      </c>
      <c r="F189" t="s">
        <v>814</v>
      </c>
      <c r="G189" t="b">
        <f t="shared" si="2"/>
        <v>0</v>
      </c>
      <c r="H189" t="str">
        <f>VLOOKUP(A189,ID_Lookup!A:A,1,FALSE)</f>
        <v>J6206</v>
      </c>
    </row>
    <row r="190" spans="1:8" hidden="1" x14ac:dyDescent="0.35">
      <c r="A190" t="s">
        <v>780</v>
      </c>
      <c r="B190">
        <v>2025</v>
      </c>
      <c r="C190" t="s">
        <v>781</v>
      </c>
      <c r="D190" t="s">
        <v>782</v>
      </c>
      <c r="E190" t="s">
        <v>112</v>
      </c>
      <c r="F190" t="s">
        <v>200</v>
      </c>
      <c r="G190" t="b">
        <f t="shared" si="2"/>
        <v>1</v>
      </c>
      <c r="H190" t="e">
        <f>VLOOKUP(A190,ID_Lookup!A:A,1,FALSE)</f>
        <v>#N/A</v>
      </c>
    </row>
    <row r="191" spans="1:8" hidden="1" x14ac:dyDescent="0.35">
      <c r="A191" t="s">
        <v>783</v>
      </c>
      <c r="B191">
        <v>2025</v>
      </c>
      <c r="C191" t="s">
        <v>784</v>
      </c>
      <c r="D191" t="s">
        <v>785</v>
      </c>
      <c r="E191" t="s">
        <v>173</v>
      </c>
      <c r="F191" t="s">
        <v>814</v>
      </c>
      <c r="G191" t="b">
        <f t="shared" si="2"/>
        <v>0</v>
      </c>
      <c r="H191" t="e">
        <f>VLOOKUP(A191,ID_Lookup!A:A,1,FALSE)</f>
        <v>#N/A</v>
      </c>
    </row>
    <row r="192" spans="1:8" x14ac:dyDescent="0.35">
      <c r="A192" t="s">
        <v>475</v>
      </c>
      <c r="B192">
        <v>2025</v>
      </c>
      <c r="C192" t="s">
        <v>476</v>
      </c>
      <c r="D192" t="s">
        <v>786</v>
      </c>
      <c r="E192" t="s">
        <v>112</v>
      </c>
      <c r="F192" t="s">
        <v>200</v>
      </c>
      <c r="G192" t="b">
        <f t="shared" si="2"/>
        <v>1</v>
      </c>
      <c r="H192" t="str">
        <f>VLOOKUP(A192,ID_Lookup!A:A,1,FALSE)</f>
        <v>J6209</v>
      </c>
    </row>
    <row r="193" spans="1:8" hidden="1" x14ac:dyDescent="0.35">
      <c r="A193" t="s">
        <v>787</v>
      </c>
      <c r="B193">
        <v>2025</v>
      </c>
      <c r="C193" t="s">
        <v>788</v>
      </c>
      <c r="D193" t="s">
        <v>789</v>
      </c>
      <c r="E193" t="s">
        <v>112</v>
      </c>
      <c r="F193" t="s">
        <v>200</v>
      </c>
      <c r="G193" t="b">
        <f t="shared" si="2"/>
        <v>1</v>
      </c>
      <c r="H193" t="e">
        <f>VLOOKUP(A193,ID_Lookup!A:A,1,FALSE)</f>
        <v>#N/A</v>
      </c>
    </row>
    <row r="194" spans="1:8" x14ac:dyDescent="0.35">
      <c r="A194" t="s">
        <v>479</v>
      </c>
      <c r="B194">
        <v>2025</v>
      </c>
      <c r="C194" t="s">
        <v>480</v>
      </c>
      <c r="D194" t="s">
        <v>790</v>
      </c>
      <c r="E194" t="s">
        <v>173</v>
      </c>
      <c r="F194" t="s">
        <v>814</v>
      </c>
      <c r="G194" t="b">
        <f t="shared" si="2"/>
        <v>0</v>
      </c>
      <c r="H194" t="str">
        <f>VLOOKUP(A194,ID_Lookup!A:A,1,FALSE)</f>
        <v>J6211</v>
      </c>
    </row>
    <row r="195" spans="1:8" x14ac:dyDescent="0.35">
      <c r="A195" t="s">
        <v>483</v>
      </c>
      <c r="B195">
        <v>2025</v>
      </c>
      <c r="C195" t="s">
        <v>484</v>
      </c>
      <c r="D195" t="s">
        <v>485</v>
      </c>
      <c r="E195" t="s">
        <v>112</v>
      </c>
      <c r="F195" t="s">
        <v>208</v>
      </c>
      <c r="G195" t="b">
        <f t="shared" ref="G195:G201" si="3">IF(E195="Include", TRUE, FALSE)</f>
        <v>1</v>
      </c>
      <c r="H195" t="str">
        <f>VLOOKUP(A195,ID_Lookup!A:A,1,FALSE)</f>
        <v>J6212</v>
      </c>
    </row>
    <row r="196" spans="1:8" x14ac:dyDescent="0.35">
      <c r="A196" t="s">
        <v>487</v>
      </c>
      <c r="B196">
        <v>2025</v>
      </c>
      <c r="C196" t="s">
        <v>488</v>
      </c>
      <c r="D196" t="s">
        <v>791</v>
      </c>
      <c r="E196" t="s">
        <v>112</v>
      </c>
      <c r="F196" t="s">
        <v>207</v>
      </c>
      <c r="G196" t="b">
        <f t="shared" si="3"/>
        <v>1</v>
      </c>
      <c r="H196" t="str">
        <f>VLOOKUP(A196,ID_Lookup!A:A,1,FALSE)</f>
        <v>J6213</v>
      </c>
    </row>
    <row r="197" spans="1:8" hidden="1" x14ac:dyDescent="0.35">
      <c r="A197" t="s">
        <v>792</v>
      </c>
      <c r="B197">
        <v>2025</v>
      </c>
      <c r="C197" t="s">
        <v>793</v>
      </c>
      <c r="D197" t="s">
        <v>794</v>
      </c>
      <c r="E197" t="s">
        <v>173</v>
      </c>
      <c r="F197" t="s">
        <v>814</v>
      </c>
      <c r="G197" t="b">
        <f t="shared" si="3"/>
        <v>0</v>
      </c>
      <c r="H197" t="e">
        <f>VLOOKUP(A197,ID_Lookup!A:A,1,FALSE)</f>
        <v>#N/A</v>
      </c>
    </row>
    <row r="198" spans="1:8" ht="409.5" hidden="1" x14ac:dyDescent="0.35">
      <c r="A198" s="6" t="s">
        <v>795</v>
      </c>
      <c r="B198" s="6">
        <v>2025</v>
      </c>
      <c r="C198" s="6" t="s">
        <v>796</v>
      </c>
      <c r="D198" s="8" t="s">
        <v>797</v>
      </c>
      <c r="E198" t="s">
        <v>173</v>
      </c>
      <c r="F198" t="s">
        <v>814</v>
      </c>
      <c r="G198" t="b">
        <f t="shared" si="3"/>
        <v>0</v>
      </c>
      <c r="H198" t="e">
        <f>VLOOKUP(A198,ID_Lookup!A:A,1,FALSE)</f>
        <v>#N/A</v>
      </c>
    </row>
    <row r="199" spans="1:8" hidden="1" x14ac:dyDescent="0.35">
      <c r="A199" t="s">
        <v>798</v>
      </c>
      <c r="B199">
        <v>2025</v>
      </c>
      <c r="C199" t="s">
        <v>799</v>
      </c>
      <c r="D199" t="s">
        <v>800</v>
      </c>
      <c r="E199" t="s">
        <v>112</v>
      </c>
      <c r="F199" t="s">
        <v>207</v>
      </c>
      <c r="G199" t="b">
        <f t="shared" si="3"/>
        <v>1</v>
      </c>
      <c r="H199" t="e">
        <f>VLOOKUP(A199,ID_Lookup!A:A,1,FALSE)</f>
        <v>#N/A</v>
      </c>
    </row>
    <row r="200" spans="1:8" hidden="1" x14ac:dyDescent="0.35">
      <c r="A200" t="s">
        <v>801</v>
      </c>
      <c r="B200">
        <v>2025</v>
      </c>
      <c r="C200" t="s">
        <v>802</v>
      </c>
      <c r="D200" t="s">
        <v>803</v>
      </c>
      <c r="E200" t="s">
        <v>173</v>
      </c>
      <c r="F200" t="s">
        <v>814</v>
      </c>
      <c r="G200" t="b">
        <f t="shared" si="3"/>
        <v>0</v>
      </c>
      <c r="H200" t="e">
        <f>VLOOKUP(A200,ID_Lookup!A:A,1,FALSE)</f>
        <v>#N/A</v>
      </c>
    </row>
    <row r="201" spans="1:8" x14ac:dyDescent="0.35">
      <c r="A201" t="s">
        <v>491</v>
      </c>
      <c r="B201">
        <v>2025</v>
      </c>
      <c r="C201" t="s">
        <v>492</v>
      </c>
      <c r="D201" t="s">
        <v>804</v>
      </c>
      <c r="E201" t="s">
        <v>112</v>
      </c>
      <c r="F201" t="s">
        <v>200</v>
      </c>
      <c r="G201" t="b">
        <f t="shared" si="3"/>
        <v>1</v>
      </c>
      <c r="H201" t="str">
        <f>VLOOKUP(A201,ID_Lookup!A:A,1,FALSE)</f>
        <v>J6218</v>
      </c>
    </row>
  </sheetData>
  <autoFilter ref="A1:H201" xr:uid="{5D3E4052-2545-45A0-857B-B79114EE9774}">
    <filterColumn colId="7">
      <filters>
        <filter val="J2830"/>
        <filter val="J2833"/>
        <filter val="J2835"/>
        <filter val="J2841"/>
        <filter val="J2842"/>
        <filter val="J2843"/>
        <filter val="J2844"/>
        <filter val="J2848"/>
        <filter val="J2849"/>
        <filter val="J2850"/>
        <filter val="J2851"/>
        <filter val="J2852"/>
        <filter val="J2853"/>
        <filter val="J2855"/>
        <filter val="J2856"/>
        <filter val="J2857"/>
        <filter val="J2858"/>
        <filter val="J2861"/>
        <filter val="J2863"/>
        <filter val="J2865"/>
        <filter val="J2869"/>
        <filter val="J2870"/>
        <filter val="J2871"/>
        <filter val="J2876"/>
        <filter val="J2878"/>
        <filter val="J2879"/>
        <filter val="J2881"/>
        <filter val="J2887"/>
        <filter val="J2888"/>
        <filter val="J2889"/>
        <filter val="J2890"/>
        <filter val="J2892"/>
        <filter val="J2893"/>
        <filter val="J2895"/>
        <filter val="J2898"/>
        <filter val="J2899"/>
        <filter val="J2904"/>
        <filter val="J2905"/>
        <filter val="J2906"/>
        <filter val="J2907"/>
        <filter val="J502"/>
        <filter val="J503"/>
        <filter val="J504"/>
        <filter val="J505"/>
        <filter val="J508"/>
        <filter val="J509"/>
        <filter val="J510"/>
        <filter val="J511"/>
        <filter val="J512"/>
        <filter val="J514"/>
        <filter val="J515"/>
        <filter val="J520"/>
        <filter val="J521"/>
        <filter val="J522"/>
        <filter val="J523"/>
        <filter val="J524"/>
        <filter val="J527"/>
        <filter val="J529"/>
        <filter val="J530"/>
        <filter val="J535"/>
        <filter val="J536"/>
        <filter val="J537"/>
        <filter val="J540"/>
        <filter val="J541"/>
        <filter val="J544"/>
        <filter val="J545"/>
        <filter val="J547"/>
        <filter val="J549"/>
        <filter val="J551"/>
        <filter val="J552"/>
        <filter val="J557"/>
        <filter val="J558"/>
        <filter val="J561"/>
        <filter val="J567"/>
        <filter val="J570"/>
        <filter val="J571"/>
        <filter val="J574"/>
        <filter val="J575"/>
        <filter val="J583"/>
        <filter val="J586"/>
        <filter val="J590"/>
        <filter val="J594"/>
        <filter val="J595"/>
        <filter val="J598"/>
        <filter val="J599"/>
        <filter val="J6200"/>
        <filter val="J6201"/>
        <filter val="J6206"/>
        <filter val="J6209"/>
        <filter val="J6211"/>
        <filter val="J6212"/>
        <filter val="J6213"/>
        <filter val="J6218"/>
      </filters>
    </filterColumn>
  </autoFilter>
  <conditionalFormatting sqref="E181:F201">
    <cfRule type="containsText" dxfId="11" priority="2" operator="containsText" text="Include">
      <formula>NOT(ISERROR(SEARCH("Include",E181)))</formula>
    </cfRule>
  </conditionalFormatting>
  <conditionalFormatting sqref="E1:E81 F49:F81 E82:F180">
    <cfRule type="containsText" dxfId="10" priority="4" operator="containsText" text="Include">
      <formula>NOT(ISERROR(SEARCH("Include",E1)))</formula>
    </cfRule>
  </conditionalFormatting>
  <conditionalFormatting sqref="E1:E180">
    <cfRule type="containsText" dxfId="9" priority="3" operator="containsText" text="Exclude">
      <formula>NOT(ISERROR(SEARCH("Exclude",E1)))</formula>
    </cfRule>
  </conditionalFormatting>
  <conditionalFormatting sqref="E181:E201">
    <cfRule type="containsText" dxfId="8" priority="1" operator="containsText" text="Exclude">
      <formula>NOT(ISERROR(SEARCH("Exclude",E181)))</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dimension ref="A1:L94"/>
  <sheetViews>
    <sheetView workbookViewId="0">
      <selection activeCell="J1" sqref="J1:L94"/>
    </sheetView>
  </sheetViews>
  <sheetFormatPr defaultRowHeight="14.5" x14ac:dyDescent="0.35"/>
  <sheetData>
    <row r="1" spans="1:12" ht="15" thickBot="1" x14ac:dyDescent="0.4">
      <c r="A1" t="s">
        <v>0</v>
      </c>
      <c r="B1" t="s">
        <v>1</v>
      </c>
      <c r="C1" t="s">
        <v>2</v>
      </c>
      <c r="D1" t="s">
        <v>3</v>
      </c>
      <c r="E1" t="s">
        <v>192</v>
      </c>
      <c r="F1" t="s">
        <v>193</v>
      </c>
      <c r="G1" t="s">
        <v>194</v>
      </c>
      <c r="H1" t="s">
        <v>195</v>
      </c>
      <c r="I1" t="s">
        <v>196</v>
      </c>
      <c r="J1" s="9" t="s">
        <v>109</v>
      </c>
      <c r="K1" s="10" t="s">
        <v>110</v>
      </c>
      <c r="L1" t="s">
        <v>213</v>
      </c>
    </row>
    <row r="2" spans="1:12" x14ac:dyDescent="0.35">
      <c r="A2" t="s">
        <v>8</v>
      </c>
      <c r="B2">
        <v>2019</v>
      </c>
      <c r="C2" t="s">
        <v>9</v>
      </c>
      <c r="D2" t="s">
        <v>175</v>
      </c>
      <c r="E2" t="b">
        <v>0</v>
      </c>
      <c r="F2" t="s">
        <v>197</v>
      </c>
      <c r="G2" t="s">
        <v>198</v>
      </c>
      <c r="I2">
        <v>0.9</v>
      </c>
      <c r="J2" t="s">
        <v>173</v>
      </c>
      <c r="K2" t="s">
        <v>205</v>
      </c>
      <c r="L2" t="b">
        <v>0</v>
      </c>
    </row>
    <row r="3" spans="1:12" x14ac:dyDescent="0.35">
      <c r="A3" t="s">
        <v>10</v>
      </c>
      <c r="B3">
        <v>2019</v>
      </c>
      <c r="C3" t="s">
        <v>11</v>
      </c>
      <c r="D3" t="s">
        <v>180</v>
      </c>
      <c r="E3" t="b">
        <v>0</v>
      </c>
      <c r="F3" t="s">
        <v>214</v>
      </c>
      <c r="G3" t="s">
        <v>198</v>
      </c>
      <c r="I3">
        <v>0.9</v>
      </c>
      <c r="J3" t="s">
        <v>112</v>
      </c>
      <c r="K3" t="s">
        <v>200</v>
      </c>
      <c r="L3" t="b">
        <v>1</v>
      </c>
    </row>
    <row r="4" spans="1:12" x14ac:dyDescent="0.35">
      <c r="A4" t="s">
        <v>12</v>
      </c>
      <c r="B4">
        <v>2019</v>
      </c>
      <c r="C4" t="s">
        <v>13</v>
      </c>
      <c r="D4" t="s">
        <v>176</v>
      </c>
      <c r="E4" t="b">
        <v>0</v>
      </c>
      <c r="F4" t="s">
        <v>215</v>
      </c>
      <c r="G4" t="s">
        <v>198</v>
      </c>
      <c r="I4">
        <v>0.9</v>
      </c>
      <c r="J4" t="s">
        <v>112</v>
      </c>
      <c r="K4" t="s">
        <v>206</v>
      </c>
      <c r="L4" t="b">
        <v>1</v>
      </c>
    </row>
    <row r="5" spans="1:12" x14ac:dyDescent="0.35">
      <c r="A5" t="s">
        <v>14</v>
      </c>
      <c r="B5">
        <v>2019</v>
      </c>
      <c r="C5" t="s">
        <v>15</v>
      </c>
      <c r="D5" t="s">
        <v>181</v>
      </c>
      <c r="E5" t="b">
        <v>1</v>
      </c>
      <c r="F5" t="s">
        <v>216</v>
      </c>
      <c r="G5" t="s">
        <v>200</v>
      </c>
      <c r="H5" t="s">
        <v>200</v>
      </c>
      <c r="I5">
        <v>0.9</v>
      </c>
      <c r="J5" t="s">
        <v>112</v>
      </c>
      <c r="K5" t="s">
        <v>206</v>
      </c>
      <c r="L5" t="b">
        <v>1</v>
      </c>
    </row>
    <row r="6" spans="1:12" x14ac:dyDescent="0.35">
      <c r="A6" t="s">
        <v>19</v>
      </c>
      <c r="B6">
        <v>2019</v>
      </c>
      <c r="C6" t="s">
        <v>20</v>
      </c>
      <c r="D6" t="s">
        <v>177</v>
      </c>
      <c r="E6" t="b">
        <v>0</v>
      </c>
      <c r="F6" t="s">
        <v>217</v>
      </c>
      <c r="G6" t="s">
        <v>198</v>
      </c>
      <c r="I6">
        <v>1</v>
      </c>
      <c r="J6" t="s">
        <v>112</v>
      </c>
      <c r="K6" t="s">
        <v>206</v>
      </c>
      <c r="L6" t="b">
        <v>1</v>
      </c>
    </row>
    <row r="7" spans="1:12" x14ac:dyDescent="0.35">
      <c r="A7" t="s">
        <v>21</v>
      </c>
      <c r="B7">
        <v>2019</v>
      </c>
      <c r="C7" t="s">
        <v>22</v>
      </c>
      <c r="D7" t="s">
        <v>218</v>
      </c>
      <c r="E7" t="b">
        <v>0</v>
      </c>
      <c r="F7" t="s">
        <v>219</v>
      </c>
      <c r="G7" t="s">
        <v>198</v>
      </c>
      <c r="I7">
        <v>0.9</v>
      </c>
      <c r="J7" t="s">
        <v>112</v>
      </c>
      <c r="K7" t="s">
        <v>206</v>
      </c>
      <c r="L7" t="b">
        <v>1</v>
      </c>
    </row>
    <row r="8" spans="1:12" x14ac:dyDescent="0.35">
      <c r="A8" t="s">
        <v>23</v>
      </c>
      <c r="B8">
        <v>2019</v>
      </c>
      <c r="C8" t="s">
        <v>182</v>
      </c>
      <c r="D8" t="s">
        <v>183</v>
      </c>
      <c r="E8" t="b">
        <v>0</v>
      </c>
      <c r="F8" t="s">
        <v>201</v>
      </c>
      <c r="G8" t="s">
        <v>198</v>
      </c>
      <c r="I8">
        <v>0.95</v>
      </c>
      <c r="J8" t="s">
        <v>173</v>
      </c>
      <c r="K8" t="s">
        <v>205</v>
      </c>
      <c r="L8" t="b">
        <v>0</v>
      </c>
    </row>
    <row r="9" spans="1:12" x14ac:dyDescent="0.35">
      <c r="A9" t="s">
        <v>24</v>
      </c>
      <c r="B9">
        <v>2019</v>
      </c>
      <c r="C9" t="s">
        <v>25</v>
      </c>
      <c r="D9" t="s">
        <v>26</v>
      </c>
      <c r="E9" t="b">
        <v>0</v>
      </c>
      <c r="F9" t="s">
        <v>220</v>
      </c>
      <c r="G9" t="s">
        <v>198</v>
      </c>
      <c r="I9">
        <v>0.9</v>
      </c>
      <c r="J9" t="s">
        <v>173</v>
      </c>
      <c r="K9" t="s">
        <v>205</v>
      </c>
      <c r="L9" t="b">
        <v>0</v>
      </c>
    </row>
    <row r="10" spans="1:12" x14ac:dyDescent="0.35">
      <c r="A10" t="s">
        <v>27</v>
      </c>
      <c r="B10">
        <v>2019</v>
      </c>
      <c r="C10" t="s">
        <v>28</v>
      </c>
      <c r="D10" t="s">
        <v>29</v>
      </c>
      <c r="E10" t="b">
        <v>0</v>
      </c>
      <c r="F10" t="s">
        <v>221</v>
      </c>
      <c r="G10" t="s">
        <v>198</v>
      </c>
      <c r="I10">
        <v>0.9</v>
      </c>
      <c r="J10" t="s">
        <v>173</v>
      </c>
      <c r="K10" t="s">
        <v>205</v>
      </c>
      <c r="L10" t="b">
        <v>0</v>
      </c>
    </row>
    <row r="11" spans="1:12" x14ac:dyDescent="0.35">
      <c r="A11" t="s">
        <v>31</v>
      </c>
      <c r="B11">
        <v>2019</v>
      </c>
      <c r="C11" t="s">
        <v>222</v>
      </c>
      <c r="D11" t="s">
        <v>223</v>
      </c>
      <c r="E11" t="b">
        <v>0</v>
      </c>
      <c r="F11" t="s">
        <v>224</v>
      </c>
      <c r="G11" t="s">
        <v>198</v>
      </c>
      <c r="I11">
        <v>0.9</v>
      </c>
      <c r="J11" t="s">
        <v>173</v>
      </c>
      <c r="K11" t="s">
        <v>205</v>
      </c>
      <c r="L11" t="b">
        <v>0</v>
      </c>
    </row>
    <row r="12" spans="1:12" x14ac:dyDescent="0.35">
      <c r="A12" t="s">
        <v>32</v>
      </c>
      <c r="B12">
        <v>2019</v>
      </c>
      <c r="C12" t="s">
        <v>33</v>
      </c>
      <c r="D12" t="s">
        <v>225</v>
      </c>
      <c r="E12" t="b">
        <v>1</v>
      </c>
      <c r="F12" t="s">
        <v>226</v>
      </c>
      <c r="G12" t="s">
        <v>207</v>
      </c>
      <c r="H12" t="s">
        <v>207</v>
      </c>
      <c r="I12">
        <v>0.9</v>
      </c>
      <c r="J12" t="s">
        <v>112</v>
      </c>
      <c r="K12" t="s">
        <v>207</v>
      </c>
      <c r="L12" t="b">
        <v>1</v>
      </c>
    </row>
    <row r="13" spans="1:12" x14ac:dyDescent="0.35">
      <c r="A13" t="s">
        <v>42</v>
      </c>
      <c r="B13">
        <v>2019</v>
      </c>
      <c r="C13" t="s">
        <v>43</v>
      </c>
      <c r="D13" t="s">
        <v>44</v>
      </c>
      <c r="E13" t="b">
        <v>0</v>
      </c>
      <c r="F13" t="s">
        <v>227</v>
      </c>
      <c r="G13" t="s">
        <v>198</v>
      </c>
      <c r="I13">
        <v>0.9</v>
      </c>
      <c r="J13" t="s">
        <v>173</v>
      </c>
      <c r="K13" t="s">
        <v>205</v>
      </c>
      <c r="L13" t="b">
        <v>0</v>
      </c>
    </row>
    <row r="14" spans="1:12" x14ac:dyDescent="0.35">
      <c r="A14" t="s">
        <v>45</v>
      </c>
      <c r="B14">
        <v>2019</v>
      </c>
      <c r="C14" t="s">
        <v>46</v>
      </c>
      <c r="D14" t="s">
        <v>228</v>
      </c>
      <c r="E14" t="b">
        <v>0</v>
      </c>
      <c r="F14" t="s">
        <v>229</v>
      </c>
      <c r="G14" t="s">
        <v>198</v>
      </c>
      <c r="I14">
        <v>0.9</v>
      </c>
      <c r="J14" t="s">
        <v>112</v>
      </c>
      <c r="K14" t="s">
        <v>206</v>
      </c>
      <c r="L14" t="b">
        <v>1</v>
      </c>
    </row>
    <row r="15" spans="1:12" x14ac:dyDescent="0.35">
      <c r="A15" t="s">
        <v>47</v>
      </c>
      <c r="B15">
        <v>2019</v>
      </c>
      <c r="C15" t="s">
        <v>48</v>
      </c>
      <c r="D15" t="s">
        <v>178</v>
      </c>
      <c r="E15" t="b">
        <v>0</v>
      </c>
      <c r="F15" t="s">
        <v>230</v>
      </c>
      <c r="G15" t="s">
        <v>198</v>
      </c>
      <c r="I15">
        <v>0.9</v>
      </c>
      <c r="J15" t="s">
        <v>173</v>
      </c>
      <c r="K15" t="s">
        <v>205</v>
      </c>
      <c r="L15" t="b">
        <v>0</v>
      </c>
    </row>
    <row r="16" spans="1:12" x14ac:dyDescent="0.35">
      <c r="A16" t="s">
        <v>49</v>
      </c>
      <c r="B16">
        <v>2019</v>
      </c>
      <c r="C16" t="s">
        <v>184</v>
      </c>
      <c r="D16" t="s">
        <v>185</v>
      </c>
      <c r="E16" t="b">
        <v>0</v>
      </c>
      <c r="F16" t="s">
        <v>231</v>
      </c>
      <c r="G16" t="s">
        <v>198</v>
      </c>
      <c r="I16">
        <v>0.9</v>
      </c>
      <c r="J16" t="s">
        <v>112</v>
      </c>
      <c r="K16" t="s">
        <v>200</v>
      </c>
      <c r="L16" t="b">
        <v>1</v>
      </c>
    </row>
    <row r="17" spans="1:12" x14ac:dyDescent="0.35">
      <c r="A17" t="s">
        <v>50</v>
      </c>
      <c r="B17">
        <v>2019</v>
      </c>
      <c r="C17" t="s">
        <v>186</v>
      </c>
      <c r="D17" t="s">
        <v>187</v>
      </c>
      <c r="E17" t="b">
        <v>0</v>
      </c>
      <c r="F17" t="s">
        <v>202</v>
      </c>
      <c r="G17" t="s">
        <v>198</v>
      </c>
      <c r="I17">
        <v>1</v>
      </c>
      <c r="J17" t="s">
        <v>112</v>
      </c>
      <c r="K17" t="s">
        <v>200</v>
      </c>
      <c r="L17" t="b">
        <v>1</v>
      </c>
    </row>
    <row r="18" spans="1:12" x14ac:dyDescent="0.35">
      <c r="A18" t="s">
        <v>57</v>
      </c>
      <c r="B18">
        <v>2019</v>
      </c>
      <c r="C18" t="s">
        <v>58</v>
      </c>
      <c r="D18" t="s">
        <v>188</v>
      </c>
      <c r="E18" t="b">
        <v>0</v>
      </c>
      <c r="F18" t="s">
        <v>199</v>
      </c>
      <c r="G18" t="s">
        <v>198</v>
      </c>
      <c r="I18">
        <v>0.9</v>
      </c>
      <c r="J18" t="s">
        <v>173</v>
      </c>
      <c r="K18" t="s">
        <v>205</v>
      </c>
      <c r="L18" t="b">
        <v>0</v>
      </c>
    </row>
    <row r="19" spans="1:12" x14ac:dyDescent="0.35">
      <c r="A19" t="s">
        <v>60</v>
      </c>
      <c r="B19">
        <v>2019</v>
      </c>
      <c r="C19" t="s">
        <v>61</v>
      </c>
      <c r="D19" t="s">
        <v>232</v>
      </c>
      <c r="E19" t="b">
        <v>0</v>
      </c>
      <c r="F19" t="s">
        <v>233</v>
      </c>
      <c r="G19" t="s">
        <v>198</v>
      </c>
      <c r="I19">
        <v>0.95</v>
      </c>
      <c r="J19" t="s">
        <v>173</v>
      </c>
      <c r="K19" t="s">
        <v>205</v>
      </c>
      <c r="L19" t="b">
        <v>0</v>
      </c>
    </row>
    <row r="20" spans="1:12" x14ac:dyDescent="0.35">
      <c r="A20" t="s">
        <v>62</v>
      </c>
      <c r="B20">
        <v>2019</v>
      </c>
      <c r="C20" t="s">
        <v>63</v>
      </c>
      <c r="D20" t="s">
        <v>189</v>
      </c>
      <c r="E20" t="b">
        <v>0</v>
      </c>
      <c r="F20" t="s">
        <v>234</v>
      </c>
      <c r="G20" t="s">
        <v>198</v>
      </c>
      <c r="I20">
        <v>0.95</v>
      </c>
      <c r="J20" t="s">
        <v>173</v>
      </c>
      <c r="K20" t="s">
        <v>205</v>
      </c>
      <c r="L20" t="b">
        <v>0</v>
      </c>
    </row>
    <row r="21" spans="1:12" x14ac:dyDescent="0.35">
      <c r="A21" t="s">
        <v>74</v>
      </c>
      <c r="B21">
        <v>2019</v>
      </c>
      <c r="C21" t="s">
        <v>75</v>
      </c>
      <c r="D21" t="s">
        <v>190</v>
      </c>
      <c r="E21" t="b">
        <v>1</v>
      </c>
      <c r="F21" t="s">
        <v>235</v>
      </c>
      <c r="G21" t="s">
        <v>200</v>
      </c>
      <c r="H21" t="s">
        <v>200</v>
      </c>
      <c r="I21">
        <v>0.9</v>
      </c>
      <c r="J21" t="s">
        <v>112</v>
      </c>
      <c r="K21" t="s">
        <v>200</v>
      </c>
      <c r="L21" t="b">
        <v>1</v>
      </c>
    </row>
    <row r="22" spans="1:12" x14ac:dyDescent="0.35">
      <c r="A22" t="s">
        <v>76</v>
      </c>
      <c r="B22">
        <v>2019</v>
      </c>
      <c r="C22" t="s">
        <v>77</v>
      </c>
      <c r="D22" t="s">
        <v>236</v>
      </c>
      <c r="E22" t="b">
        <v>0</v>
      </c>
      <c r="F22" t="s">
        <v>237</v>
      </c>
      <c r="G22" t="s">
        <v>198</v>
      </c>
      <c r="I22">
        <v>0.9</v>
      </c>
      <c r="J22" t="s">
        <v>173</v>
      </c>
      <c r="K22" t="s">
        <v>205</v>
      </c>
      <c r="L22" t="b">
        <v>0</v>
      </c>
    </row>
    <row r="23" spans="1:12" x14ac:dyDescent="0.35">
      <c r="A23" t="s">
        <v>78</v>
      </c>
      <c r="B23">
        <v>2019</v>
      </c>
      <c r="C23" t="s">
        <v>79</v>
      </c>
      <c r="D23" t="s">
        <v>179</v>
      </c>
      <c r="E23" t="b">
        <v>0</v>
      </c>
      <c r="F23" t="s">
        <v>238</v>
      </c>
      <c r="G23" t="s">
        <v>198</v>
      </c>
      <c r="I23">
        <v>0.9</v>
      </c>
      <c r="J23" t="s">
        <v>112</v>
      </c>
      <c r="K23" t="s">
        <v>200</v>
      </c>
      <c r="L23" t="b">
        <v>1</v>
      </c>
    </row>
    <row r="24" spans="1:12" x14ac:dyDescent="0.35">
      <c r="A24" t="s">
        <v>83</v>
      </c>
      <c r="B24">
        <v>2019</v>
      </c>
      <c r="C24" t="s">
        <v>84</v>
      </c>
      <c r="D24" t="s">
        <v>191</v>
      </c>
      <c r="E24" t="b">
        <v>0</v>
      </c>
      <c r="F24" t="s">
        <v>203</v>
      </c>
      <c r="G24" t="s">
        <v>198</v>
      </c>
      <c r="I24">
        <v>0.95</v>
      </c>
      <c r="J24" t="s">
        <v>173</v>
      </c>
      <c r="K24" t="s">
        <v>205</v>
      </c>
      <c r="L24" t="b">
        <v>0</v>
      </c>
    </row>
    <row r="25" spans="1:12" ht="409.5" x14ac:dyDescent="0.35">
      <c r="A25" t="s">
        <v>85</v>
      </c>
      <c r="B25">
        <v>2019</v>
      </c>
      <c r="C25" t="s">
        <v>86</v>
      </c>
      <c r="D25" s="1" t="s">
        <v>87</v>
      </c>
      <c r="E25" t="b">
        <v>0</v>
      </c>
      <c r="F25" t="s">
        <v>239</v>
      </c>
      <c r="G25" t="s">
        <v>198</v>
      </c>
      <c r="I25">
        <v>0.9</v>
      </c>
      <c r="J25" t="s">
        <v>173</v>
      </c>
      <c r="K25" t="s">
        <v>205</v>
      </c>
      <c r="L25" t="b">
        <v>0</v>
      </c>
    </row>
    <row r="26" spans="1:12" x14ac:dyDescent="0.35">
      <c r="A26" t="s">
        <v>91</v>
      </c>
      <c r="B26">
        <v>2019</v>
      </c>
      <c r="C26" t="s">
        <v>92</v>
      </c>
      <c r="D26" t="s">
        <v>93</v>
      </c>
      <c r="E26" t="b">
        <v>1</v>
      </c>
      <c r="F26" t="s">
        <v>240</v>
      </c>
      <c r="G26" t="s">
        <v>200</v>
      </c>
      <c r="H26" t="s">
        <v>200</v>
      </c>
      <c r="I26">
        <v>0.9</v>
      </c>
      <c r="J26" t="s">
        <v>112</v>
      </c>
      <c r="K26" t="s">
        <v>210</v>
      </c>
      <c r="L26" t="b">
        <v>1</v>
      </c>
    </row>
    <row r="27" spans="1:12" x14ac:dyDescent="0.35">
      <c r="A27" t="s">
        <v>94</v>
      </c>
      <c r="B27">
        <v>2019</v>
      </c>
      <c r="C27" t="s">
        <v>95</v>
      </c>
      <c r="D27" t="s">
        <v>96</v>
      </c>
      <c r="E27" t="b">
        <v>1</v>
      </c>
      <c r="F27" t="s">
        <v>204</v>
      </c>
      <c r="G27" t="s">
        <v>200</v>
      </c>
      <c r="H27" t="s">
        <v>200</v>
      </c>
      <c r="I27">
        <v>0.9</v>
      </c>
      <c r="J27" t="s">
        <v>112</v>
      </c>
      <c r="K27" t="s">
        <v>200</v>
      </c>
      <c r="L27" t="b">
        <v>1</v>
      </c>
    </row>
    <row r="28" spans="1:12" x14ac:dyDescent="0.35">
      <c r="A28" t="s">
        <v>99</v>
      </c>
      <c r="B28">
        <v>2019</v>
      </c>
      <c r="C28" t="s">
        <v>100</v>
      </c>
      <c r="D28" t="s">
        <v>101</v>
      </c>
      <c r="E28" t="b">
        <v>1</v>
      </c>
      <c r="F28" t="s">
        <v>241</v>
      </c>
      <c r="G28" t="s">
        <v>200</v>
      </c>
      <c r="H28" t="s">
        <v>200</v>
      </c>
      <c r="I28">
        <v>0.9</v>
      </c>
      <c r="J28" t="s">
        <v>173</v>
      </c>
      <c r="K28" t="s">
        <v>211</v>
      </c>
      <c r="L28" t="b">
        <v>0</v>
      </c>
    </row>
    <row r="29" spans="1:12" x14ac:dyDescent="0.35">
      <c r="A29" t="s">
        <v>103</v>
      </c>
      <c r="B29">
        <v>2019</v>
      </c>
      <c r="C29" t="s">
        <v>104</v>
      </c>
      <c r="D29" t="s">
        <v>105</v>
      </c>
      <c r="E29" t="b">
        <v>1</v>
      </c>
      <c r="F29" t="s">
        <v>242</v>
      </c>
      <c r="G29" t="s">
        <v>200</v>
      </c>
      <c r="H29" t="s">
        <v>200</v>
      </c>
      <c r="I29">
        <v>0.9</v>
      </c>
      <c r="J29" t="s">
        <v>112</v>
      </c>
      <c r="K29" t="s">
        <v>200</v>
      </c>
      <c r="L29" t="b">
        <v>1</v>
      </c>
    </row>
    <row r="30" spans="1:12" x14ac:dyDescent="0.35">
      <c r="A30" t="s">
        <v>243</v>
      </c>
      <c r="B30">
        <v>2019</v>
      </c>
      <c r="C30" t="s">
        <v>244</v>
      </c>
      <c r="D30" t="s">
        <v>245</v>
      </c>
      <c r="E30" t="b">
        <v>0</v>
      </c>
      <c r="F30" t="s">
        <v>246</v>
      </c>
      <c r="G30" t="s">
        <v>198</v>
      </c>
      <c r="I30">
        <v>0.9</v>
      </c>
      <c r="J30" t="s">
        <v>173</v>
      </c>
      <c r="K30" t="s">
        <v>205</v>
      </c>
      <c r="L30" t="b">
        <v>0</v>
      </c>
    </row>
    <row r="31" spans="1:12" x14ac:dyDescent="0.35">
      <c r="A31" t="s">
        <v>247</v>
      </c>
      <c r="B31">
        <v>2019</v>
      </c>
      <c r="C31" t="s">
        <v>248</v>
      </c>
      <c r="D31" t="s">
        <v>249</v>
      </c>
      <c r="E31" t="b">
        <v>1</v>
      </c>
      <c r="F31" t="s">
        <v>250</v>
      </c>
      <c r="G31" t="s">
        <v>207</v>
      </c>
      <c r="H31" t="s">
        <v>207</v>
      </c>
      <c r="I31">
        <v>0.9</v>
      </c>
      <c r="J31" t="s">
        <v>173</v>
      </c>
      <c r="K31" t="s">
        <v>205</v>
      </c>
      <c r="L31" t="b">
        <v>0</v>
      </c>
    </row>
    <row r="32" spans="1:12" x14ac:dyDescent="0.35">
      <c r="A32" t="s">
        <v>251</v>
      </c>
      <c r="B32">
        <v>2019</v>
      </c>
      <c r="C32" t="s">
        <v>252</v>
      </c>
      <c r="D32" t="s">
        <v>253</v>
      </c>
      <c r="E32" t="b">
        <v>0</v>
      </c>
      <c r="F32" t="s">
        <v>254</v>
      </c>
      <c r="G32" t="s">
        <v>198</v>
      </c>
      <c r="I32">
        <v>0.9</v>
      </c>
      <c r="J32" t="s">
        <v>173</v>
      </c>
      <c r="K32" t="s">
        <v>205</v>
      </c>
      <c r="L32" t="b">
        <v>0</v>
      </c>
    </row>
    <row r="33" spans="1:12" x14ac:dyDescent="0.35">
      <c r="A33" t="s">
        <v>255</v>
      </c>
      <c r="B33">
        <v>2019</v>
      </c>
      <c r="C33" t="s">
        <v>256</v>
      </c>
      <c r="D33" t="s">
        <v>257</v>
      </c>
      <c r="E33" t="b">
        <v>0</v>
      </c>
      <c r="F33" t="s">
        <v>258</v>
      </c>
      <c r="G33" t="s">
        <v>198</v>
      </c>
      <c r="I33">
        <v>0.9</v>
      </c>
      <c r="J33" t="s">
        <v>173</v>
      </c>
      <c r="K33" t="s">
        <v>205</v>
      </c>
      <c r="L33" t="b">
        <v>0</v>
      </c>
    </row>
    <row r="34" spans="1:12" x14ac:dyDescent="0.35">
      <c r="A34" t="s">
        <v>259</v>
      </c>
      <c r="B34">
        <v>2019</v>
      </c>
      <c r="C34" t="s">
        <v>260</v>
      </c>
      <c r="D34" t="s">
        <v>261</v>
      </c>
      <c r="E34" t="b">
        <v>0</v>
      </c>
      <c r="F34" t="s">
        <v>262</v>
      </c>
      <c r="G34" t="s">
        <v>198</v>
      </c>
      <c r="I34">
        <v>0.9</v>
      </c>
      <c r="J34" t="s">
        <v>112</v>
      </c>
      <c r="K34" t="s">
        <v>200</v>
      </c>
      <c r="L34" t="b">
        <v>1</v>
      </c>
    </row>
    <row r="35" spans="1:12" x14ac:dyDescent="0.35">
      <c r="A35" t="s">
        <v>263</v>
      </c>
      <c r="B35">
        <v>2019</v>
      </c>
      <c r="C35" t="s">
        <v>264</v>
      </c>
      <c r="D35" t="s">
        <v>265</v>
      </c>
      <c r="E35" t="b">
        <v>0</v>
      </c>
      <c r="F35" t="s">
        <v>266</v>
      </c>
      <c r="G35" t="s">
        <v>198</v>
      </c>
      <c r="I35">
        <v>0.9</v>
      </c>
      <c r="J35" t="s">
        <v>173</v>
      </c>
      <c r="K35" t="s">
        <v>205</v>
      </c>
      <c r="L35" t="b">
        <v>0</v>
      </c>
    </row>
    <row r="36" spans="1:12" x14ac:dyDescent="0.35">
      <c r="A36" t="s">
        <v>267</v>
      </c>
      <c r="B36">
        <v>2019</v>
      </c>
      <c r="C36" t="s">
        <v>268</v>
      </c>
      <c r="D36" t="s">
        <v>269</v>
      </c>
      <c r="E36" t="b">
        <v>0</v>
      </c>
      <c r="F36" t="s">
        <v>270</v>
      </c>
      <c r="G36" t="s">
        <v>198</v>
      </c>
      <c r="I36">
        <v>0.9</v>
      </c>
      <c r="J36" t="s">
        <v>173</v>
      </c>
      <c r="K36" t="s">
        <v>809</v>
      </c>
      <c r="L36" t="b">
        <v>0</v>
      </c>
    </row>
    <row r="37" spans="1:12" ht="409.5" x14ac:dyDescent="0.35">
      <c r="A37" t="s">
        <v>271</v>
      </c>
      <c r="B37">
        <v>2019</v>
      </c>
      <c r="C37" t="s">
        <v>272</v>
      </c>
      <c r="D37" s="1" t="s">
        <v>273</v>
      </c>
      <c r="E37" t="b">
        <v>1</v>
      </c>
      <c r="F37" t="s">
        <v>274</v>
      </c>
      <c r="G37" t="s">
        <v>207</v>
      </c>
      <c r="H37" t="s">
        <v>207</v>
      </c>
      <c r="I37">
        <v>0.95</v>
      </c>
      <c r="J37" t="s">
        <v>112</v>
      </c>
      <c r="K37" t="s">
        <v>207</v>
      </c>
      <c r="L37" t="b">
        <v>1</v>
      </c>
    </row>
    <row r="38" spans="1:12" x14ac:dyDescent="0.35">
      <c r="A38" t="s">
        <v>275</v>
      </c>
      <c r="B38">
        <v>2019</v>
      </c>
      <c r="C38" t="s">
        <v>276</v>
      </c>
      <c r="D38" t="s">
        <v>277</v>
      </c>
      <c r="E38" t="b">
        <v>1</v>
      </c>
      <c r="F38" t="s">
        <v>278</v>
      </c>
      <c r="G38" t="s">
        <v>200</v>
      </c>
      <c r="H38" t="s">
        <v>200</v>
      </c>
      <c r="I38">
        <v>0.9</v>
      </c>
      <c r="J38" t="s">
        <v>173</v>
      </c>
      <c r="K38" t="s">
        <v>205</v>
      </c>
      <c r="L38" t="b">
        <v>0</v>
      </c>
    </row>
    <row r="39" spans="1:12" x14ac:dyDescent="0.35">
      <c r="A39" t="s">
        <v>279</v>
      </c>
      <c r="B39">
        <v>2019</v>
      </c>
      <c r="C39" t="s">
        <v>280</v>
      </c>
      <c r="D39" t="s">
        <v>281</v>
      </c>
      <c r="E39" t="b">
        <v>1</v>
      </c>
      <c r="F39" t="s">
        <v>278</v>
      </c>
      <c r="G39" t="s">
        <v>200</v>
      </c>
      <c r="H39" t="s">
        <v>200</v>
      </c>
      <c r="I39">
        <v>0.9</v>
      </c>
      <c r="J39" t="s">
        <v>173</v>
      </c>
      <c r="K39" t="s">
        <v>205</v>
      </c>
      <c r="L39" t="b">
        <v>0</v>
      </c>
    </row>
    <row r="40" spans="1:12" x14ac:dyDescent="0.35">
      <c r="A40" t="s">
        <v>282</v>
      </c>
      <c r="B40">
        <v>2019</v>
      </c>
      <c r="C40" t="s">
        <v>283</v>
      </c>
      <c r="D40" t="s">
        <v>284</v>
      </c>
      <c r="E40" t="b">
        <v>1</v>
      </c>
      <c r="F40" t="s">
        <v>285</v>
      </c>
      <c r="G40" t="s">
        <v>207</v>
      </c>
      <c r="H40" t="s">
        <v>286</v>
      </c>
      <c r="I40">
        <v>0.9</v>
      </c>
      <c r="J40" t="s">
        <v>112</v>
      </c>
      <c r="K40" t="s">
        <v>200</v>
      </c>
      <c r="L40" t="b">
        <v>1</v>
      </c>
    </row>
    <row r="41" spans="1:12" x14ac:dyDescent="0.35">
      <c r="A41" t="s">
        <v>287</v>
      </c>
      <c r="B41">
        <v>2019</v>
      </c>
      <c r="C41" t="s">
        <v>288</v>
      </c>
      <c r="D41" t="s">
        <v>289</v>
      </c>
      <c r="E41" t="b">
        <v>0</v>
      </c>
      <c r="F41" t="s">
        <v>199</v>
      </c>
      <c r="G41" t="s">
        <v>198</v>
      </c>
      <c r="I41">
        <v>0.9</v>
      </c>
      <c r="J41" t="s">
        <v>173</v>
      </c>
      <c r="K41" t="s">
        <v>205</v>
      </c>
      <c r="L41" t="b">
        <v>0</v>
      </c>
    </row>
    <row r="42" spans="1:12" x14ac:dyDescent="0.35">
      <c r="A42" t="s">
        <v>290</v>
      </c>
      <c r="B42">
        <v>2019</v>
      </c>
      <c r="C42" t="s">
        <v>291</v>
      </c>
      <c r="D42" t="s">
        <v>292</v>
      </c>
      <c r="E42" t="b">
        <v>0</v>
      </c>
      <c r="F42" t="s">
        <v>293</v>
      </c>
      <c r="G42" t="s">
        <v>198</v>
      </c>
      <c r="I42">
        <v>0.9</v>
      </c>
      <c r="J42" t="s">
        <v>112</v>
      </c>
      <c r="K42" t="s">
        <v>200</v>
      </c>
      <c r="L42" t="b">
        <v>1</v>
      </c>
    </row>
    <row r="43" spans="1:12" x14ac:dyDescent="0.35">
      <c r="A43" t="s">
        <v>294</v>
      </c>
      <c r="B43">
        <v>2019</v>
      </c>
      <c r="C43" t="s">
        <v>295</v>
      </c>
      <c r="D43" t="s">
        <v>296</v>
      </c>
      <c r="E43" t="b">
        <v>0</v>
      </c>
      <c r="F43" t="s">
        <v>297</v>
      </c>
      <c r="G43" t="s">
        <v>198</v>
      </c>
      <c r="I43">
        <v>0.9</v>
      </c>
      <c r="J43" t="s">
        <v>173</v>
      </c>
      <c r="K43" t="s">
        <v>205</v>
      </c>
      <c r="L43" t="b">
        <v>0</v>
      </c>
    </row>
    <row r="44" spans="1:12" x14ac:dyDescent="0.35">
      <c r="A44" t="s">
        <v>298</v>
      </c>
      <c r="B44">
        <v>2019</v>
      </c>
      <c r="C44" t="s">
        <v>299</v>
      </c>
      <c r="D44" t="s">
        <v>300</v>
      </c>
      <c r="E44" t="b">
        <v>0</v>
      </c>
      <c r="F44" t="s">
        <v>301</v>
      </c>
      <c r="G44" t="s">
        <v>198</v>
      </c>
      <c r="I44">
        <v>0.9</v>
      </c>
      <c r="J44" t="s">
        <v>173</v>
      </c>
      <c r="K44" t="s">
        <v>211</v>
      </c>
      <c r="L44" t="b">
        <v>0</v>
      </c>
    </row>
    <row r="45" spans="1:12" x14ac:dyDescent="0.35">
      <c r="A45" t="s">
        <v>302</v>
      </c>
      <c r="B45">
        <v>2019</v>
      </c>
      <c r="C45" t="s">
        <v>303</v>
      </c>
      <c r="D45" t="s">
        <v>304</v>
      </c>
      <c r="E45" t="b">
        <v>1</v>
      </c>
      <c r="F45" t="s">
        <v>305</v>
      </c>
      <c r="G45" t="s">
        <v>200</v>
      </c>
      <c r="H45" t="s">
        <v>200</v>
      </c>
      <c r="I45">
        <v>0.9</v>
      </c>
      <c r="J45" t="s">
        <v>112</v>
      </c>
      <c r="K45" t="s">
        <v>206</v>
      </c>
      <c r="L45" t="b">
        <v>1</v>
      </c>
    </row>
    <row r="46" spans="1:12" x14ac:dyDescent="0.35">
      <c r="A46" t="s">
        <v>306</v>
      </c>
      <c r="B46">
        <v>2019</v>
      </c>
      <c r="C46" t="s">
        <v>307</v>
      </c>
      <c r="D46" t="s">
        <v>308</v>
      </c>
      <c r="E46" t="b">
        <v>0</v>
      </c>
      <c r="F46" t="s">
        <v>309</v>
      </c>
      <c r="G46" t="s">
        <v>198</v>
      </c>
      <c r="I46">
        <v>0.95</v>
      </c>
      <c r="J46" t="s">
        <v>112</v>
      </c>
      <c r="K46" t="s">
        <v>200</v>
      </c>
      <c r="L46" t="b">
        <v>1</v>
      </c>
    </row>
    <row r="47" spans="1:12" x14ac:dyDescent="0.35">
      <c r="A47" t="s">
        <v>310</v>
      </c>
      <c r="B47">
        <v>2021</v>
      </c>
      <c r="C47" t="s">
        <v>311</v>
      </c>
      <c r="D47" t="s">
        <v>312</v>
      </c>
      <c r="E47" t="b">
        <v>0</v>
      </c>
      <c r="F47" t="s">
        <v>313</v>
      </c>
      <c r="G47" t="s">
        <v>198</v>
      </c>
      <c r="I47">
        <v>0.9</v>
      </c>
      <c r="J47" t="s">
        <v>173</v>
      </c>
      <c r="K47" t="s">
        <v>205</v>
      </c>
      <c r="L47" t="b">
        <v>0</v>
      </c>
    </row>
    <row r="48" spans="1:12" x14ac:dyDescent="0.35">
      <c r="A48" t="s">
        <v>314</v>
      </c>
      <c r="B48">
        <v>2021</v>
      </c>
      <c r="C48" t="s">
        <v>315</v>
      </c>
      <c r="D48" t="s">
        <v>316</v>
      </c>
      <c r="E48" t="b">
        <v>1</v>
      </c>
      <c r="F48" t="s">
        <v>317</v>
      </c>
      <c r="G48" t="s">
        <v>208</v>
      </c>
      <c r="H48" t="s">
        <v>318</v>
      </c>
      <c r="I48">
        <v>0.9</v>
      </c>
      <c r="J48" t="s">
        <v>112</v>
      </c>
      <c r="K48" t="s">
        <v>207</v>
      </c>
      <c r="L48" t="b">
        <v>1</v>
      </c>
    </row>
    <row r="49" spans="1:12" x14ac:dyDescent="0.35">
      <c r="A49" t="s">
        <v>319</v>
      </c>
      <c r="B49">
        <v>2021</v>
      </c>
      <c r="C49" t="s">
        <v>320</v>
      </c>
      <c r="D49" t="s">
        <v>321</v>
      </c>
      <c r="E49" t="b">
        <v>0</v>
      </c>
      <c r="F49" t="s">
        <v>322</v>
      </c>
      <c r="G49" t="s">
        <v>198</v>
      </c>
      <c r="I49">
        <v>0.95</v>
      </c>
      <c r="J49" t="s">
        <v>173</v>
      </c>
      <c r="K49" t="s">
        <v>205</v>
      </c>
      <c r="L49" t="b">
        <v>0</v>
      </c>
    </row>
    <row r="50" spans="1:12" x14ac:dyDescent="0.35">
      <c r="A50" t="s">
        <v>323</v>
      </c>
      <c r="B50">
        <v>2021</v>
      </c>
      <c r="C50" t="s">
        <v>324</v>
      </c>
      <c r="D50" t="s">
        <v>325</v>
      </c>
      <c r="E50" t="b">
        <v>0</v>
      </c>
      <c r="F50" t="s">
        <v>326</v>
      </c>
      <c r="G50" t="s">
        <v>198</v>
      </c>
      <c r="I50">
        <v>0.9</v>
      </c>
      <c r="J50" t="s">
        <v>112</v>
      </c>
      <c r="K50" t="s">
        <v>812</v>
      </c>
      <c r="L50" t="b">
        <v>1</v>
      </c>
    </row>
    <row r="51" spans="1:12" x14ac:dyDescent="0.35">
      <c r="A51" t="s">
        <v>327</v>
      </c>
      <c r="B51">
        <v>2021</v>
      </c>
      <c r="C51" t="s">
        <v>328</v>
      </c>
      <c r="D51" t="s">
        <v>329</v>
      </c>
      <c r="E51" t="b">
        <v>0</v>
      </c>
      <c r="F51" t="s">
        <v>330</v>
      </c>
      <c r="G51" t="s">
        <v>198</v>
      </c>
      <c r="I51">
        <v>0.9</v>
      </c>
      <c r="J51" t="s">
        <v>112</v>
      </c>
      <c r="K51" t="s">
        <v>812</v>
      </c>
      <c r="L51" t="b">
        <v>1</v>
      </c>
    </row>
    <row r="52" spans="1:12" x14ac:dyDescent="0.35">
      <c r="A52" t="s">
        <v>331</v>
      </c>
      <c r="B52">
        <v>2021</v>
      </c>
      <c r="C52" t="s">
        <v>332</v>
      </c>
      <c r="D52" t="s">
        <v>333</v>
      </c>
      <c r="E52" t="b">
        <v>1</v>
      </c>
      <c r="F52" t="s">
        <v>334</v>
      </c>
      <c r="G52" t="s">
        <v>207</v>
      </c>
      <c r="H52" t="s">
        <v>207</v>
      </c>
      <c r="I52">
        <v>0.9</v>
      </c>
      <c r="J52" t="s">
        <v>173</v>
      </c>
      <c r="K52" t="s">
        <v>205</v>
      </c>
      <c r="L52" t="b">
        <v>0</v>
      </c>
    </row>
    <row r="53" spans="1:12" x14ac:dyDescent="0.35">
      <c r="A53" t="s">
        <v>335</v>
      </c>
      <c r="B53">
        <v>2021</v>
      </c>
      <c r="C53" t="s">
        <v>336</v>
      </c>
      <c r="D53" t="s">
        <v>337</v>
      </c>
      <c r="E53" t="b">
        <v>0</v>
      </c>
      <c r="F53" t="s">
        <v>338</v>
      </c>
      <c r="G53" t="s">
        <v>198</v>
      </c>
      <c r="I53">
        <v>0.9</v>
      </c>
      <c r="J53" t="s">
        <v>173</v>
      </c>
      <c r="K53" t="s">
        <v>205</v>
      </c>
      <c r="L53" t="b">
        <v>0</v>
      </c>
    </row>
    <row r="54" spans="1:12" x14ac:dyDescent="0.35">
      <c r="A54" t="s">
        <v>339</v>
      </c>
      <c r="B54">
        <v>2021</v>
      </c>
      <c r="C54" t="s">
        <v>340</v>
      </c>
      <c r="D54" t="s">
        <v>341</v>
      </c>
      <c r="E54" t="b">
        <v>0</v>
      </c>
      <c r="F54" t="s">
        <v>297</v>
      </c>
      <c r="G54" t="s">
        <v>198</v>
      </c>
      <c r="I54">
        <v>0.9</v>
      </c>
      <c r="J54" t="s">
        <v>173</v>
      </c>
      <c r="K54" t="s">
        <v>205</v>
      </c>
      <c r="L54" t="b">
        <v>0</v>
      </c>
    </row>
    <row r="55" spans="1:12" x14ac:dyDescent="0.35">
      <c r="A55" t="s">
        <v>342</v>
      </c>
      <c r="B55">
        <v>2021</v>
      </c>
      <c r="C55" t="s">
        <v>343</v>
      </c>
      <c r="D55" t="s">
        <v>344</v>
      </c>
      <c r="E55" t="b">
        <v>0</v>
      </c>
      <c r="F55" t="s">
        <v>345</v>
      </c>
      <c r="G55" t="s">
        <v>198</v>
      </c>
      <c r="I55">
        <v>0.9</v>
      </c>
      <c r="J55" t="s">
        <v>173</v>
      </c>
      <c r="K55" t="s">
        <v>205</v>
      </c>
      <c r="L55" t="b">
        <v>0</v>
      </c>
    </row>
    <row r="56" spans="1:12" ht="409.5" x14ac:dyDescent="0.35">
      <c r="A56" t="s">
        <v>346</v>
      </c>
      <c r="B56">
        <v>2021</v>
      </c>
      <c r="C56" t="s">
        <v>347</v>
      </c>
      <c r="D56" s="1" t="s">
        <v>348</v>
      </c>
      <c r="E56" t="b">
        <v>1</v>
      </c>
      <c r="F56" t="s">
        <v>349</v>
      </c>
      <c r="G56" t="s">
        <v>207</v>
      </c>
      <c r="H56" t="s">
        <v>207</v>
      </c>
      <c r="I56">
        <v>0.9</v>
      </c>
      <c r="J56" t="s">
        <v>173</v>
      </c>
      <c r="K56" t="s">
        <v>205</v>
      </c>
      <c r="L56" t="b">
        <v>0</v>
      </c>
    </row>
    <row r="57" spans="1:12" x14ac:dyDescent="0.35">
      <c r="A57" t="s">
        <v>350</v>
      </c>
      <c r="B57">
        <v>2021</v>
      </c>
      <c r="C57" t="s">
        <v>351</v>
      </c>
      <c r="D57" t="s">
        <v>352</v>
      </c>
      <c r="E57" t="b">
        <v>0</v>
      </c>
      <c r="F57" t="s">
        <v>199</v>
      </c>
      <c r="G57" t="s">
        <v>198</v>
      </c>
      <c r="I57">
        <v>0.9</v>
      </c>
      <c r="J57" t="s">
        <v>173</v>
      </c>
      <c r="K57" t="s">
        <v>205</v>
      </c>
      <c r="L57" t="b">
        <v>0</v>
      </c>
    </row>
    <row r="58" spans="1:12" x14ac:dyDescent="0.35">
      <c r="A58" t="s">
        <v>353</v>
      </c>
      <c r="B58">
        <v>2021</v>
      </c>
      <c r="C58" t="s">
        <v>354</v>
      </c>
      <c r="D58" t="s">
        <v>355</v>
      </c>
      <c r="E58" t="b">
        <v>0</v>
      </c>
      <c r="F58" t="s">
        <v>356</v>
      </c>
      <c r="G58" t="s">
        <v>198</v>
      </c>
      <c r="I58">
        <v>0.95</v>
      </c>
      <c r="J58" t="s">
        <v>173</v>
      </c>
      <c r="K58" t="s">
        <v>205</v>
      </c>
      <c r="L58" t="b">
        <v>0</v>
      </c>
    </row>
    <row r="59" spans="1:12" x14ac:dyDescent="0.35">
      <c r="A59" t="s">
        <v>357</v>
      </c>
      <c r="B59">
        <v>2021</v>
      </c>
      <c r="C59" t="s">
        <v>358</v>
      </c>
      <c r="D59" t="s">
        <v>359</v>
      </c>
      <c r="E59" t="b">
        <v>0</v>
      </c>
      <c r="F59" t="s">
        <v>360</v>
      </c>
      <c r="G59" t="s">
        <v>198</v>
      </c>
      <c r="I59">
        <v>0.9</v>
      </c>
      <c r="J59" t="s">
        <v>173</v>
      </c>
      <c r="K59" t="s">
        <v>205</v>
      </c>
      <c r="L59" t="b">
        <v>0</v>
      </c>
    </row>
    <row r="60" spans="1:12" x14ac:dyDescent="0.35">
      <c r="A60" t="s">
        <v>361</v>
      </c>
      <c r="B60">
        <v>2021</v>
      </c>
      <c r="C60" t="s">
        <v>362</v>
      </c>
      <c r="D60" t="s">
        <v>363</v>
      </c>
      <c r="E60" t="b">
        <v>0</v>
      </c>
      <c r="F60" t="s">
        <v>364</v>
      </c>
      <c r="G60" t="s">
        <v>198</v>
      </c>
      <c r="I60">
        <v>0.9</v>
      </c>
      <c r="J60" t="s">
        <v>173</v>
      </c>
      <c r="K60" t="s">
        <v>205</v>
      </c>
      <c r="L60" t="b">
        <v>0</v>
      </c>
    </row>
    <row r="61" spans="1:12" x14ac:dyDescent="0.35">
      <c r="A61" t="s">
        <v>365</v>
      </c>
      <c r="B61">
        <v>2021</v>
      </c>
      <c r="C61" t="s">
        <v>366</v>
      </c>
      <c r="D61" t="s">
        <v>367</v>
      </c>
      <c r="E61" t="b">
        <v>1</v>
      </c>
      <c r="F61" t="s">
        <v>368</v>
      </c>
      <c r="G61" t="s">
        <v>200</v>
      </c>
      <c r="H61" t="s">
        <v>200</v>
      </c>
      <c r="I61">
        <v>0.9</v>
      </c>
      <c r="J61" t="s">
        <v>112</v>
      </c>
      <c r="K61" t="s">
        <v>813</v>
      </c>
      <c r="L61" t="b">
        <v>1</v>
      </c>
    </row>
    <row r="62" spans="1:12" x14ac:dyDescent="0.35">
      <c r="A62" t="s">
        <v>369</v>
      </c>
      <c r="B62">
        <v>2021</v>
      </c>
      <c r="C62" t="s">
        <v>370</v>
      </c>
      <c r="D62" t="s">
        <v>371</v>
      </c>
      <c r="E62" t="b">
        <v>0</v>
      </c>
      <c r="F62" t="s">
        <v>199</v>
      </c>
      <c r="G62" t="s">
        <v>198</v>
      </c>
      <c r="I62">
        <v>0.9</v>
      </c>
      <c r="J62" t="s">
        <v>112</v>
      </c>
      <c r="K62" t="s">
        <v>200</v>
      </c>
      <c r="L62" t="b">
        <v>1</v>
      </c>
    </row>
    <row r="63" spans="1:12" x14ac:dyDescent="0.35">
      <c r="A63" t="s">
        <v>372</v>
      </c>
      <c r="B63">
        <v>2021</v>
      </c>
      <c r="C63" t="s">
        <v>373</v>
      </c>
      <c r="D63" t="s">
        <v>374</v>
      </c>
      <c r="E63" t="b">
        <v>0</v>
      </c>
      <c r="F63" t="s">
        <v>375</v>
      </c>
      <c r="G63" t="s">
        <v>198</v>
      </c>
      <c r="I63">
        <v>0.95</v>
      </c>
      <c r="J63" t="s">
        <v>112</v>
      </c>
      <c r="K63" t="s">
        <v>200</v>
      </c>
      <c r="L63" t="b">
        <v>1</v>
      </c>
    </row>
    <row r="64" spans="1:12" x14ac:dyDescent="0.35">
      <c r="A64" t="s">
        <v>376</v>
      </c>
      <c r="B64">
        <v>2021</v>
      </c>
      <c r="C64" t="s">
        <v>377</v>
      </c>
      <c r="D64" t="s">
        <v>378</v>
      </c>
      <c r="E64" t="b">
        <v>1</v>
      </c>
      <c r="F64" t="s">
        <v>379</v>
      </c>
      <c r="G64" t="s">
        <v>207</v>
      </c>
      <c r="H64" t="s">
        <v>207</v>
      </c>
      <c r="I64">
        <v>0.9</v>
      </c>
      <c r="J64" t="s">
        <v>112</v>
      </c>
      <c r="K64" t="s">
        <v>206</v>
      </c>
      <c r="L64" t="b">
        <v>1</v>
      </c>
    </row>
    <row r="65" spans="1:12" ht="409.5" x14ac:dyDescent="0.35">
      <c r="A65" t="s">
        <v>380</v>
      </c>
      <c r="B65">
        <v>2021</v>
      </c>
      <c r="C65" t="s">
        <v>381</v>
      </c>
      <c r="D65" s="1" t="s">
        <v>382</v>
      </c>
      <c r="E65" t="b">
        <v>0</v>
      </c>
      <c r="F65" t="s">
        <v>383</v>
      </c>
      <c r="G65" t="s">
        <v>198</v>
      </c>
      <c r="I65">
        <v>0.9</v>
      </c>
      <c r="J65" t="s">
        <v>173</v>
      </c>
      <c r="K65" t="s">
        <v>205</v>
      </c>
      <c r="L65" t="b">
        <v>0</v>
      </c>
    </row>
    <row r="66" spans="1:12" x14ac:dyDescent="0.35">
      <c r="A66" t="s">
        <v>384</v>
      </c>
      <c r="B66">
        <v>2021</v>
      </c>
      <c r="C66" t="s">
        <v>385</v>
      </c>
      <c r="D66" t="s">
        <v>386</v>
      </c>
      <c r="E66" t="b">
        <v>0</v>
      </c>
      <c r="F66" t="s">
        <v>387</v>
      </c>
      <c r="G66" t="s">
        <v>198</v>
      </c>
      <c r="I66">
        <v>0.9</v>
      </c>
      <c r="J66" t="s">
        <v>173</v>
      </c>
      <c r="K66" t="s">
        <v>205</v>
      </c>
      <c r="L66" t="b">
        <v>0</v>
      </c>
    </row>
    <row r="67" spans="1:12" x14ac:dyDescent="0.35">
      <c r="A67" t="s">
        <v>388</v>
      </c>
      <c r="B67">
        <v>2021</v>
      </c>
      <c r="C67" t="s">
        <v>389</v>
      </c>
      <c r="D67" t="s">
        <v>390</v>
      </c>
      <c r="E67" t="b">
        <v>0</v>
      </c>
      <c r="F67" t="s">
        <v>391</v>
      </c>
      <c r="G67" t="s">
        <v>198</v>
      </c>
      <c r="I67">
        <v>0.9</v>
      </c>
      <c r="J67" t="s">
        <v>112</v>
      </c>
      <c r="K67" t="s">
        <v>208</v>
      </c>
      <c r="L67" t="b">
        <v>1</v>
      </c>
    </row>
    <row r="68" spans="1:12" x14ac:dyDescent="0.35">
      <c r="A68" t="s">
        <v>392</v>
      </c>
      <c r="B68">
        <v>2021</v>
      </c>
      <c r="C68" t="s">
        <v>393</v>
      </c>
      <c r="D68" t="s">
        <v>394</v>
      </c>
      <c r="E68" t="b">
        <v>0</v>
      </c>
      <c r="F68" t="s">
        <v>395</v>
      </c>
      <c r="G68" t="s">
        <v>198</v>
      </c>
      <c r="I68">
        <v>1</v>
      </c>
      <c r="J68" t="s">
        <v>173</v>
      </c>
      <c r="K68" t="s">
        <v>205</v>
      </c>
      <c r="L68" t="b">
        <v>0</v>
      </c>
    </row>
    <row r="69" spans="1:12" x14ac:dyDescent="0.35">
      <c r="A69" t="s">
        <v>396</v>
      </c>
      <c r="B69">
        <v>2021</v>
      </c>
      <c r="C69" t="s">
        <v>397</v>
      </c>
      <c r="D69" t="s">
        <v>398</v>
      </c>
      <c r="E69" t="b">
        <v>0</v>
      </c>
      <c r="F69" t="s">
        <v>399</v>
      </c>
      <c r="G69" t="s">
        <v>198</v>
      </c>
      <c r="I69">
        <v>0.9</v>
      </c>
      <c r="J69" t="s">
        <v>173</v>
      </c>
      <c r="K69" t="s">
        <v>205</v>
      </c>
      <c r="L69" t="b">
        <v>0</v>
      </c>
    </row>
    <row r="70" spans="1:12" x14ac:dyDescent="0.35">
      <c r="A70" t="s">
        <v>400</v>
      </c>
      <c r="B70">
        <v>2021</v>
      </c>
      <c r="C70" t="s">
        <v>401</v>
      </c>
      <c r="D70" t="s">
        <v>402</v>
      </c>
      <c r="E70" t="b">
        <v>0</v>
      </c>
      <c r="F70" t="s">
        <v>403</v>
      </c>
      <c r="G70" t="s">
        <v>198</v>
      </c>
      <c r="I70">
        <v>0.9</v>
      </c>
      <c r="J70" t="s">
        <v>112</v>
      </c>
      <c r="K70" t="s">
        <v>200</v>
      </c>
      <c r="L70" t="b">
        <v>1</v>
      </c>
    </row>
    <row r="71" spans="1:12" x14ac:dyDescent="0.35">
      <c r="A71" t="s">
        <v>404</v>
      </c>
      <c r="B71">
        <v>2021</v>
      </c>
      <c r="C71" t="s">
        <v>405</v>
      </c>
      <c r="D71" t="s">
        <v>406</v>
      </c>
      <c r="E71" t="b">
        <v>0</v>
      </c>
      <c r="F71" t="s">
        <v>407</v>
      </c>
      <c r="G71" t="s">
        <v>198</v>
      </c>
      <c r="I71">
        <v>0.9</v>
      </c>
      <c r="J71" t="s">
        <v>112</v>
      </c>
      <c r="K71" t="s">
        <v>207</v>
      </c>
      <c r="L71" t="b">
        <v>1</v>
      </c>
    </row>
    <row r="72" spans="1:12" x14ac:dyDescent="0.35">
      <c r="A72" t="s">
        <v>408</v>
      </c>
      <c r="B72">
        <v>2021</v>
      </c>
      <c r="C72" t="s">
        <v>409</v>
      </c>
      <c r="D72" t="s">
        <v>410</v>
      </c>
      <c r="E72" t="b">
        <v>0</v>
      </c>
      <c r="F72" t="s">
        <v>411</v>
      </c>
      <c r="G72" t="s">
        <v>198</v>
      </c>
      <c r="I72">
        <v>0.9</v>
      </c>
      <c r="J72" t="s">
        <v>173</v>
      </c>
      <c r="K72" t="s">
        <v>205</v>
      </c>
      <c r="L72" t="b">
        <v>0</v>
      </c>
    </row>
    <row r="73" spans="1:12" x14ac:dyDescent="0.35">
      <c r="A73" t="s">
        <v>412</v>
      </c>
      <c r="B73">
        <v>2021</v>
      </c>
      <c r="C73" t="s">
        <v>413</v>
      </c>
      <c r="D73" t="s">
        <v>414</v>
      </c>
      <c r="E73" t="b">
        <v>1</v>
      </c>
      <c r="F73" t="s">
        <v>415</v>
      </c>
      <c r="G73" t="s">
        <v>208</v>
      </c>
      <c r="H73" t="s">
        <v>208</v>
      </c>
      <c r="I73">
        <v>0.9</v>
      </c>
      <c r="J73" t="s">
        <v>112</v>
      </c>
      <c r="K73" t="s">
        <v>208</v>
      </c>
      <c r="L73" t="b">
        <v>1</v>
      </c>
    </row>
    <row r="74" spans="1:12" x14ac:dyDescent="0.35">
      <c r="A74" t="s">
        <v>416</v>
      </c>
      <c r="B74">
        <v>2021</v>
      </c>
      <c r="C74" t="s">
        <v>417</v>
      </c>
      <c r="D74" t="s">
        <v>418</v>
      </c>
      <c r="E74" t="b">
        <v>0</v>
      </c>
      <c r="F74" t="s">
        <v>199</v>
      </c>
      <c r="G74" t="s">
        <v>198</v>
      </c>
      <c r="I74">
        <v>0.9</v>
      </c>
      <c r="J74" t="s">
        <v>173</v>
      </c>
      <c r="K74" t="s">
        <v>814</v>
      </c>
      <c r="L74" t="b">
        <v>0</v>
      </c>
    </row>
    <row r="75" spans="1:12" x14ac:dyDescent="0.35">
      <c r="A75" t="s">
        <v>419</v>
      </c>
      <c r="B75">
        <v>2021</v>
      </c>
      <c r="C75" t="s">
        <v>420</v>
      </c>
      <c r="D75" t="s">
        <v>421</v>
      </c>
      <c r="E75" t="b">
        <v>0</v>
      </c>
      <c r="F75" t="s">
        <v>309</v>
      </c>
      <c r="G75" t="s">
        <v>198</v>
      </c>
      <c r="I75">
        <v>0.9</v>
      </c>
      <c r="J75" t="s">
        <v>173</v>
      </c>
      <c r="K75" t="s">
        <v>814</v>
      </c>
      <c r="L75" t="b">
        <v>0</v>
      </c>
    </row>
    <row r="76" spans="1:12" x14ac:dyDescent="0.35">
      <c r="A76" t="s">
        <v>422</v>
      </c>
      <c r="B76">
        <v>2021</v>
      </c>
      <c r="C76" t="s">
        <v>423</v>
      </c>
      <c r="D76" t="s">
        <v>424</v>
      </c>
      <c r="E76" t="b">
        <v>0</v>
      </c>
      <c r="F76" t="s">
        <v>199</v>
      </c>
      <c r="G76" t="s">
        <v>198</v>
      </c>
      <c r="I76">
        <v>0.95</v>
      </c>
      <c r="J76" t="s">
        <v>173</v>
      </c>
      <c r="K76" t="s">
        <v>816</v>
      </c>
      <c r="L76" t="b">
        <v>0</v>
      </c>
    </row>
    <row r="77" spans="1:12" ht="409.5" x14ac:dyDescent="0.35">
      <c r="A77" t="s">
        <v>425</v>
      </c>
      <c r="B77">
        <v>2021</v>
      </c>
      <c r="C77" t="s">
        <v>426</v>
      </c>
      <c r="D77" s="1" t="s">
        <v>427</v>
      </c>
      <c r="E77" t="b">
        <v>0</v>
      </c>
      <c r="F77" t="s">
        <v>199</v>
      </c>
      <c r="G77" t="s">
        <v>198</v>
      </c>
      <c r="I77">
        <v>1</v>
      </c>
      <c r="J77" t="s">
        <v>173</v>
      </c>
      <c r="K77" t="s">
        <v>814</v>
      </c>
      <c r="L77" t="b">
        <v>0</v>
      </c>
    </row>
    <row r="78" spans="1:12" x14ac:dyDescent="0.35">
      <c r="A78" t="s">
        <v>428</v>
      </c>
      <c r="B78">
        <v>2021</v>
      </c>
      <c r="C78" t="s">
        <v>429</v>
      </c>
      <c r="D78" t="s">
        <v>430</v>
      </c>
      <c r="E78" t="b">
        <v>0</v>
      </c>
      <c r="F78" t="s">
        <v>431</v>
      </c>
      <c r="G78" t="s">
        <v>198</v>
      </c>
      <c r="I78">
        <v>0.9</v>
      </c>
      <c r="J78" t="s">
        <v>112</v>
      </c>
      <c r="K78" t="s">
        <v>817</v>
      </c>
      <c r="L78" t="b">
        <v>1</v>
      </c>
    </row>
    <row r="79" spans="1:12" x14ac:dyDescent="0.35">
      <c r="A79" t="s">
        <v>432</v>
      </c>
      <c r="B79">
        <v>2021</v>
      </c>
      <c r="C79" t="s">
        <v>433</v>
      </c>
      <c r="D79" t="s">
        <v>434</v>
      </c>
      <c r="E79" t="b">
        <v>1</v>
      </c>
      <c r="F79" t="s">
        <v>435</v>
      </c>
      <c r="G79" t="s">
        <v>208</v>
      </c>
      <c r="H79" t="s">
        <v>208</v>
      </c>
      <c r="I79">
        <v>0.95</v>
      </c>
      <c r="J79" t="s">
        <v>112</v>
      </c>
      <c r="K79" t="s">
        <v>818</v>
      </c>
      <c r="L79" t="b">
        <v>1</v>
      </c>
    </row>
    <row r="80" spans="1:12" x14ac:dyDescent="0.35">
      <c r="A80" t="s">
        <v>436</v>
      </c>
      <c r="B80">
        <v>2021</v>
      </c>
      <c r="C80" t="s">
        <v>437</v>
      </c>
      <c r="D80" t="s">
        <v>438</v>
      </c>
      <c r="E80" t="b">
        <v>1</v>
      </c>
      <c r="F80" t="s">
        <v>439</v>
      </c>
      <c r="G80" t="s">
        <v>208</v>
      </c>
      <c r="H80" t="s">
        <v>208</v>
      </c>
      <c r="I80">
        <v>0.9</v>
      </c>
      <c r="J80" t="s">
        <v>112</v>
      </c>
      <c r="K80" t="s">
        <v>200</v>
      </c>
      <c r="L80" t="b">
        <v>1</v>
      </c>
    </row>
    <row r="81" spans="1:12" ht="409.5" x14ac:dyDescent="0.35">
      <c r="A81" t="s">
        <v>440</v>
      </c>
      <c r="B81">
        <v>2021</v>
      </c>
      <c r="C81" t="s">
        <v>441</v>
      </c>
      <c r="D81" s="1" t="s">
        <v>442</v>
      </c>
      <c r="E81" t="b">
        <v>0</v>
      </c>
      <c r="F81" t="s">
        <v>443</v>
      </c>
      <c r="G81" t="s">
        <v>198</v>
      </c>
      <c r="I81">
        <v>1</v>
      </c>
      <c r="J81" t="s">
        <v>112</v>
      </c>
      <c r="K81" t="s">
        <v>206</v>
      </c>
      <c r="L81" t="b">
        <v>1</v>
      </c>
    </row>
    <row r="82" spans="1:12" x14ac:dyDescent="0.35">
      <c r="A82" t="s">
        <v>444</v>
      </c>
      <c r="B82">
        <v>2021</v>
      </c>
      <c r="C82" t="s">
        <v>445</v>
      </c>
      <c r="D82" t="s">
        <v>446</v>
      </c>
      <c r="E82" t="b">
        <v>1</v>
      </c>
      <c r="F82" t="s">
        <v>447</v>
      </c>
      <c r="G82" t="s">
        <v>200</v>
      </c>
      <c r="H82" t="s">
        <v>200</v>
      </c>
      <c r="I82">
        <v>0.9</v>
      </c>
      <c r="J82" t="s">
        <v>112</v>
      </c>
      <c r="K82" t="s">
        <v>200</v>
      </c>
      <c r="L82" t="b">
        <v>1</v>
      </c>
    </row>
    <row r="83" spans="1:12" x14ac:dyDescent="0.35">
      <c r="A83" t="s">
        <v>448</v>
      </c>
      <c r="B83">
        <v>2021</v>
      </c>
      <c r="C83" t="s">
        <v>449</v>
      </c>
      <c r="D83" t="s">
        <v>450</v>
      </c>
      <c r="E83" t="b">
        <v>0</v>
      </c>
      <c r="F83" t="s">
        <v>451</v>
      </c>
      <c r="G83" t="s">
        <v>198</v>
      </c>
      <c r="I83">
        <v>0.9</v>
      </c>
      <c r="J83" t="s">
        <v>173</v>
      </c>
      <c r="K83" t="s">
        <v>814</v>
      </c>
      <c r="L83" t="b">
        <v>0</v>
      </c>
    </row>
    <row r="84" spans="1:12" x14ac:dyDescent="0.35">
      <c r="A84" t="s">
        <v>452</v>
      </c>
      <c r="B84">
        <v>2021</v>
      </c>
      <c r="C84" t="s">
        <v>453</v>
      </c>
      <c r="D84" t="s">
        <v>454</v>
      </c>
      <c r="E84" t="b">
        <v>0</v>
      </c>
      <c r="F84" t="s">
        <v>455</v>
      </c>
      <c r="G84" t="s">
        <v>198</v>
      </c>
      <c r="I84">
        <v>0.95</v>
      </c>
      <c r="J84" t="s">
        <v>173</v>
      </c>
      <c r="K84" t="s">
        <v>814</v>
      </c>
      <c r="L84" t="b">
        <v>0</v>
      </c>
    </row>
    <row r="85" spans="1:12" x14ac:dyDescent="0.35">
      <c r="A85" t="s">
        <v>456</v>
      </c>
      <c r="B85">
        <v>2021</v>
      </c>
      <c r="C85" t="s">
        <v>457</v>
      </c>
      <c r="D85" t="s">
        <v>458</v>
      </c>
      <c r="E85" t="b">
        <v>1</v>
      </c>
      <c r="F85" t="s">
        <v>459</v>
      </c>
      <c r="G85" t="s">
        <v>207</v>
      </c>
      <c r="H85" t="s">
        <v>207</v>
      </c>
      <c r="I85">
        <v>0.9</v>
      </c>
      <c r="J85" t="s">
        <v>173</v>
      </c>
      <c r="K85" t="s">
        <v>814</v>
      </c>
      <c r="L85" t="b">
        <v>0</v>
      </c>
    </row>
    <row r="86" spans="1:12" x14ac:dyDescent="0.35">
      <c r="A86" t="s">
        <v>460</v>
      </c>
      <c r="B86">
        <v>2021</v>
      </c>
      <c r="C86" t="s">
        <v>461</v>
      </c>
      <c r="D86" t="s">
        <v>462</v>
      </c>
      <c r="E86" t="b">
        <v>1</v>
      </c>
      <c r="F86" t="s">
        <v>463</v>
      </c>
      <c r="G86" t="s">
        <v>200</v>
      </c>
      <c r="H86" t="s">
        <v>200</v>
      </c>
      <c r="I86">
        <v>0.9</v>
      </c>
      <c r="J86" t="s">
        <v>173</v>
      </c>
      <c r="K86" t="s">
        <v>814</v>
      </c>
      <c r="L86" t="b">
        <v>0</v>
      </c>
    </row>
    <row r="87" spans="1:12" ht="409.5" x14ac:dyDescent="0.35">
      <c r="A87" t="s">
        <v>464</v>
      </c>
      <c r="B87">
        <v>2025</v>
      </c>
      <c r="C87" t="s">
        <v>465</v>
      </c>
      <c r="D87" s="1" t="s">
        <v>466</v>
      </c>
      <c r="E87" t="b">
        <v>0</v>
      </c>
      <c r="F87" t="s">
        <v>467</v>
      </c>
      <c r="G87" t="s">
        <v>198</v>
      </c>
      <c r="I87">
        <v>0.9</v>
      </c>
      <c r="J87" t="s">
        <v>173</v>
      </c>
      <c r="K87" t="s">
        <v>814</v>
      </c>
      <c r="L87" t="b">
        <v>0</v>
      </c>
    </row>
    <row r="88" spans="1:12" x14ac:dyDescent="0.35">
      <c r="A88" t="s">
        <v>468</v>
      </c>
      <c r="B88">
        <v>2025</v>
      </c>
      <c r="C88" t="s">
        <v>465</v>
      </c>
      <c r="D88" t="s">
        <v>469</v>
      </c>
      <c r="E88" t="b">
        <v>0</v>
      </c>
      <c r="F88" t="s">
        <v>470</v>
      </c>
      <c r="G88" t="s">
        <v>198</v>
      </c>
      <c r="I88">
        <v>0.95</v>
      </c>
      <c r="J88" t="s">
        <v>173</v>
      </c>
      <c r="K88" t="s">
        <v>814</v>
      </c>
      <c r="L88" t="b">
        <v>0</v>
      </c>
    </row>
    <row r="89" spans="1:12" x14ac:dyDescent="0.35">
      <c r="A89" t="s">
        <v>471</v>
      </c>
      <c r="B89">
        <v>2025</v>
      </c>
      <c r="C89" t="s">
        <v>472</v>
      </c>
      <c r="D89" t="s">
        <v>473</v>
      </c>
      <c r="E89" t="b">
        <v>0</v>
      </c>
      <c r="F89" t="s">
        <v>474</v>
      </c>
      <c r="G89" t="s">
        <v>198</v>
      </c>
      <c r="I89">
        <v>0.9</v>
      </c>
      <c r="J89" t="s">
        <v>173</v>
      </c>
      <c r="K89" t="s">
        <v>814</v>
      </c>
      <c r="L89" t="b">
        <v>0</v>
      </c>
    </row>
    <row r="90" spans="1:12" x14ac:dyDescent="0.35">
      <c r="A90" t="s">
        <v>475</v>
      </c>
      <c r="B90">
        <v>2025</v>
      </c>
      <c r="C90" t="s">
        <v>476</v>
      </c>
      <c r="D90" t="s">
        <v>477</v>
      </c>
      <c r="E90" t="b">
        <v>0</v>
      </c>
      <c r="F90" t="s">
        <v>478</v>
      </c>
      <c r="G90" t="s">
        <v>198</v>
      </c>
      <c r="I90">
        <v>0.9</v>
      </c>
      <c r="J90" t="s">
        <v>112</v>
      </c>
      <c r="K90" t="s">
        <v>200</v>
      </c>
      <c r="L90" t="b">
        <v>1</v>
      </c>
    </row>
    <row r="91" spans="1:12" x14ac:dyDescent="0.35">
      <c r="A91" t="s">
        <v>479</v>
      </c>
      <c r="B91">
        <v>2025</v>
      </c>
      <c r="C91" t="s">
        <v>480</v>
      </c>
      <c r="D91" t="s">
        <v>481</v>
      </c>
      <c r="E91" t="b">
        <v>0</v>
      </c>
      <c r="F91" t="s">
        <v>482</v>
      </c>
      <c r="G91" t="s">
        <v>198</v>
      </c>
      <c r="I91">
        <v>0.9</v>
      </c>
      <c r="J91" t="s">
        <v>173</v>
      </c>
      <c r="K91" t="s">
        <v>814</v>
      </c>
      <c r="L91" t="b">
        <v>0</v>
      </c>
    </row>
    <row r="92" spans="1:12" x14ac:dyDescent="0.35">
      <c r="A92" t="s">
        <v>483</v>
      </c>
      <c r="B92">
        <v>2025</v>
      </c>
      <c r="C92" t="s">
        <v>484</v>
      </c>
      <c r="D92" t="s">
        <v>485</v>
      </c>
      <c r="E92" t="b">
        <v>1</v>
      </c>
      <c r="F92" t="s">
        <v>486</v>
      </c>
      <c r="G92" t="s">
        <v>208</v>
      </c>
      <c r="H92" t="s">
        <v>208</v>
      </c>
      <c r="I92">
        <v>0.9</v>
      </c>
      <c r="J92" t="s">
        <v>112</v>
      </c>
      <c r="K92" t="s">
        <v>208</v>
      </c>
      <c r="L92" t="b">
        <v>1</v>
      </c>
    </row>
    <row r="93" spans="1:12" x14ac:dyDescent="0.35">
      <c r="A93" t="s">
        <v>487</v>
      </c>
      <c r="B93">
        <v>2025</v>
      </c>
      <c r="C93" t="s">
        <v>488</v>
      </c>
      <c r="D93" t="s">
        <v>489</v>
      </c>
      <c r="E93" t="b">
        <v>1</v>
      </c>
      <c r="F93" t="s">
        <v>490</v>
      </c>
      <c r="G93" t="s">
        <v>208</v>
      </c>
      <c r="H93" t="s">
        <v>208</v>
      </c>
      <c r="I93">
        <v>0.9</v>
      </c>
      <c r="J93" t="s">
        <v>112</v>
      </c>
      <c r="K93" t="s">
        <v>207</v>
      </c>
      <c r="L93" t="b">
        <v>1</v>
      </c>
    </row>
    <row r="94" spans="1:12" x14ac:dyDescent="0.35">
      <c r="A94" t="s">
        <v>491</v>
      </c>
      <c r="B94">
        <v>2025</v>
      </c>
      <c r="C94" t="s">
        <v>492</v>
      </c>
      <c r="D94" t="s">
        <v>493</v>
      </c>
      <c r="E94" t="b">
        <v>0</v>
      </c>
      <c r="F94" t="s">
        <v>494</v>
      </c>
      <c r="G94" t="s">
        <v>198</v>
      </c>
      <c r="I94">
        <v>1</v>
      </c>
      <c r="J94" t="s">
        <v>112</v>
      </c>
      <c r="K94" t="s">
        <v>200</v>
      </c>
      <c r="L94" t="b">
        <v>1</v>
      </c>
    </row>
  </sheetData>
  <conditionalFormatting sqref="M10">
    <cfRule type="containsText" dxfId="21" priority="11" operator="containsText" text="Exclude">
      <formula>NOT(ISERROR(SEARCH("Exclude",M10)))</formula>
    </cfRule>
    <cfRule type="containsText" dxfId="20" priority="12" operator="containsText" text="Include">
      <formula>NOT(ISERROR(SEARCH("Include",M10)))</formula>
    </cfRule>
  </conditionalFormatting>
  <conditionalFormatting sqref="M30:M31">
    <cfRule type="containsText" dxfId="19" priority="13" operator="containsText" text="Exclude">
      <formula>NOT(ISERROR(SEARCH("Exclude",M30)))</formula>
    </cfRule>
    <cfRule type="containsText" dxfId="18" priority="14" operator="containsText" text="Include">
      <formula>NOT(ISERROR(SEARCH("Include",M30)))</formula>
    </cfRule>
  </conditionalFormatting>
  <conditionalFormatting sqref="J40:K86 K28:K39 J1:J39">
    <cfRule type="containsText" dxfId="7" priority="4" operator="containsText" text="Include">
      <formula>NOT(ISERROR(SEARCH("Include",J1)))</formula>
    </cfRule>
  </conditionalFormatting>
  <conditionalFormatting sqref="J1:J86">
    <cfRule type="containsText" dxfId="6" priority="3" operator="containsText" text="Exclude">
      <formula>NOT(ISERROR(SEARCH("Exclude",J1)))</formula>
    </cfRule>
  </conditionalFormatting>
  <conditionalFormatting sqref="J87:K94">
    <cfRule type="containsText" dxfId="5" priority="2" operator="containsText" text="Include">
      <formula>NOT(ISERROR(SEARCH("Include",J87)))</formula>
    </cfRule>
  </conditionalFormatting>
  <conditionalFormatting sqref="J87:J94">
    <cfRule type="containsText" dxfId="4" priority="1" operator="containsText" text="Exclude">
      <formula>NOT(ISERROR(SEARCH("Exclude",J87)))</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C16"/>
  <sheetViews>
    <sheetView tabSelected="1" workbookViewId="0">
      <selection activeCell="A17" sqref="A17"/>
    </sheetView>
  </sheetViews>
  <sheetFormatPr defaultRowHeight="14.5" x14ac:dyDescent="0.35"/>
  <cols>
    <col min="1" max="1" width="16.26953125" bestFit="1" customWidth="1"/>
    <col min="2" max="2" width="11.1796875" customWidth="1"/>
  </cols>
  <sheetData>
    <row r="1" spans="1:3" x14ac:dyDescent="0.35">
      <c r="A1" t="s">
        <v>165</v>
      </c>
    </row>
    <row r="2" spans="1:3" x14ac:dyDescent="0.35">
      <c r="B2" t="s">
        <v>163</v>
      </c>
      <c r="C2" t="s">
        <v>164</v>
      </c>
    </row>
    <row r="3" spans="1:3" x14ac:dyDescent="0.35">
      <c r="A3" t="s">
        <v>161</v>
      </c>
      <c r="B3">
        <f>COUNTIFS('Merged results table'!E:E,TRUE,'Merged results table'!L:L,TRUE)</f>
        <v>18</v>
      </c>
      <c r="C3">
        <f>COUNTIFS('Merged results table'!E:E,TRUE,'Merged results table'!L:L,FALSE)</f>
        <v>8</v>
      </c>
    </row>
    <row r="4" spans="1:3" x14ac:dyDescent="0.35">
      <c r="A4" t="s">
        <v>162</v>
      </c>
      <c r="B4">
        <f>COUNTIFS('Merged results table'!E:E,FALSE,'Merged results table'!L:L,TRUE)</f>
        <v>22</v>
      </c>
      <c r="C4">
        <f>COUNTIFS('Merged results table'!E:E,FALSE,'Merged results table'!L:L,FALSE)</f>
        <v>45</v>
      </c>
    </row>
    <row r="6" spans="1:3" x14ac:dyDescent="0.35">
      <c r="A6" t="s">
        <v>168</v>
      </c>
      <c r="B6">
        <f>B3</f>
        <v>18</v>
      </c>
    </row>
    <row r="7" spans="1:3" x14ac:dyDescent="0.35">
      <c r="A7" t="s">
        <v>169</v>
      </c>
      <c r="B7">
        <f>C4</f>
        <v>45</v>
      </c>
    </row>
    <row r="8" spans="1:3" x14ac:dyDescent="0.35">
      <c r="A8" t="s">
        <v>170</v>
      </c>
      <c r="B8">
        <f>C3</f>
        <v>8</v>
      </c>
    </row>
    <row r="9" spans="1:3" x14ac:dyDescent="0.35">
      <c r="A9" t="s">
        <v>171</v>
      </c>
      <c r="B9">
        <f>B4</f>
        <v>22</v>
      </c>
    </row>
    <row r="11" spans="1:3" x14ac:dyDescent="0.35">
      <c r="A11" t="s">
        <v>166</v>
      </c>
      <c r="B11">
        <f>(B3+C4)/(B3+B4+C3+C4)</f>
        <v>0.67741935483870963</v>
      </c>
    </row>
    <row r="12" spans="1:3" x14ac:dyDescent="0.35">
      <c r="A12" t="s">
        <v>167</v>
      </c>
      <c r="B12">
        <f>B3/(B3+B4)</f>
        <v>0.45</v>
      </c>
    </row>
    <row r="14" spans="1:3" x14ac:dyDescent="0.35">
      <c r="A14" s="3" t="s">
        <v>172</v>
      </c>
    </row>
    <row r="15" spans="1:3" x14ac:dyDescent="0.35">
      <c r="A15" t="s">
        <v>821</v>
      </c>
    </row>
    <row r="16" spans="1:3" x14ac:dyDescent="0.35">
      <c r="A16" t="s">
        <v>822</v>
      </c>
    </row>
  </sheetData>
  <conditionalFormatting sqref="J18:J25">
    <cfRule type="containsText" dxfId="17" priority="3" operator="containsText" text="Exclude">
      <formula>NOT(ISERROR(SEARCH("Exclude",J18)))</formula>
    </cfRule>
    <cfRule type="containsText" dxfId="16" priority="4" operator="containsText" text="Include">
      <formula>NOT(ISERROR(SEARCH("Include",J18)))</formula>
    </cfRule>
  </conditionalFormatting>
  <conditionalFormatting sqref="J29">
    <cfRule type="containsText" dxfId="15" priority="1" operator="containsText" text="Exclude">
      <formula>NOT(ISERROR(SEARCH("Exclude",J29)))</formula>
    </cfRule>
    <cfRule type="containsText" dxfId="14" priority="2" operator="containsText" text="Include">
      <formula>NOT(ISERROR(SEARCH("Include",J29)))</formula>
    </cfRule>
  </conditionalFormatting>
  <conditionalFormatting sqref="M21">
    <cfRule type="containsText" dxfId="13" priority="9" operator="containsText" text="Exclude">
      <formula>NOT(ISERROR(SEARCH("Exclude",M21)))</formula>
    </cfRule>
    <cfRule type="containsText" dxfId="12" priority="10" operator="containsText" text="Include">
      <formula>NOT(ISERROR(SEARCH("Include",M21)))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Stage_6_API_200</vt:lpstr>
      <vt:lpstr>ID_Lookup</vt:lpstr>
      <vt:lpstr>Stage_6_FF_200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2025-09-08T12:04:59Z</dcterms:modified>
</cp:coreProperties>
</file>