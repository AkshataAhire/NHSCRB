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NM2.TP5IJ4AX\Downloads\"/>
    </mc:Choice>
  </mc:AlternateContent>
  <xr:revisionPtr revIDLastSave="0" documentId="8_{1930113E-14E3-4AC3-AECA-6CDDBE34B1D5}" xr6:coauthVersionLast="47" xr6:coauthVersionMax="47" xr10:uidLastSave="{00000000-0000-0000-0000-000000000000}"/>
  <bookViews>
    <workbookView xWindow="-110" yWindow="-110" windowWidth="19420" windowHeight="10300" activeTab="4" xr2:uid="{66513E08-89B8-4D61-A86D-819C01466699}"/>
  </bookViews>
  <sheets>
    <sheet name="Stage_5_API_50" sheetId="1" r:id="rId1"/>
    <sheet name="ID_Lookup" sheetId="5" r:id="rId2"/>
    <sheet name="Stage_5_FF_50" sheetId="2" r:id="rId3"/>
    <sheet name="Merged results table" sheetId="3" r:id="rId4"/>
    <sheet name="Evaluating Results" sheetId="4" r:id="rId5"/>
  </sheets>
  <definedNames>
    <definedName name="_xlnm._FilterDatabase" localSheetId="3" hidden="1">'Merged results table'!$A$1:$O$31</definedName>
    <definedName name="_xlnm._FilterDatabase" localSheetId="2" hidden="1">Stage_5_FF_50!$A$1:$H$52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4" l="1"/>
  <c r="C3" i="4"/>
  <c r="B4" i="4"/>
  <c r="B3" i="4"/>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2"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B8" i="4" l="1"/>
  <c r="B7" i="4"/>
  <c r="B9" i="4"/>
  <c r="B12" i="4" l="1"/>
  <c r="B6" i="4"/>
  <c r="B11" i="4"/>
</calcChain>
</file>

<file path=xl/sharedStrings.xml><?xml version="1.0" encoding="utf-8"?>
<sst xmlns="http://schemas.openxmlformats.org/spreadsheetml/2006/main" count="910" uniqueCount="268">
  <si>
    <t>id</t>
  </si>
  <si>
    <t>Year</t>
  </si>
  <si>
    <t>Title</t>
  </si>
  <si>
    <t>Abstract</t>
  </si>
  <si>
    <t>J500</t>
  </si>
  <si>
    <t>The lifetime costs of pediatric abusive head trauma and a cost-effectiveness analysis of the Period of Purple crying program in British Columbia, Canada</t>
  </si>
  <si>
    <t>J501</t>
  </si>
  <si>
    <t>Impact of Weekend Treatment on Short-term and Long-term Survival Following Urgent Repair of Ruptured Aortic Aneurysms in Germany</t>
  </si>
  <si>
    <t>J502</t>
  </si>
  <si>
    <t>Pdb16 Assessment of Cost-Effectiveness of a 0.2 Mcg/Day Fluocinolone Acetonide (Fac) Implant in Patients with Chronic Diabetic Macular Oedema (Dmo) in an Eye with Cataract</t>
  </si>
  <si>
    <t>J503</t>
  </si>
  <si>
    <t>Fluorides for preventing early tooth decay (demineralised lesions) during fixed brace treatment</t>
  </si>
  <si>
    <t>J504</t>
  </si>
  <si>
    <t>Pmh28 Assessing the Life-Cycle Value Added of Second-Generation Antipsychotics in Sweden and the Uk: The Case of Risperidone</t>
  </si>
  <si>
    <t>J505</t>
  </si>
  <si>
    <t>Fetal fibronectin testing for reducing the risk of preterm birth</t>
  </si>
  <si>
    <t>J506</t>
  </si>
  <si>
    <t>Cervical assessment by ultrasound for preventing preterm delivery</t>
  </si>
  <si>
    <t>J507</t>
  </si>
  <si>
    <t>J508</t>
  </si>
  <si>
    <t>Adalimumab for non-infectious uveitis: Is it cost-effective?</t>
  </si>
  <si>
    <t>J509</t>
  </si>
  <si>
    <t>Burden of varicella complications in secondary care, England, 2004 to 2017</t>
  </si>
  <si>
    <t>J510</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</si>
  <si>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</si>
  <si>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</si>
  <si>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</si>
  <si>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</si>
  <si>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</si>
  <si>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</si>
  <si>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</si>
  <si>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J514</t>
  </si>
  <si>
    <t>J515</t>
  </si>
  <si>
    <t>What evidence is available to support the development of a regional specialist neurorehabilitation outreach service</t>
  </si>
  <si>
    <t>J516</t>
  </si>
  <si>
    <t>Mixed exercise training for adults with fibromyalgia</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</si>
  <si>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</si>
  <si>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</si>
  <si>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</si>
  <si>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</si>
  <si>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J519</t>
  </si>
  <si>
    <t>Lateral flow urine lipoarabinomannan assay for detecting active tuberculosis in people living with HIV</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</si>
  <si>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</si>
  <si>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</si>
  <si>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</si>
  <si>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</si>
  <si>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</si>
  <si>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J522</t>
  </si>
  <si>
    <t>Continuous subcutaneous insulin infusion versus multiple daily injection regimens in children and young people at diagnosis of type 1 diabetes: Pragmatic randomised controlled trial and economic evaluation</t>
  </si>
  <si>
    <t>J523</t>
  </si>
  <si>
    <t>J524</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</si>
  <si>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</si>
  <si>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</si>
  <si>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</si>
  <si>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</si>
  <si>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</si>
  <si>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</si>
  <si>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</si>
  <si>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</si>
  <si>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J528</t>
  </si>
  <si>
    <t>J529</t>
  </si>
  <si>
    <t>Endometrial resection and ablation techniques for heavy menstrual bleeding</t>
  </si>
  <si>
    <t>J530</t>
  </si>
  <si>
    <t>Cyclical progestogens for heavy menstrual bleeding</t>
  </si>
  <si>
    <t>J531</t>
  </si>
  <si>
    <t>SAT-017 End Stage Renal Disease in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</si>
  <si>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</si>
  <si>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</si>
  <si>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</si>
  <si>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</si>
  <si>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</si>
  <si>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</si>
  <si>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</si>
  <si>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</si>
  <si>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</si>
  <si>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</si>
  <si>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J536</t>
  </si>
  <si>
    <t>Context-Specific Economic Evaluation for Molecular Pathology Tests: An Application in Colorectal Cancer in the West of Scotland</t>
  </si>
  <si>
    <t>J537</t>
  </si>
  <si>
    <t>Screening Women for Abdominal Aortic Aneurysms: Clinical and Economic Effectiveness Results from a Discrete Event Simulation Model</t>
  </si>
  <si>
    <t>J538</t>
  </si>
  <si>
    <t>Herbal medicinal products or preparations for neuropathic pain</t>
  </si>
  <si>
    <t>J539</t>
  </si>
  <si>
    <t>J540</t>
  </si>
  <si>
    <t>Conservative management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</si>
  <si>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</si>
  <si>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</si>
  <si>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</si>
  <si>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</si>
  <si>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J543</t>
  </si>
  <si>
    <t>Laparoscopically assisted versus open oesophagectomy for patients with oesophageal cancer - The Randomised Oesophagectomy: Minimally Invasive or Open (ROMIO) study: Protocol for a randomised controlled trial (RCT)</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</si>
  <si>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</si>
  <si>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</si>
  <si>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</si>
  <si>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</si>
  <si>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</si>
  <si>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</si>
  <si>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</si>
  <si>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</si>
  <si>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</si>
  <si>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</si>
  <si>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</si>
  <si>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</si>
  <si>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</si>
  <si>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</si>
  <si>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</si>
  <si>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</si>
  <si>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</si>
  <si>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</si>
  <si>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</si>
  <si>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</si>
  <si>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</si>
  <si>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</si>
  <si>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</si>
  <si>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</si>
  <si>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</si>
  <si>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</si>
  <si>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</si>
  <si>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</si>
  <si>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</si>
  <si>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</si>
  <si>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</si>
  <si>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</si>
  <si>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</si>
  <si>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</si>
  <si>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</si>
  <si>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</si>
  <si>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</si>
  <si>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</si>
  <si>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</si>
  <si>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</si>
  <si>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</si>
  <si>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</si>
  <si>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</si>
  <si>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</si>
  <si>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</si>
  <si>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</si>
  <si>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</si>
  <si>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</si>
  <si>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</si>
  <si>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</si>
  <si>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</si>
  <si>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</si>
  <si>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</si>
  <si>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</si>
  <si>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</si>
  <si>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</si>
  <si>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</si>
  <si>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</si>
  <si>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</si>
  <si>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</si>
  <si>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</si>
  <si>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</si>
  <si>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</si>
  <si>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</si>
  <si>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</si>
  <si>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</si>
  <si>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</si>
  <si>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</si>
  <si>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</si>
  <si>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</si>
  <si>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</si>
  <si>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</si>
  <si>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</si>
  <si>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</si>
  <si>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</si>
  <si>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</si>
  <si>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</si>
  <si>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</si>
  <si>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</si>
  <si>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</si>
  <si>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</si>
  <si>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</si>
  <si>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</si>
  <si>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Id_flag</t>
  </si>
  <si>
    <t>FF_include_stage2</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</si>
  <si>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Ãƒâ€šÃ‚Â© 2019</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</si>
  <si>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Ãƒâ€šÃ‚Â© 2019</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</si>
  <si>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Ãƒâ€šÃ‚Â©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</si>
  <si>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Ãƒâ€šÃ‚Â© 2019 European Centre for Disease Prevention and Control (ECDC). All rights reserved.</t>
  </si>
  <si>
    <t>ÃƒÂ¢Ã¢â€šÂ¬Ã¢â‚¬Â¹Primary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</si>
  <si>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InÃƒÂ¢Ã¢â€šÂ¬Ã‚ÂProcess &amp; Other NonÃƒÂ¢Ã¢â€šÂ¬Ã‚ÂIndexed Citations); Ovid Embase and EBSCO CINAHL Plus. We also searched clinical trials registries for ongoing and unpublished studies, and scanned reference lists of relevant included studies as well as reviews, metaÃƒÂ¢Ã¢â€šÂ¬Ã‚Âanalyses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fullÃƒÂ¢Ã¢â€šÂ¬Ã‚Âtext publications, applied the inclusion criteria, and extracted data. We pooled data using a randomÃƒÂ¢Ã¢â€šÂ¬Ã‚Âeffects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infectionÃƒÂ¢Ã¢â€šÂ¬Ã‚Âfree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ÃƒÂ¢Ã¢â€šÂ¬Ã‚Â1.31, 95% CI ÃƒÂ¢Ã¢â€šÂ¬Ã‚Â2.03 to ÃƒÂ¢Ã¢â€šÂ¬Ã‚Â0.59; 1 study, 182 participants). The certainty of evidence for this outcome was judged to be moderate (we downgraded our assessment by one level for imprecision). We are uncertain whether primary closure improves the proportion of dog bite wounds that are infectionÃƒÂ¢Ã¢â€šÂ¬Ã‚Âfree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highÃƒÂ¢Ã¢â€šÂ¬Ã‚Âcertainty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lowerÃƒÂ¢Ã¢â€šÂ¬Ã‚Âincome countries bites can also be caused by wild animals. Dogs are generally responsible for the majority of bites. Bite wounds are at high risk of infection as microbes are transmitted into the wound from the animal's mouth. In lowerÃƒÂ¢Ã¢â€šÂ¬Ã‚Âincome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infectionÃƒÂ¢Ã¢â€šÂ¬Ã‚Âfree compared with no closure (very lowÃƒÂ¢Ã¢â€šÂ¬Ã‚Âcertainty evidence from two studies including a total of 782 people) and compared with delayed closure (very lowÃƒÂ¢Ã¢â€šÂ¬Ã‚Âcertainty evidence from one study with a total of 120 people). There is little difference in the appearance of dog bite wounds when primary closure is compared with no closure (moderateÃƒÂ¢Ã¢â€šÂ¬Ã‚Âcertainty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</si>
  <si>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(XpressIveÃƒâ€šÃ‚Â©) and Discrete-Even Simulation (Simul8 Ãƒâ€šÃ‚Â©).Various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</si>
  <si>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Ãƒâ€šÃ‚Â©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</si>
  <si>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Ãƒâ€šÃ‚Â© Published by the BMJ Publishing Group Limited.</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</si>
  <si>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Ãƒâ€šÃ‚Â©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</si>
  <si>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Ãƒâ€šÃ‚Â©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</si>
  <si>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ParticipantÃƒÂ¢Ã¢â€šÂ¬Ã‚Âassessed outcomes, such as perception of DLs, and oral healthÃƒÂ¢Ã¢â€šÂ¬Ã‚Ârelated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ParallelÃƒÂ¢Ã¢â€šÂ¬Ã‚Âgroup, randomised controlled trials comparing the use of a fluorideÃƒÂ¢Ã¢â€šÂ¬Ã‚Âcontaining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(nonÃƒÂ¢Ã¢â€šÂ¬Ã‚Âfluoride)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lowÃƒÂ¢Ã¢â€šÂ¬Ã‚Âcertainty evidence). One placebo (nonÃƒÂ¢Ã¢â€šÂ¬Ã‚Âfluoride)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highÃƒÂ¢Ã¢â€šÂ¬Ã‚Âconcentration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comparisons:ÃƒÂ¢Ã¢â€šÂ¬Ã‚Â¨ ÃƒÂ¢Ã¢â€šÂ¬Ã‚Â an amine fluoride and stannous fluoride toothpaste/mouthrinse combination versus a sodium fluoride toothpaste/mouthrinse,ÃƒÂ¢Ã¢â€šÂ¬Ã‚Â¨ ÃƒÂ¢Ã¢â€šÂ¬Ã‚Â an amine fluoride gel versus a nonÃƒÂ¢Ã¢â€šÂ¬Ã‚Âfluoride placebo applied by participants at home once a week and by professional application every three months,ÃƒÂ¢Ã¢â€šÂ¬Ã‚Â¨ ÃƒÂ¢Ã¢â€šÂ¬Ã‚Â resinÃƒÂ¢Ã¢â€šÂ¬Ã‚Âmodified glass ionomer cement versus lightÃƒÂ¢Ã¢â€šÂ¬Ã‚Âcured composite resin for bonding orthodontic brackets,ÃƒÂ¢Ã¢â€šÂ¬Ã‚Â¨ ÃƒÂ¢Ã¢â€šÂ¬Ã‚Â a 250 ppm F mouthrinse versus 0 ppm F placebo mouthrinse,ÃƒÂ¢Ã¢â€šÂ¬Ã‚Â¨ ÃƒÂ¢Ã¢â€šÂ¬Ã‚Â the use of an intraoral fluorideÃƒÂ¢Ã¢â€šÂ¬Ã‚Âreleasing glass bead device attached to the brace versus a daily fluoride mouthrinse. The last two comparisons involved studies that were assessed at high risk of bias, because a substantial number of participants were lost to followÃƒÂ¢Ã¢â€šÂ¬Ã‚Âup.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followÃƒÂ¢Ã¢â€šÂ¬Ã‚Âup studies, in different settings, to confirm external validity. A patientÃƒÂ¢Ã¢â€šÂ¬Ã‚Âreported outcome, such as concern about the aesthetics of any DLs, was still not included as an outcome in any study. Reports of adverse effects from topical fluoride applications were rare and unlikely to be significant. One study involving fluorideÃƒÂ¢Ã¢â€šÂ¬Ã‚Âcontaining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ÃƒÂ¢Ã¢â€šÂ¬Ã‚Â¨ Ugly white or brown marks sometimes appear on the teeth during treatment with braces to straighten teeth. These are due to early tooth decay and usually occur with fixed, gluedÃƒÂ¢Ã¢â€šÂ¬Ã‚Âon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ÃƒÂ¢Ã¢â€šÂ¬Ã‚Â¨ Wearing a fixed brace makes it harder for people to keep their teeth clean and may also cause pain. Pain can make it more difficult for people to brush their teeth. This can lead to a buildÃƒÂ¢Ã¢â€šÂ¬Ã‚Âup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ÃƒÂ¢Ã¢â€šÂ¬Ã‚Â¨ This review is upÃƒÂ¢Ã¢â€šÂ¬Ã‚ÂtoÃƒÂ¢Ã¢â€šÂ¬Ã‚Âdate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treatments:ÃƒÂ¢Ã¢â€šÂ¬Ã‚Â¨ ÃƒÂ¢Ã¢â€šÂ¬Ã‚Â dentist or nurseÃƒÂ¢Ã¢â€šÂ¬Ã‚Âapplied fluoride e.g. varnish, gel or foam,ÃƒÂ¢Ã¢â€šÂ¬Ã‚Â¨ ÃƒÂ¢Ã¢â€šÂ¬Ã‚Â patientÃƒÂ¢Ã¢â€šÂ¬Ã‚Âapplied/used fluoride e.g. toothpaste, mouthwash, gel or foam, andÃƒÂ¢Ã¢â€šÂ¬Ã‚Â¨ ÃƒÂ¢Ã¢â€šÂ¬Ã‚Â materials that release fluoride over time e.g. glues, elastic bands. Key results ÃƒÂ¢Ã¢â€šÂ¬Ã‚Â¨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ÃƒÂ¢Ã¢â€šÂ¬Ã‚Â¨ The level of belief we have in these findings is low, due to the lack of studies testing the same fluorides and showing the same results. We suggest that more, wellÃƒÂ¢Ã¢â€šÂ¬Ã‚Âconducted studies should be done in this area.</t>
  </si>
  <si>
    <t>- Background Fetal fibronectin (FFN) is an extracellular matrix glycoprotein localized at the maternalÃƒÂ¢Ã¢â€šÂ¬Ã‚Âfetal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ChildbirthÃƒÂ¢Ã¢â€šÂ¬Ã¢â€žÂ¢s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lowÃƒÂ¢Ã¢â€šÂ¬Ã‚Âquality evidence). However, management based on knowledge of FFN results may make little or no difference to preterm birth before 34 (RR 1.09, 95% CI 0.54 to 2.18; 4 trials; 357 women; lowÃƒÂ¢Ã¢â€šÂ¬Ã‚Âquality evidence) or maternal hospitalization (RR 1.06, 95% CI 0.79 to 1.43; 5 trials; 441 women; lowÃƒÂ¢Ã¢â€šÂ¬Ã‚Âquality evidence). The evidence for preterm birth before 32 weeks is uncertain because the quality was found to be very low (average RR 0.79, 95% CI 0.16 to 3.96; 4 trials; 357 women; very lowÃƒÂ¢Ã¢â€šÂ¬Ã‚Âquality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CostÃƒÂ¢Ã¢â€šÂ¬Ã‚Âeffectiveness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ÃƒÂ¢Ã¢â€šÂ¬Ã‹Å“glueÃƒÂ¢Ã¢â€šÂ¬Ã¢â€žÂ¢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womenÃƒÂ¢Ã¢â€šÂ¬Ã¢â€žÂ¢s gestational age at delivery; babies with a birthweight less than 2500 g; newborn deaths; the number of babies with respiratory distress syndrome; giving steroids to mature the unborn babiesÃƒÂ¢Ã¢â€šÂ¬Ã¢â€žÂ¢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</si>
  <si>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Unknown</t>
  </si>
  <si>
    <t>Treatment for hepatorenal syndrome in people with decompensated liver cirrhosis: a network metaÃƒÂ¢Ã¢â€šÂ¬Ã‚Âanalysis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</si>
  <si>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metaÃƒÂ¢Ã¢â€šÂ¬Ã‚Âanalysis with OpenBUGS using Bayesian methods and calculated the odds ratio (OR), rate ratio, hazard ratio (HR), and mean difference (MD) with 95% credible intervals (CrI) based on an availableÃƒÂ¢Ã¢â€šÂ¬Ã‚Âcase analysis, according to National Institute of Health and Care Excellence Decision Support Unit guidance. Main results We included a total of 25 trials (1263 participants; 12 interventions) in the review. TwentyÃƒÂ¢Ã¢â€šÂ¬Ã‚Âthree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followÃƒÂ¢Ã¢â€šÂ¬Ã‚Âup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followÃƒÂ¢Ã¢â€šÂ¬Ã‚Âup between the different interventions. None of the trials reported healthÃƒÂ¢Ã¢â€šÂ¬Ã‚Ârelated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followÃƒÂ¢Ã¢â€šÂ¬Ã‚Âup (four trials; 342 participants), or other features of decompensation at maximal followÃƒÂ¢Ã¢â€šÂ¬Ã‚Âup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metaÃƒÂ¢Ã¢â€šÂ¬Ã‚Âanalysis,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lowÃƒÂ¢Ã¢â€šÂ¬Ã‚Âcertainty evidence, there is no evidence of benefit or harm of any of the interventions for hepatorenal syndrome with regards to the following outcomes: allÃƒÂ¢Ã¢â€šÂ¬Ã‚Âcause mortality, serious adverse events (proportion), number of serious adverse events per participant, any adverse events (proportion), liver transplantation, or other decompensation events. LowÃƒÂ¢Ã¢â€šÂ¬Ã‚Âcertainty evidence suggests that albumin plus noradrenaline had fewer 'any adverse events per participant' than albumin plus terlipressin. LowÃƒÂ¢Ã¢â€šÂ¬Ã‚Â or very lowÃƒÂ¢Ã¢â€šÂ¬Ã‚Âcertainty evidence also found that albumin plus midodrine plus octreotide and albumin alone had lower recovery from hepatorenal syndrome compared with albumin plus terlipressin. Future randomised clinical trials should be adequately powered; employ blinding, avoid postÃƒÂ¢Ã¢â€šÂ¬Ã‚Ârandomisation dropouts or planned crossÃƒÂ¢Ã¢â€šÂ¬Ã‚Âovers (or perform an intentionÃƒÂ¢Ã¢â€šÂ¬Ã‚ÂtoÃƒÂ¢Ã¢â€šÂ¬Ã‚Âtreat analysis); and report clinically important outcomes such as mortality, healthÃƒÂ¢Ã¢â€šÂ¬Ã‚Ârelated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metaÃƒÂ¢Ã¢â€šÂ¬Ã‚Âanalysis' or 'multiple treatment comparisons'). The aim is to gather reliable evidence on the relative benefits and harms of the different treatments. Date of literature search ÃƒÂ¢Ã¢â€šÂ¬Ã‚Â¨ December 2018 Key messages ÃƒÂ¢Ã¢â€šÂ¬Ã‚Â¨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HealthÃƒÂ¢Ã¢â€šÂ¬Ã‚Ârelated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liverÃƒÂ¢Ã¢â€šÂ¬Ã‚Âtransplanted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nonÃƒÂ¢Ã¢â€šÂ¬Ã‚Âserious complications, time to liver transplantation, recovery from hepatorenal syndrome, and disappearance of symptoms. What were the main results of the review? The 25 studies included a small number of participants (1263 participants). Study data were sparse. TwentyÃƒÂ¢Ã¢â€šÂ¬Ã‚Âthree studies with 1185 participants provided data for analyses. The followÃƒÂ¢Ã¢â€šÂ¬Ã‚Âup in the trials ranged from one week to six months. The review shows that: ÃƒÂ¢Ã¢â€šÂ¬Ã‚Â About 60 out of every 100 people died within three months, and 35 out of every 100 people recovered from hepatorenal syndrome. ÃƒÂ¢Ã¢â€šÂ¬Ã‚Â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ÃƒÂ¢Ã¢â€šÂ¬Ã‚Â None of the trials reported healthÃƒÂ¢Ã¢â€šÂ¬Ã‚Ârelated quality of life. ÃƒÂ¢Ã¢â€šÂ¬Ã‚Â The number of complications of any severity was lower with albumin plus noradrenaline than albumin plus terlipressin. ÃƒÂ¢Ã¢â€šÂ¬Ã‚Â Recovery from hepatorenal syndrome may be lower with albumin plus midodrine plus octreotide and albumin alone than albumin plus terlipressin and albumin plus noradrenaline. ÃƒÂ¢Ã¢â€šÂ¬Ã‚Â We have very low confidence in the overall results. ÃƒÂ¢Ã¢â€šÂ¬Ã‚Â Future trials with proper design and quality are needed to clarify the best treatment for people with advanced liver disease having hepatorenal syndrome.</t>
  </si>
  <si>
    <t>Perioperative betaÃƒÂ¢Ã¢â€šÂ¬Ã‚Âblockers for preventing surgeryÃƒÂ¢Ã¢â€šÂ¬Ã‚Ârelated mortality and morbidity in adults undergoing nonÃƒÂ¢Ã¢â€šÂ¬Ã‚Âcardiac surgery</t>
  </si>
  <si>
    <t>- Background Randomized controlled trials (RCTs) have yielded conflicting results regarding the ability of betaÃƒÂ¢Ã¢â€šÂ¬Ã‚Âblockers to influence perioperative cardiovascular morbidity and mortality. Thus routine prescription of these drugs in an unselected population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nonÃƒÂ¢Ã¢â€šÂ¬Ã‚Âcardiac surgery only. Objectives To assess the effectiveness of perioperatively administered betaÃƒÂ¢Ã¢â€šÂ¬Ã‚Âblockers for the prevention of surgeryÃƒÂ¢Ã¢â€šÂ¬Ã‚Ârelated mortality and morbidity in adults undergoing nonÃƒÂ¢Ã¢â€šÂ¬Ã‚Âcardiac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nonÃƒÂ¢Ã¢â€šÂ¬Ã‚Âcardiac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quasiÃƒÂ¢Ã¢â€šÂ¬Ã‚Ârandomized studies. All participants were undergoing nonÃƒÂ¢Ã¢â€šÂ¬Ã‚Âcardiac surgery, and types of surgery ranged from low to high risk. Types of betaÃƒÂ¢Ã¢â€šÂ¬Ã‚Âblockers were: propranolol, metoprolol, esmolol, landiolol, nadolol, atenolol, labetalol, oxprenolol, and pindolol. In nine studies, betaÃƒÂ¢Ã¢â€šÂ¬Ã‚Âblockers were titrated according to heart rate or blood pressure. Duration of administration varied between studies, as did the time at which drugs were administered; in most studies, it was intraoperatively, but in 18 studies it was before surgery, in six postoperatively, one multiÃƒÂ¢Ã¢â€šÂ¬Ã‚Âarm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openÃƒÂ¢Ã¢â€šÂ¬Ã‚Âlabel study design. Only two studies were prospectively registered with clinical trials registers, which limited the assessment of reporting bias. In six studies, participants in the control group were given betaÃƒÂ¢Ã¢â€šÂ¬Ã‚Âblockers as rescue therapy during the study period. The evidence for allÃƒÂ¢Ã¢â€šÂ¬Ã‚Âcause mortality at 30 days was uncertain; based on the risk of death in the control group of 25 per 1000, the effect with betaÃƒÂ¢Ã¢â€šÂ¬Ã‚Âblockers was between two fewer and 13 more per 1000 (risk ratio (RR) 1.17, 95% confidence interval (CI) 0.89 to 1.54; 16 studies, 11,446 participants; lowÃƒÂ¢Ã¢â€šÂ¬Ã‚Âcertainty evidence). BetaÃƒÂ¢Ã¢â€šÂ¬Ã‚Âblockers may reduce the incidence of myocardial infarction by 13 fewer incidences per 1000 (RR 0.72, 95% CI 0.60 to 0.87; 12 studies, 10,520 participants; lowÃƒÂ¢Ã¢â€šÂ¬Ã‚Âcertainty evidence). We found no evidence of a difference in cerebrovascular events (RR 1.65, 95% CI 0.97 to 2.81; 6 studies, 9460 participants; lowÃƒÂ¢Ã¢â€šÂ¬Ã‚Âcertainty evidence), or in ventricular arrhythmias (RR 0.72, 95% CI 0.35 to 1.47; 5 studies, 47 participants; very lowÃƒÂ¢Ã¢â€šÂ¬Ã‚Âcertainty evidence). BetaÃƒÂ¢Ã¢â€šÂ¬Ã‚Âblockers may reduce atrial fibrillation or flutter by 26 fewer incidences per 1000 (RR 0.41, 95% CI 0.21 to 0.79; 9 studies, 9080 participants; lowÃƒÂ¢Ã¢â€šÂ¬Ã‚Âcertainty evidence). However, betaÃƒÂ¢Ã¢â€šÂ¬Ã‚Âblockers may increase bradycardia by 55 more incidences per 1000 (RR 2.49, 95% CI 1.74 to 3.56; 49 studies, 12,239 participants; lowÃƒÂ¢Ã¢â€šÂ¬Ã‚Âcertainty evidence), and hypotension by 44 more per 1000 (RR 1.40, 95% CI 1.29 to 1.51; 49 studies, 12,304 participants; moderateÃƒÂ¢Ã¢â€šÂ¬Ã‚Âcertainty evidence). We downgraded the certainty of the evidence owing to study limitations; some studies had high risks of bias, and the effects were sometimes altered when we excluded studies with a standard care control group (including only placeboÃƒÂ¢Ã¢â€šÂ¬Ã‚Âcontrolled trials showed an increase in early mortality and cerebrovascular events with betaÃƒÂ¢Ã¢â€šÂ¬Ã‚Âblockers). We also downgraded for inconsistency; one large, wellÃƒÂ¢Ã¢â€šÂ¬Ã‚Âconducted, international study found a reduction in myocardial infarction, and an increase in cerebrovascular events and allÃƒÂ¢Ã¢â€šÂ¬Ã‚Âcause mortality, when betaÃƒÂ¢Ã¢â€šÂ¬Ã‚Âblockers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allÃƒÂ¢Ã¢â€šÂ¬Ã‚Âcause mortality with perioperative betaÃƒÂ¢Ã¢â€šÂ¬Ã‚Âblockers was uncertain. We found no evidence of a difference in cerebrovascular events or ventricular arrhythmias, and the certainty of the evidence for these outcomes was low and very low. We found lowÃƒÂ¢Ã¢â€šÂ¬Ã‚Âcertainty evidence that betaÃƒÂ¢Ã¢â€šÂ¬Ã‚Âblockers may reduce atrial fibrillation and myocardial infarctions. However, betaÃƒÂ¢Ã¢â€šÂ¬Ã‚Âblockers may increase bradycardia (lowÃƒÂ¢Ã¢â€šÂ¬Ã‚Âcertainty evidence) and probably increase hypotension (moderateÃƒÂ¢Ã¢â€šÂ¬Ã‚Âcertainty evidence). Further evidence from large placeboÃƒÂ¢Ã¢â€šÂ¬Ã‚Âcontrolled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BetaÃƒÂ¢Ã¢â€šÂ¬Ã‚Âblockers to prevent death or serious events after surgery not involving the heart This review assessed evidence from randomized controlled trials (RCTs) on whether betaÃƒÂ¢Ã¢â€šÂ¬Ã‚Âblockers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BetaÃƒÂ¢Ã¢â€šÂ¬Ã‚Âblockers are drugs that block the action of adrenaline and noradrenaline on the heart. BetaÃƒÂ¢Ã¢â€šÂ¬Ã‚Âblockers can slow down the heart, and reduce blood pressure, and this may reduce the risk of serious events. However, betaÃƒÂ¢Ã¢â€šÂ¬Ã‚Âblockers may lead to a very low heart rate or very low blood pressure which could increase the risk of death or a stroke. Prevention of early complications after surgery is important, but using betaÃƒÂ¢Ã¢â€šÂ¬Ã‚Âblockers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betaÃƒÂ¢Ã¢â€šÂ¬Ã‚Âblockers used in the studies were: propranolol, metoprolol, esmolol, landiolol, nadolol, atenolol, labetalol, oxprenolol, and pindolol. Studies compared these betaÃƒÂ¢Ã¢â€šÂ¬Ã‚Âblockers with either a placebo (disguised to look like a betaÃƒÂ¢Ã¢â€šÂ¬Ã‚Âblocker but containing no medicine) or with standard care. Key results BetaÃƒÂ¢Ã¢â€šÂ¬Ã‚Âblockers may make l ttle or no difference to the number of people who die within 30 days of surgery (16 studies, 11,446 participants; lowÃƒÂ¢Ã¢â€šÂ¬Ã‚Âcertainty evidence), have a stroke (6 studies, 9460 participants; lowÃƒÂ¢Ã¢â€šÂ¬Ã‚Âcertainty evidence), or experience ventricular arrhythmias (irregular heartbeat rhythms, starting in the main chambers of the heart, that are potentially lifeÃƒÂ¢Ã¢â€šÂ¬Ã‚Âthreatening and may need immediate medical treatment; 5 studies, 476 participants; very lowÃƒÂ¢Ã¢â€šÂ¬Ã‚Âcertainty evidence). We found that betaÃƒÂ¢Ã¢â€šÂ¬Ã‚Âblockers may reduce atrial fibrillation (an irregular heartbeat, starting in the atrial chambers of the heart, that increases the risk of stroke if untreated; 9 studies, 9080 participants; low certaintyÃƒÂ¢Ã¢â€šÂ¬Ã‚Âevidence), and the number of people who have a heart attack (12 studies, 10,520 participants; lowÃƒÂ¢Ã¢â€šÂ¬Ã‚Âcertainty evidence). However, taking betaÃƒÂ¢Ã¢â€šÂ¬Ã‚Âblockers may increase the number of people who experience a very low heart rate (49 studies, 12,239 participants; lowÃƒÂ¢Ã¢â€šÂ¬Ã‚Âcertainty evidence), or very low blood pressure (49 studies, 12,304 participants; moderateÃƒÂ¢Ã¢â€šÂ¬Ã‚Âcertainty evidence), around the time of surgery. In a few studies, we also found little or no difference in the number of people who died after 30 days, who died because of a heart problem, or had heart failure. We found no evidence of whether betaÃƒÂ¢Ã¢â€šÂ¬Ã‚Âblockers alter the length of time in hospital. No studies assessed whether people who were given betaÃƒÂ¢Ã¢â€šÂ¬Ã‚Âblockers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placeboÃƒÂ¢Ã¢â€šÂ¬Ã‚Âcontrolled studies or studies that reported how participants were randomized. We also found one large, wellÃƒÂ¢Ã¢â€šÂ¬Ã‚Âconducted, international study that had different findings to the smaller studies. It showed a reduction in heart attacks and an increase in stroke and allÃƒÂ¢Ã¢â€šÂ¬Ã‚Âcause mortality when betaÃƒÂ¢Ã¢â€šÂ¬Ã‚Âblockers were used, whilst the other studies did not show a clear effect. We were also less certain of the findings for outcomes with few studies, such as for ventricular arrhythmias. Conclusion Although betaÃƒÂ¢Ã¢â€šÂ¬Ã‚Âblockers may make little or no difference to the number of people who die within 30 days, have a stroke, or have ventricular arrhythmias, they may reduce atrial fibrillation and heart attacks. Taking betaÃƒÂ¢Ã¢â€šÂ¬Ã‚Âblockers may increase the number of people with a very low heart rate or very low blood pressure around the time of surgery. Further evidence from large, placeboÃƒÂ¢Ã¢â€šÂ¬Ã‚Âcontrolled trials is likely to increase the certainty of these findings, and we recommend the assessment of impact on quality of life.</t>
  </si>
  <si>
    <t>Perioperative betaÃƒÂ¢Ã¢â€šÂ¬Ã‚Âblockers for preventing surgeryÃƒÂ¢Ã¢â€šÂ¬Ã‚Ârelated mortality and morbidity in adults undergoing cardiac surgery</t>
  </si>
  <si>
    <t>- Background Randomized controlled trials (RCTs) have yielded conflicting results regarding the ability of betaÃƒÂ¢Ã¢â€šÂ¬Ã‚Âblockers to influence perioperative cardiovascular morbidity and mortality. Thus routine prescription of these drugs in unselected patients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cardiac surgery only. Objectives To assess the effectiveness of perioperatively administered betaÃƒÂ¢Ã¢â€šÂ¬Ã‚Âblockers for the prevention of surgeryÃƒÂ¢Ã¢â€šÂ¬Ã‚Ârelated mortality and morbidity in adults undergoing 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quasiÃƒÂ¢Ã¢â€šÂ¬Ã‚Ârandomized and the remaining were RCTs. All participants were undergoing cardiac surgery, and in most studies, at least some of the participants were previously taking betaÃƒÂ¢Ã¢â€šÂ¬Ã‚Âblockers. Types of betaÃƒÂ¢Ã¢â€šÂ¬Ã‚Âblockers were: propranolol, metoprolol, sotalol, esmolol, landiolol, acebutolol, timolol, carvedilol, nadolol, and atenolol. In twelve studies, betaÃƒÂ¢Ã¢â€šÂ¬Ã‚Âblockers were titrated according to heart rate or blood pressure. Duration of administration varied between studies, as did the time at which drugs were administered; in nine studies this was before surgery, in 20 studies during surgery, and in the remaining studies betaÃƒÂ¢Ã¢â€šÂ¬Ã‚Âblockers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betaÃƒÂ¢Ã¢â€šÂ¬Ã‚Âblockers as rescue therapy during the study period, and all studies in which the control was standard care were at high risk of performance bias because of the openÃƒÂ¢Ã¢â€šÂ¬Ã‚Âlabel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lowÃƒÂ¢Ã¢â€šÂ¬Ã‚Âcertainty evidence that betaÃƒÂ¢Ã¢â€šÂ¬Ã‚Âblockers may make little or no difference to allÃƒÂ¢Ã¢â€šÂ¬Ã‚Âcause mortality at 30 days (risk ratio (RR) 0.95, 95% confidence interval (CI) 0.47 to 1.90; 29 studies, 4099 participants). For myocardial infarctions, we found no evidence of a difference in events (RR 1.05, 95% CI 0.72 to 1.52; 25 studies, 3946 participants; lowÃƒÂ¢Ã¢â€šÂ¬Ã‚Âcertainty evidence). Few study authors reported cerebrovascular events, and the evidence was uncertain (RR 1.37, 95% CI 0.51 to 3.67; 5 studies, 1471 participants; very lowÃƒÂ¢Ã¢â€šÂ¬Ã‚Âcertainty evidence). Based on a control risk of 54 per 1000, we found lowÃƒÂ¢Ã¢â€šÂ¬Ã‚Âcertainty evidence that betaÃƒÂ¢Ã¢â€šÂ¬Ã‚Âblockers may reduce episodes of ventr cular arrhythmias by 32 episodes per 1000 (RR 0.40, 95% CI 0.25 to 0.63; 12 studies, 2296 participants). For atrial fibrillation or flutter, there may be 163 fewer incidences with betaÃƒÂ¢Ã¢â€šÂ¬Ã‚Âblockers, based on a control risk of 327 incidences per 1000 (RR 0.50, 95% CI 0.42 to 0.59; 40 studies, 5650 participants; lowÃƒÂ¢Ã¢â€šÂ¬Ã‚Âcertainty evidence). However, the evidence for bradycardia and hypotension was less certain. We found that betaÃƒÂ¢Ã¢â€šÂ¬Ã‚Âblockers may make little or no difference to bradycardia (RR 1.63, 95% CI 0.92 to 2.91; 12 studies, 1640 participants; lowÃƒÂ¢Ã¢â€šÂ¬Ã‚Âcertainty evidence), or hypotension (RR 1.84, 95% CI 0.89 to 3.80; 10 studies, 1538 participants; lowÃƒÂ¢Ã¢â€šÂ¬Ã‚Âcertainty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allÃƒÂ¢Ã¢â€šÂ¬Ã‚Âcause mortality, myocardial infarction, cerebrovascular events, hypotension and bradycardia. However, there may be a reduction in atrial fibrillation and ventricular arrhythmias when betaÃƒÂ¢Ã¢â€šÂ¬Ã‚Âblockers are used. A larger sample size is likely to increase the certainty of this evidence. Four studies awaiting classification may alter the conclusions of this review. Plain language summary BetaÃƒÂ¢Ã¢â€šÂ¬Ã‚Âblockers to prevent death or serious events after heart surgery This review assessed evidence of whether betaÃƒÂ¢Ã¢â€šÂ¬Ã‚Âblockers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BetaÃƒÂ¢Ã¢â€šÂ¬Ã‚Âblockers are drugs that block the action of adrenaline and noradrenaline on the heart. BetaÃƒÂ¢Ã¢â€šÂ¬Ã‚Âblockers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quasiÃƒÂ¢Ã¢â€šÂ¬Ã‚Ârandomized (participants were allocated to groups by methods such as using hospital record numbers or dates of birth). The types of betaÃƒÂ¢Ã¢â€šÂ¬Ã‚Âblockers were: propranolol, metoprolol, sotalol, esmolol, landiolol, acebutolol, timolol, carvedilol, nadolol, and atenolol. These betaÃƒÂ¢Ã¢â€šÂ¬Ã‚Âblockers were compared with either a placebo (disguised to look like a betaÃƒÂ¢Ã¢â€šÂ¬Ã‚Âblocker but containing no medicine) or with standard care. BetaÃƒÂ¢Ã¢â€šÂ¬Ã‚Âblockers were started before surgery, during surgery or at the latest by the end of the first day after surgery. The length of time betaÃƒÂ¢Ã¢â€šÂ¬Ã‚Âblockers were given varied between studies. In most studies, at least some of the people were already taking betaÃƒÂ¢Ã¢â€šÂ¬Ã‚Âblockers, which would be expected for people who had conditions that needed heart surgery. Key results BetaÃƒÂ¢Ã¢â€šÂ¬Ã‚Âblockers probably make little or no difference to the number of people who die (29 studies, 4099 participants) or have a heart attack (25 studies, 3946 participants) within 30 days of surgery. This w s supported by lowÃƒÂ¢Ã¢â€šÂ¬Ã‚Âcertainty evidence. Few studies reported on people who had a stroke, and we were uncertain whether or not betaÃƒÂ¢Ã¢â€šÂ¬Ã‚Âblockers reduced strokes because the certainty of the evidence was very low (5 studies, 1471 participants). BetaÃƒÂ¢Ã¢â€šÂ¬Ã‚Âblockers may reduce atrial fibrillation, which is an irregular heartbeat starting in the atrial chambers of the heart that increases the risk of stroke if untreated (40 studies, 5650 participants; lowÃƒÂ¢Ã¢â€šÂ¬Ã‚Âcertainty evidence). BetaÃƒÂ¢Ã¢â€šÂ¬Ã‚Âblockers may also reduce ventricular arrhythmias, which are potentially lifeÃƒÂ¢Ã¢â€šÂ¬Ã‚Âthreatening irregular heartbeat rhythms originating in the main chambers of the heart, and which may need immediate medical treatment (12 studies, 2296 participants). We found that betaÃƒÂ¢Ã¢â€šÂ¬Ã‚Âblockers may make little or no difference to whether people experience a very low heart rate or very low blood pressure. We were uncertain whether betaÃƒÂ¢Ã¢â€šÂ¬Ã‚Âblockers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betaÃƒÂ¢Ã¢â€šÂ¬Ã‚Âblockers had a shorter hospital stay by about half a day (14 studies, 2450 participants; lowÃƒÂ¢Ã¢â€šÂ¬Ã‚Âcertainty evidence). No studies assessed whether people on betaÃƒÂ¢Ã¢â€šÂ¬Ã‚Âblockers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placeboÃƒÂ¢Ã¢â€šÂ¬Ã‚Âcontrol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BetaÃƒÂ¢Ã¢â€šÂ¬Ã‚Âblockers may be beneficial for people who are undergoing cardiac surgery because they may reduce the number of people who experience atrial fibrillation and ventricular arrhythmias. BetaÃƒÂ¢Ã¢â€šÂ¬Ã‚Âblockers may make little or no difference to the other outcomes in this review, including death, heart attacks or stroke.</t>
  </si>
  <si>
    <t>- Background Cerebral palsy (CP) is the most common cause of physical disabilities in children in highÃƒÂ¢Ã¢â€šÂ¬Ã‚Âincome countries. Spasticity is the most common motor disturbance in CP. Botulinum toxin type A (BoNTÃƒÂ¢Ã¢â€šÂ¬Ã‚ÂA) is considered the firstÃƒÂ¢Ã¢â€šÂ¬Ã‚Âline treatment for focal spasticity in people with CP. Objectives To evaluate the effectiveness and safety of BoNTÃƒÂ¢Ã¢â€šÂ¬Ã‚ÂA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BoNTÃƒÂ¢Ã¢â€šÂ¬Ã‚ÂA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metaÃƒÂ¢Ã¢â€šÂ¬Ã‚Âanalyses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BoNTÃƒÂ¢Ã¢â€šÂ¬Ã‚ÂA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BoNTÃƒÂ¢Ã¢â€šÂ¬Ã‚ÂA versus usual care or physiotherapy BoNTÃƒÂ¢Ã¢â€šÂ¬Ã‚ÂA might improve overall gait scores at mediumÃƒÂ¢Ã¢â€šÂ¬Ã‚Âterm followÃƒÂ¢Ã¢â€šÂ¬Ã‚Âup (MD 2.80, 95% CI 1.55 to 4.05; 1 study, 40 children; very lowÃƒÂ¢Ã¢â€šÂ¬Ã‚Âquality evidence) and is moderately effective at improving function at shortÃƒÂ¢Ã¢â€šÂ¬Ã‚Âterm (SMD 0.59, 95% CI 0.23 to 0.95; 2 studies, 123 children) and mediumÃƒÂ¢Ã¢â€šÂ¬Ã‚Âterm (SMD 1.04, 95% CI 0.16 to 1.91; 4 studies, 191 children) followÃƒÂ¢Ã¢â€šÂ¬Ã‚Âup (all very lowÃƒÂ¢Ã¢â€šÂ¬Ã‚Âquality evidence). BoNTÃƒÂ¢Ã¢â€šÂ¬Ã‚ÂA improves ankle range of motion, satisfaction, and ankle plantarflexors spasticity at one or more time points (very lowÃƒÂ¢Ã¢â€šÂ¬Ã‚Âquality evidence). The proportion of adverse events in the BoNTÃƒÂ¢Ã¢â€šÂ¬Ã‚ÂA group was 0.37 (95% CI 0.08 to 0.66; I 2 = 95%; very lowÃƒÂ¢Ã¢â€šÂ¬Ã‚Âquality evidence). No adverse events were reported in the control group. BoNTÃƒÂ¢Ã¢â€šÂ¬Ã‚ÂA versus placebo or sham BoNTÃƒÂ¢Ã¢â€šÂ¬Ã‚ÂA improves overall gait scores at shortÃƒÂ¢Ã¢â€šÂ¬Ã‚Âterm (RR 1.66, 95% CI 1.16 to 2.37, P = 0.006; 4 studies, 261 assessments) and mediumÃƒÂ¢Ã¢â€šÂ¬Ã‚Âterm (RR 1.90, 95% CI 1.32 to 2.74, P &lt; 0.001; 3 studies, 248 assessments) followÃƒÂ¢Ã¢â€šÂ¬Ã‚Âup, and may improve peak ankle dorsiflexion in stance (MD 15.90 degrees, 95% CI 4.87 to 26.93, P = 0.005; 1 study, 19 children) and in swing (MD 10.20 degrees, 95% CI 4.01 to 16.39, P = 0.001; 1 study, 19 children) at shortÃƒÂ¢Ã¢â€šÂ¬Ã‚Âterm followÃƒÂ¢Ã¢â€šÂ¬Ã‚Âup (all moderateÃƒÂ¢Ã¢â€šÂ¬Ã‚Âquality evidence). BoNTÃƒÂ¢Ã¢â€šÂ¬Ã‚ÂA is not more effective than placebo or sham at improving function at shortÃƒÂ¢Ã¢â€šÂ¬Ã‚Âterm (SMD 0.24, 95% CI ÃƒÂ¢Ã‹â€ Ã¢â‚¬â„¢0.35 to 0.83, P = 0.42; 4 studies, 305 children) or longÃƒÂ¢Ã¢â€šÂ¬Ã‚Âterm (SMD ÃƒÂ¢Ã‹â€ Ã¢â‚¬â„¢0.07, 95% CI ÃƒÂ¢Ã‹â€ Ã¢â‚¬â„¢0.48 to 0.35, P = 0.76; 2 studies, 91 children) followÃƒÂ¢Ã¢â€šÂ¬Ã‚Âup, but has a small positive effect at mediumÃƒÂ¢Ã¢â€šÂ¬Ã‚Âterm followÃƒÂ¢Ã¢â€šÂ¬Ã‚Âup (SMD 0.28, 95% CI 0.06 to 0.49, P = 0.01; 5 studies, 327 children) (all moderateÃƒÂ¢Ã¢â€šÂ¬Ã‚Âquality evidence). BoNTÃƒÂ¢Ã¢â€šÂ¬Ã‚ÂA improves passive ankle range of motion, satisfaction, and ankle plantarflexors spasticity at one or more time points (moderateÃƒÂ¢Ã¢â€šÂ¬Ã‚Âquality evidence). There was no difference between groups in the rate of adverse events at shortÃƒÂ¢Ã¢â€šÂ¬Ã‚Âterm followÃƒÂ¢Ã¢â€šÂ¬Ã‚Âup (RR 1.29, 95% CI 0.87 to 1.93, P = 0.21; 12 studies, 918 children; moderateÃƒÂ¢Ã¢â€šÂ¬Ã‚Âquality evidence). BoNTÃƒÂ¢Ã¢â€šÂ¬Ã‚ÂA versus serial casting There was no difference between groups for overall gait scores at shortÃƒÂ¢Ã¢â€šÂ¬Ã‚Âterm (MD 0.00, 95% CI ÃƒÂ¢Ã‹â€ Ã¢â‚¬â„¢1.66 to 1.66); mediumÃƒÂ¢Ã¢â€šÂ¬Ã‚Âterm (MD 0.65, 95% CI ÃƒÂ¢Ã‹â€ Ã¢â‚¬â„¢1.21 to 2.51); or longÃƒÂ¢Ã¢â€šÂ¬Ã‚Âterm (MD 0.46, 95% CI ÃƒÂ¢Ã‹â€ Ã¢â‚¬â„¢1.33 to 2.25) followÃƒÂ¢Ã¢â€šÂ¬Ã‚Âup in one study with 18 children (moderateÃƒÂ¢Ã¢â€šÂ¬Ã‚Âquality evidence). BoNTÃƒÂ¢Ã¢â€šÂ¬Ã‚ÂA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(moderateÃƒÂ¢Ã¢â€šÂ¬Ã‚Â and lowÃƒÂ¢Ã¢â€šÂ¬Ã‚Âquality evidence). BoNTÃƒÂ¢Ã¢â€šÂ¬Ã‚ÂA is not more effective than serial casting at improving function, ankle range of motion, and spasticity at any time point (moderateÃƒÂ¢Ã¢â€šÂ¬Ã‚Â and lowÃƒÂ¢Ã¢â€šÂ¬Ã‚Âquality evidence). BoNTÃƒÂ¢Ã¢â€šÂ¬Ã‚ÂA is not associated with a higher risk of adverse events than serial casting (RR 0.59, 95% CI 0.03 to 11.03; 3 studies, 64 children; lowÃƒÂ¢Ã¢â€šÂ¬Ã‚Âquality evidence). BoNTÃƒÂ¢Ã¢â€šÂ¬Ã‚ÂA versus orthoses There was no difference between groups for function at mediumÃƒÂ¢Ã¢â€šÂ¬Ã‚Âterm followÃƒÂ¢Ã¢â€šÂ¬Ã‚Âup (MD 11.14, 95% CI ÃƒÂ¢Ã‹â€ Ã¢â‚¬â„¢0.05 to 22.33; 1 study, 43 children), but BoNTÃƒÂ¢Ã¢â€šÂ¬Ã‚ÂA is more effective than orthoses at improving hip range of motion and hip adductors spasticity (all very lowÃƒÂ¢Ã¢â€šÂ¬Ã‚Âquality evidence). Authors' conclusions The quality of the evidence was low or very low for most of the outcomes analysed. We found limited evidence that BoNTÃƒÂ¢Ã¢â€šÂ¬Ã‚ÂA is more effective than placebo or a nonÃƒÂ¢Ã¢â€šÂ¬Ã‚Âplacebo control at improving gait, joint range of motion, satisfaction, and lower limb spasticity in children with CP, whereas the results for function were contradictory. The rate of adverse events with BoNTÃƒÂ¢Ã¢â€šÂ¬Ã‚ÂA is similar to placebo. BoNTÃƒÂ¢Ã¢â€šÂ¬Ã‚ÂA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nonÃƒÂ¢Ã¢â€šÂ¬Ã‚Âprogressive,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(BoNTÃƒÂ¢Ã¢â€šÂ¬Ã‚ÂA; a poisonous biological substance that is thought to relieve spasticity by reducing muscle overactivity when injected into the muscle). This review looked at the effects of BoNTÃƒÂ¢Ã¢â€šÂ¬Ã‚ÂA. Review question The aim of this review was to assess and summarise scientific studies comparing BoNTÃƒÂ¢Ã¢â€šÂ¬Ã‚ÂA injections to other treatments for lower limb spasticity in children with CP. Study characteristics We found 31 studies assessing 1508 participants. The use of BoNTÃƒÂ¢Ã¢â€šÂ¬Ã‚ÂA in the lower limb muscles was compared to: (1) children's regular care or physiotherapy, (2) placebo (fake injections), (3) a series of belowÃƒÂ¢Ã¢â€šÂ¬Ã‚Âknee plaster casts, and (4) leg splints. Key results Children receiving BoNTÃƒÂ¢Ã¢â€šÂ¬Ã‚ÂA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BoNTÃƒÂ¢Ã¢â€šÂ¬Ã‚ÂA injections. The rate of side effects was similar when comparing BoNTÃƒÂ¢Ã¢â€šÂ¬Ã‚ÂA injections to placebo. BoNTÃƒÂ¢Ã¢â€šÂ¬Ã‚ÂA injections and plaster cas s below the knee produced similar benefits in walking and joint motion and relieving spasms. In addition, BoNTÃƒÂ¢Ã¢â€šÂ¬Ã‚ÂA provided better results in terms of joint range of motion compared to a specific type of splinting (Johnstone pressure splints). Quality of the evidence We considered the quality of the evidence as very low for the comparison BoNTÃƒÂ¢Ã¢â€šÂ¬Ã‚ÂA versus usual care or physiotherapy; moderate for the comparison BoNTÃƒÂ¢Ã¢â€šÂ¬Ã‚ÂA versus placebo; moderate and low for the comparison BoNTÃƒÂ¢Ã¢â€šÂ¬Ã‚ÂA versus plaster casts; and very low for the comparison BoNTÃƒÂ¢Ã¢â€šÂ¬Ã‚ÂA versus splints. Conclusion There is limited evidence that, compared to placebo or regular care, BoNTÃƒÂ¢Ã¢â€šÂ¬Ã‚ÂA improves walking, joint motion, satisfaction with the outcome of treatment, and muscle spasticity in children with CP. The rate of side effects with BoNTÃƒÂ¢Ã¢â€šÂ¬Ã‚ÂA was similar to placebo. BoNTÃƒÂ¢Ã¢â€šÂ¬Ã‚ÂA was no better than plaster casts in any of our analyses, but was better than splints at improving range of motion and spasticity.</t>
  </si>
  <si>
    <t>- Background Heavy menstrual bleeding (HMB) is a significant health problem in premenopausal women; it can reduce their quality of life and can cause social disruption and physical problems such as iron deficiency anaemia. FirstÃƒÂ¢Ã¢â€šÂ¬Ã‚Âline treatment has traditionally consisted of medical therapy (hormonal and nonÃƒÂ¢Ã¢â€šÂ¬Ã‚Âhormonal),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FirstÃƒÂ¢Ã¢â€šÂ¬Ã‚Âgeneration techniques require visualisation of the uterus with a hysteroscope during the procedure; although it is safe, this procedure requires specific technical skills. Newer techniques for endometrial ablation (secondÃƒÂ¢Ã¢â€šÂ¬Ã‚Â and thirdÃƒÂ¢Ã¢â€šÂ¬Ã‚Âgeneration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firstÃƒÂ¢Ã¢â€šÂ¬Ã‚Â and secondÃƒÂ¢Ã¢â€šÂ¬Ã‚Âgeneration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secondÃƒÂ¢Ã¢â€šÂ¬Ã‚Âgeneration versus firstÃƒÂ¢Ã¢â€šÂ¬Ã‚Âgeneration (i.e. gold standard hysteroscopic ablative) techniques revealed no evidence of differences in amenorrhoea at 1 year and 2 to 5 years' followÃƒÂ¢Ã¢â€šÂ¬Ã‚Âup (risk ratio (RR) 0.99, 95% confidence interval (CI) 0.78 to 1.27; 12 studies; 2145 women; IÃƒâ€šÃ‚Â² = 77%; and RR 1.16, 95% CI 0.78 to 1.72; 672 women; 4 studies; IÃƒâ€šÃ‚Â² = 80%; very lowÃƒÂ¢Ã¢â€šÂ¬Ã‚Âquality evidence) and showed subjective improvement at 1 year followÃƒÂ¢Ã¢â€šÂ¬Ã‚Âup based on a Pictorial Blood Assessment Chart (PBAC) (&lt; 75 or acceptable improvement) (RR 1.03, 95% CI 0.98 to 1.09; 5 studies; 1282 women; IÃƒâ€šÃ‚Â² = 0%; and RR 1.12, 95% CI 0.97 to 1.28; 236 women; 1 study; lowÃƒÂ¢Ã¢â€šÂ¬Ã‚Âquality evidence). Study results showed no difference in patient satisfaction between secondÃƒÂ¢Ã¢â€šÂ¬Ã‚Â and firstÃƒÂ¢Ã¢â€šÂ¬Ã‚Âgeneration techniques at 1 year followÃƒÂ¢Ã¢â€šÂ¬Ã‚Âup (RR 1.01, 95% CI 0.98 to 1.04; 11 studies; 1750 women; IÃƒâ€šÃ‚Â² = 36%; lowÃƒÂ¢Ã¢â€šÂ¬Ã‚Âquality evidence) nor at 2 to 5 years' followÃƒÂ¢Ã¢â€šÂ¬Ã‚Âup (RR 1.02, 95% CI 0.93 t 1.13; 672 women; 4 studies; IÃƒâ€šÃ‚Â² = 81%). Compared with firstÃƒÂ¢Ã¢â€šÂ¬Ã‚Âgeneration techniques, secondÃƒÂ¢Ã¢â€šÂ¬Ã‚Âgeneration endometrial ablation techniques were associated with shorter operating times (mean difference (MD) ÃƒÂ¢Ã¢â€šÂ¬Ã‚Â13.52 minutes, 95% CI ÃƒÂ¢Ã¢â€šÂ¬Ã‚Â16.90 to ÃƒÂ¢Ã¢â€šÂ¬Ã‚Â10.13; 9 studies; 1822 women; lowÃƒÂ¢Ã¢â€šÂ¬Ã‚Âquality evidence) and more often were performed under local rather than general anaesthesia (RR 2.8, 95% CI 1.8 to 4.4; 6 studies; 1434 women; lowÃƒÂ¢Ã¢â€šÂ¬Ã‚Âquality evidence). We are uncertain whether perforation rates differed between secondÃƒÂ¢Ã¢â€šÂ¬Ã‚Â and firstÃƒÂ¢Ã¢â€šÂ¬Ã‚Âgeneration techniques (RR 0.32, 95% CI 0.10 to 1.01; 1885 women; 8 studies; IÃƒâ€šÃ‚Â² = 0%). Trials reported little or no difference between secondÃƒÂ¢Ã¢â€šÂ¬Ã‚Â and firstÃƒÂ¢Ã¢â€šÂ¬Ã‚Âgeneration techniques in requirement for additional surgery (ablation or hysterectomy) at 1 year followÃƒÂ¢Ã¢â€šÂ¬Ã‚Âup (RR 0.72, 95% CI 0.41 to 1.26; 6 studies: 935 women; lowÃƒÂ¢Ã¢â€šÂ¬Ã‚Âquality evidence). At 5 years, results showed probably little or no difference between groups in the requirement for hysterectomy (RR 0.85, 95% CI 0.59 to 1.22; 4 studies; 758 women; moderateÃƒÂ¢Ã¢â€šÂ¬Ã‚Âquality evidence). Authors' conclusions Approaches to endometrial ablation have evolved from firstÃƒÂ¢Ã¢â€šÂ¬Ã‚Âgeneration techniques to newer secondÃƒÂ¢Ã¢â€šÂ¬Ã‚Â and thirdÃƒÂ¢Ã¢â€šÂ¬Ã‚Âgeneration approaches. Current evidence suggests that compared to firstÃƒÂ¢Ã¢â€šÂ¬Ã‚Âgeneration techniques (endometrial laser ablation, transcervical resection of the endometrium, rollerball endometrial ablation), secondÃƒÂ¢Ã¢â€šÂ¬Ã‚Âgeneration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SecondÃƒÂ¢Ã¢â€šÂ¬Ã‚Âgeneration techniques are associated with shorter operating times and are performed more often under local rather than general anaesthesia. It is uncertain whether perforation rates differed between secondÃƒÂ¢Ã¢â€šÂ¬Ã‚Â and firstÃƒÂ¢Ã¢â€šÂ¬Ã‚Âgeneration techniques. Evidence was insufficient to show which secondÃƒÂ¢Ã¢â€šÂ¬Ã‚Âgeneration approaches were superior to others and to reveal the efficacy and safety of thirdÃƒÂ¢Ã¢â€šÂ¬Ã‚Âgeneration approaches versus firstÃƒÂ¢Ã¢â€šÂ¬Ã‚Â and secondÃƒÂ¢Ã¢â€šÂ¬Ã‚Âgeneration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firstÃƒÂ¢Ã¢â€šÂ¬Ã‚Â, secondÃƒÂ¢Ã¢â€šÂ¬Ã‚Â and thirdÃƒÂ¢Ã¢â€šÂ¬Ã‚Âgeneration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ModerateÃƒÂ¢Ã¢â€šÂ¬Ã‚Â to very lowÃƒÂ¢Ã¢â€šÂ¬Ã‚Âquality evidence suggests that firstÃƒÂ¢Ã¢â€šÂ¬Ã‚Â and secondÃƒÂ¢Ã¢â€šÂ¬Ã‚Âgeneration approaches were equally effective in the treatment of HMB. Newer (secondÃƒÂ¢Ã¢â€šÂ¬Ã‚Âgeneration) treatment approaches were safer in terms of rate of fluid overload, cervical lacerations, and haematometra, with similar rates of uterine perforation. The newer approaches (secondÃƒÂ¢Ã¢â€šÂ¬Ã‚Âgeneration ablation) w re quicker and were more likely to be done under local (rather than general) anaesthesia compared with firstÃƒÂ¢Ã¢â€šÂ¬Ã‚Âgeneration approaches. Most women in both groups were satisfied with results of the procedure. Not enough evidence is available to show which secondÃƒÂ¢Ã¢â€šÂ¬Ã‚Âgeneration approaches are superior to others, and information about thirdÃƒÂ¢Ã¢â€šÂ¬Ã‚Âgeneration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</si>
  <si>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firstÃƒÂ¢Ã¢â€šÂ¬Ã‚Âline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ShortÃƒÂ¢Ã¢â€šÂ¬Ã‚Âcycle progestogen therapy during the luteal phase (medroxyprogesterone acetate or norethisterone for 7 to 10 days, from day 15 to 19) was inferior to other medical therapy, including tranexamic acid, danazol and the progestogenÃƒÂ¢Ã¢â€šÂ¬Ã‚Âreleasing intrauterine system (PgÃƒÂ¢Ã¢â€šÂ¬Ã‚ÂIUS (off the market since 2001)), releasing 60 mcg of progesterone daily, with respect to reduction of menstrual blood loss (mean difference (MD) 37.29, 95% confidence interval (CI) 17.67 to 56.91; I 2 = 50%; 6 trials, 145 women, lowÃƒÂ¢Ã¢â€šÂ¬Ã‚Âquality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LongÃƒÂ¢Ã¢â€šÂ¬Ã‚Âcycle progestogen therapy (medroxyprogesterone acetate or norethisterone), from day 5 to day 26 of the menstrual cycle, is also inferior compared to the levonorgestrelÃƒÂ¢Ã¢â€šÂ¬Ã‚Âreleasing intrauterine system (LNGÃƒÂ¢Ã¢â€šÂ¬Ã‚ÂIUS), tranexamic acid and ormeloxifene, ut may be similar to the combined vaginal ring with respect to reduction of menstrual blood loss (MD 16.88, 95% CI 10.93 to 22.84; I 2 = 87%; 4 trials, 355 women, very lowÃƒÂ¢Ã¢â€šÂ¬Ã‚Âquality evidence). There was no clear evidence of a difference between progestogen therapy long cycle and other medical therapy in terms of headache (OR 1.45, 95% CI 0.40 to 5.31; I 2 = 0%; 2 trials, 189 women; lowÃƒÂ¢Ã¢â€šÂ¬Ã‚Âquality evidence). Breakthrough bleeding or spotting was more likely in women with the LNGÃƒÂ¢Ã¢â€šÂ¬Ã‚ÂIUS (OR 0.18, 95% CI 0.06 to 0.55; I 2 = 0%; 3 trials, 220 women; lowÃƒÂ¢Ã¢â€šÂ¬Ã‚Âquality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LowÃƒÂ¢Ã¢â€šÂ¬Ã‚Â or very lowÃƒÂ¢Ã¢â€šÂ¬Ã‚Âquality evidence suggests that shortÃƒÂ¢Ã¢â€šÂ¬Ã‚Âcourse progestogen was inferior to other medical therapy, including tranexamic acid, danazol and the PgÃƒÂ¢Ã¢â€šÂ¬Ã‚ÂIUS with respect to reduction of menstrual blood loss. Long cycle progestogen therapy (medroxyprogesterone acetate or norethisterone) was also inferior to the LNGÃƒÂ¢Ã¢â€šÂ¬Ã‚ÂIUS,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PgÃƒÂ¢Ã¢â€šÂ¬Ã‚ÂIUS.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levonorgestrelÃƒÂ¢Ã¢â€šÂ¬Ã‚Âreleasing intrauterine device. No studies in this comparison reported on quality of life. Satisfaction with treatment was similar to women using the combined vaginal ring, but there were no data to compare satisfaction between long cycle and LNGÃƒÂ¢Ã¢â€šÂ¬Ã‚ÂIUS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</si>
  <si>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studyÃƒÂ¢Ã¢â€šÂ¬Ã‚Âbased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ÃƒÂ¢Ã¢â€šÂ¬Ã‹Å“transition to psychosisÃƒÂ¢Ã¢â€šÂ¬Ã¢â€žÂ¢. For details of other main outcomes please see 'Summary of findings' tables. In Group A (comparisons of absolute effects) we found no clear difference between amino acids and placebo (risk ratio (RR) 0.48 95% confidence interval (CI) 0.08 to 2.98; 2 RCTs, 52 participants; very lowÃƒÂ¢Ã¢â€šÂ¬Ã‚Âquality evidence). When omegaÃƒÂ¢Ã¢â€šÂ¬Ã‚Â3 fatty acids were compared to placebo, fewer participants given the omegaÃƒÂ¢Ã¢â€šÂ¬Ã‚Â3 (10%) transitioned to psychosis compared to the placebo group (33%) during longÃƒÂ¢Ã¢â€šÂ¬Ã‚Âterm followÃƒÂ¢Ã¢â€šÂ¬Ã‚Âup of seven years (RR 0.24 95% CI 0.09 to 0.67; 1 RCT, 81 participants; lowÃƒÂ¢Ã¢â€šÂ¬Ã‚Âquality evidence). In Group B (comparisons where complex interactions are probable) and in the subgroup focusing on antipsychotic drugs added to specific care packages, the amisulpiride + needsÃƒÂ¢Ã¢â€šÂ¬Ã‚Âfocused intervention (NFI) compared to NFI comparison (no reporting of transition to psychosis; 1 RCT, 102 participants; very lowÃƒÂ¢Ã¢â€šÂ¬Ã‚Âquality evidence) and the olanzapine + supportive intervention compared to supportive intervention alone comparison (RR 0.58 95% CI 0.28 to 1.18; 1 RCT, 60 participants; very lowÃƒÂ¢Ã¢â€šÂ¬Ã‚Âquality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followÃƒÂ¢Ã¢â€šÂ¬Ã‚Âup by 18 months, compared with double that percentage in the supportive therapy alone group (RR 0.45 95% CI 0.23 to 0.89; 2 RCTs, 252 participants; very lowÃƒÂ¢Ã¢â€šÂ¬Ã‚Âquality evidence). The CBT + risperidone versus CBT + placebo comparison identified no clear difference between treatments (RR 1.02 95% CI 0.39 to 2.67; 1 RCT, 87 participants; very lowÃƒÂ¢Ã¢â€šÂ¬Ã‚Âquality evidence) and this also applies to the CBT + needsÃƒÂ¢Ã¢â€šÂ¬Ã‚Âbased intervention (NBI) + risperidone versus NBI comparison (RR 0.75 95% CI 0.39 to 1.46; 1 RCT, 59 participants; very lowÃƒÂ¢Ã¢â€šÂ¬Ã‚Âquality evidence). Group C (differential effects) also involved six comparisons. The first compared CBT with supportive therapy. No clear difference was found for the ÃƒÂ¢Ã¢â€šÂ¬Ã‹Å“transition to psychosisÃƒÂ¢Ã¢â€šÂ¬Ã¢â€žÂ¢ outcome (RR 0.74 95% CI 0.28 to 1.98; 1 RCT, 72 participants; very lowÃƒÂ¢Ã¢â€šÂ¬Ã‚Âquality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lowÃƒÂ¢Ã¢â€šÂ¬Ã‚Âquality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lowÃƒÂ¢Ã¢â€šÂ¬Ã‚Âquality evidence) and integrated treatment compared to standard treatment comparison (RR 0.57 95% CI 0.28 to 1.15; 1 RCT, 79 participants; very lowÃƒÂ¢Ã¢â€šÂ¬Ã‚Âquality evidence) no effects of any of these approaches was evident. Authors' conclusions There has been considerable research effort in this area and several interventions have been trialled. The evidence available suggests that omegaÃƒÂ¢Ã¢â€šÂ¬Ã‚Â3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highÃƒÂ¢Ã¢â€šÂ¬Ã‚Âquality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nonÃƒÂ¢Ã¢â€šÂ¬Ã‚Âspecific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omegaÃƒÂ¢Ã¢â€šÂ¬Ã‚Â3 fatty acids in terms of reduced transition to psychosis. Other studies found adding antipsychotic drugs to supportiveÃƒÂ¢Ã¢â€šÂ¬Ã‚Âcare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followÃƒÂ¢Ã¢â€šÂ¬Ã‚Âup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lowÃƒÂ¢Ã¢â€šÂ¬Ã‚Âquality evidence suggesting that omegaÃƒÂ¢Ã¢â€šÂ¬Ã‚Â3 fatty acids may be effective, but there is no highÃƒÂ¢Ã¢â€šÂ¬Ã‚Âquality evidence to suggest that any type of treatment is effective, and no firm conclusions can be made.</t>
  </si>
  <si>
    <t>- Background Acute anterior shoulder dislocation, which is the most common type of dislocation, usually results from an injury. Subsequently, the shoulder is less stable and is more susceptible to reÃƒÂ¢Ã¢â€šÂ¬Ã‚Âdislocation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quasiÃƒÂ¢Ã¢â€šÂ¬Ã‚Ârandomised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reÃƒÂ¢Ã¢â€šÂ¬Ã‚Âdislocation, patientÃƒÂ¢Ã¢â€šÂ¬Ã‚Âreported shoulder instability measures and return to preÃƒÂ¢Ã¢â€šÂ¬Ã‚Âinjury activities. Secondary outcomes included participant satisfaction, healthÃƒÂ¢Ã¢â€šÂ¬Ã‚Ârelated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quasiÃƒÂ¢Ã¢â€šÂ¬Ã‚Ârandomised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followÃƒÂ¢Ã¢â€šÂ¬Ã‚Âup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reÃƒÂ¢Ã¢â€šÂ¬Ã‚Âdislocation after 12 months' or longer followÃƒÂ¢Ã¢â€šÂ¬Ã‚Âup compared with immobilisation in internal rotation (55/245 versus 73/243; risk ratio (RR) 0.67, 95% confidence interval (CI) 0.38 to 1.19; 488 participants; 6 studies; IÃƒâ€šÃ‚Â² = 61%; very low certainty evidence). In a moderateÃƒÂ¢Ã¢â€šÂ¬Ã‚Ârisk population with an illustrative risk of 312 per 1000 people experiencing a dislocation in the internal rotation group, this equates to 103 fewer (95% CI 194 fewer to 60 more) reÃƒÂ¢Ã¢â€šÂ¬Ã‚Âdislocations after immobilisation in external rotation. Thus this result covers the possibility of a benefit for each intervention. Individually, the four studies (380 participants) reporting on validated patientÃƒÂ¢Ã¢â€šÂ¬Ã‚Âreported outcome measures for shoulder instability at a minimum of 12 months' followÃƒÂ¢Ã¢â€šÂ¬Ã‚Âup found no evidence of a clinically important difference between the two interventions. We are uncertain of the relative effects of the two methods of immobilisat on on resumption of preÃƒÂ¢Ã¢â€šÂ¬Ã‚Âinjury activities or sports. One study (169 participants) found no evidence of a difference between interventions in the return to preÃƒÂ¢Ã¢â€šÂ¬Ã‚Âinjury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goodÃƒÂ¢Ã¢â€šÂ¬Ã‚Âquality, wellÃƒÂ¢Ã¢â€šÂ¬Ã‚Âreported randomised controlled trials with longÃƒÂ¢Ã¢â€šÂ¬Ã‚Âterm followÃƒÂ¢Ã¢â€šÂ¬Ã‚Âup. Future research should aim to determine the optimal immobilisation duration, precise indications for immobilisation, optimal rehabilitation interventions, and the acceptability of these different interventions. Plain language summary NonÃƒÂ¢Ã¢â€šÂ¬Ã‚Âsurgical management after nonÃƒÂ¢Ã¢â€šÂ¬Ã‚Âsurgical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reÃƒÂ¢Ã¢â€šÂ¬Ã‚Âdislocation, especially in active young adults. Initial treatment involves putting the joint back in place. This is called ÃƒÂ¢Ã¢â€šÂ¬Ã‹Å“closed reductionÃƒÂ¢Ã¢â€šÂ¬Ã¢â€žÂ¢ when it is done without surgery. Subsequent treatment is often conservative (nonÃƒÂ¢Ã¢â€šÂ¬Ã‚Âsurgical)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reÃƒÂ¢Ã¢â€šÂ¬Ã‚Âdislocation, patientÃƒÂ¢Ã¢â€šÂ¬Ã‚Âreported shoulder instability measures (usually questionnaires) and return to preÃƒÂ¢Ã¢â€šÂ¬Ã‚Âinjury activities. Further outcomes of interest included patientsÃƒÂ¢Ã¢â€šÂ¬Ã¢â€žÂ¢ satisfaction with the intervention, healthÃƒÂ¢Ã¢â€šÂ¬Ã‚Ârelated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reÃƒÂ¢Ã¢â€šÂ¬Ã‚Âdislocation at oneÃƒÂ¢Ã¢â€šÂ¬Ã‚Âyear or more followÃƒÂ¢Ã¢â€šÂ¬Ã‚Âup compared with immobilisation in internal rotation. None of the four studies reporting on patientÃƒÂ¢Ã¢â€šÂ¬Ã‚Âreported outcome measures for shoulder instability at a minimum of oneÃƒÂ¢Ã¢â€šÂ¬Ã‚Âyear followÃƒÂ¢Ã¢â€šÂ¬Ã‚Âup found evidence of any important difference between the two interventions. We are uncertain of the relative effects of the two methods of immobilisation on resumption of preÃƒÂ¢Ã¢â€šÂ¬Ã‚Âinjury activities or sports. One study found no evidence of a difference between interventions in the return to preÃƒÂ¢Ã¢â€šÂ¬Ã‚Âinjury activity of the affected arm. Two other studies found greater return to sports in the external rotation group in a small 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(a partial dislocation). The reporting of adverse events (complications) was unsatisfactory. There were reports of nine cases of shortÃƒÂ¢Ã¢â€šÂ¬Ã‚Âterm shoulder stiffness in the external rotation group and two cases of underÃƒÂ¢Ã¢â€šÂ¬Ã‚Âarm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</si>
  <si>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Ãƒâ€šÃ‚Â© 2019 Elsevier Ltd. All rights reserved.</t>
  </si>
  <si>
    <t>include_stage5</t>
  </si>
  <si>
    <t>reason_stage5</t>
  </si>
  <si>
    <t>has_comparator</t>
  </si>
  <si>
    <t>detected_comparator</t>
  </si>
  <si>
    <t>has_primary_outcomes</t>
  </si>
  <si>
    <t>detected_outcomes</t>
  </si>
  <si>
    <t>confidence_stage5</t>
  </si>
  <si>
    <t>Uses usual care comparator and measures cost/QALY outcomes.</t>
  </si>
  <si>
    <t>Usual/Standard care</t>
  </si>
  <si>
    <t>['cost', 'qaly']</t>
  </si>
  <si>
    <t>Uses placebo comparator and measures clinical outcomes.</t>
  </si>
  <si>
    <t>Placebo</t>
  </si>
  <si>
    <t>['clinical']</t>
  </si>
  <si>
    <t>Uses comparator and measures cost/QALY outcomes.</t>
  </si>
  <si>
    <t>Other</t>
  </si>
  <si>
    <t>['cost', 'qaly', 'impact']</t>
  </si>
  <si>
    <t>Uses a comparator and measures clinical outcomes.</t>
  </si>
  <si>
    <t>No intervention/Do nothing</t>
  </si>
  <si>
    <t>['clinical', 'impact']</t>
  </si>
  <si>
    <t>Uses placebo comparator and measures cost-effectiveness (QALY).</t>
  </si>
  <si>
    <t>No comparator group detected</t>
  </si>
  <si>
    <t>['cost', 'impact']</t>
  </si>
  <si>
    <t>Uses comparator and measures clinical outcomes.</t>
  </si>
  <si>
    <t>['clinical', 'safety', 'impact']</t>
  </si>
  <si>
    <t>No comparison group detected</t>
  </si>
  <si>
    <t>['clinical', 'safety']</t>
  </si>
  <si>
    <t>No primary cost or impact outcomes measured</t>
  </si>
  <si>
    <t>No explicit comparator group mentioned</t>
  </si>
  <si>
    <t>Uses comparator and measures cost outcomes.</t>
  </si>
  <si>
    <t>No comparator group used</t>
  </si>
  <si>
    <t>Randomized controlled trial with cost and clinical outcomes.</t>
  </si>
  <si>
    <t>['cost', 'qaly', 'clinical', 'safety', 'pro']</t>
  </si>
  <si>
    <t>RCT with placebo/standard care comparator and measures mortality/morbidity outcomes.</t>
  </si>
  <si>
    <t>RCTs with placebo/standard care and clinical outcomes.</t>
  </si>
  <si>
    <t>Has comparator and measures clinical outcomes.</t>
  </si>
  <si>
    <t>No comparator to usual care or no intervention</t>
  </si>
  <si>
    <t>RCT with comparator and primary outcomes on impact.</t>
  </si>
  <si>
    <t>['clinical', 'impact', 'other']</t>
  </si>
  <si>
    <t>No clear comparator group or primary outcomes detected</t>
  </si>
  <si>
    <t>[]</t>
  </si>
  <si>
    <t>Uses RCTs with comparators and measures transition to psychosis.</t>
  </si>
  <si>
    <t>['cost']</t>
  </si>
  <si>
    <t>Uses a comparison group and measures primary impact outcomes.</t>
  </si>
  <si>
    <t>['clinical', 'pro', 'impact']</t>
  </si>
  <si>
    <t>Uses comparator and measures cost/effectiveness outcomes.</t>
  </si>
  <si>
    <t>['cost', 'clinical', 'impact']</t>
  </si>
  <si>
    <t>['qaly', 'cost']</t>
  </si>
  <si>
    <t>Uses a comparator and measures cost/QALY outcomes.</t>
  </si>
  <si>
    <t>RCT with usual care comparator and primary outcomes on cost and safety.</t>
  </si>
  <si>
    <t>['cost', 'safety', 'clinical', 'impact']</t>
  </si>
  <si>
    <t>No explicit comparison group detected</t>
  </si>
  <si>
    <t>No explicit comparator group identified</t>
  </si>
  <si>
    <t>['impact']</t>
  </si>
  <si>
    <t>Includes comparison group and relevant outcomes</t>
  </si>
  <si>
    <t>No relevant outcomes</t>
  </si>
  <si>
    <t>Includes comparison and relevant outcomes</t>
  </si>
  <si>
    <t>very little relevant to outcomes we are interested in</t>
  </si>
  <si>
    <t>will include relevant outcomes, but none established yet as protocol</t>
  </si>
  <si>
    <t>No studies identified</t>
  </si>
  <si>
    <t>Includes comparison and relevant outcomes, but protocol</t>
  </si>
  <si>
    <t>Does include some relevant outcome data, but main focus is validation of tool</t>
  </si>
  <si>
    <t>includes relevant outcomes, but only protocol</t>
  </si>
  <si>
    <t>comparison and relevant outcomes</t>
  </si>
  <si>
    <t>Duplicate</t>
  </si>
  <si>
    <t>3 False Negatives</t>
  </si>
  <si>
    <t>9 False Positives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</si>
</sst>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5" tint="0.79998168889431442"/>
        <bgColor indexed="64"/>
      </patternFill>
    </fill>
  </fills>
  <borders count="3">
    <border>
      <left/>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xf numFmtId="0" fontId="2" fillId="0" borderId="1" xfId="0" applyFont="1" applyBorder="1"/>
    <xf numFmtId="0" fontId="2" fillId="0" borderId="2" xfId="0" applyFont="1" applyBorder="1"/>
    <xf numFmtId="0" fontId="0" fillId="2" borderId="0" xfId="0" applyFill="1"/>
    <xf numFmtId="0" fontId="2" fillId="0" borderId="0" xfId="0" applyFont="1"/>
  </cellXfs>
  <cellStyles count="1">
    <cellStyle name="Normal" xfId="0" builtinId="0"/>
  </cellStyles>
  <dxfs count="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K42"/>
  <sheetViews>
    <sheetView topLeftCell="A26" workbookViewId="0">
      <selection activeCell="A2" sqref="A2"/>
    </sheetView>
  </sheetViews>
  <sheetFormatPr defaultRowHeight="14.5" x14ac:dyDescent="0.35"/>
  <sheetData>
    <row r="1" spans="1:11" x14ac:dyDescent="0.35">
      <c r="A1" t="s">
        <v>0</v>
      </c>
      <c r="B1" t="s">
        <v>1</v>
      </c>
      <c r="C1" t="s">
        <v>2</v>
      </c>
      <c r="D1" t="s">
        <v>3</v>
      </c>
      <c r="E1" t="s">
        <v>202</v>
      </c>
      <c r="F1" t="s">
        <v>203</v>
      </c>
      <c r="G1" t="s">
        <v>204</v>
      </c>
      <c r="H1" t="s">
        <v>205</v>
      </c>
      <c r="I1" t="s">
        <v>206</v>
      </c>
      <c r="J1" t="s">
        <v>207</v>
      </c>
      <c r="K1" t="s">
        <v>208</v>
      </c>
    </row>
    <row r="2" spans="1:11" x14ac:dyDescent="0.35">
      <c r="A2" t="s">
        <v>8</v>
      </c>
      <c r="B2">
        <v>2019</v>
      </c>
      <c r="C2" t="s">
        <v>9</v>
      </c>
      <c r="D2" t="s">
        <v>176</v>
      </c>
      <c r="E2" t="b">
        <v>1</v>
      </c>
      <c r="F2" t="s">
        <v>209</v>
      </c>
      <c r="G2" t="b">
        <v>1</v>
      </c>
      <c r="H2" t="s">
        <v>210</v>
      </c>
      <c r="I2" t="b">
        <v>1</v>
      </c>
      <c r="J2" t="s">
        <v>211</v>
      </c>
      <c r="K2">
        <v>1</v>
      </c>
    </row>
    <row r="3" spans="1:11" x14ac:dyDescent="0.35">
      <c r="A3" t="s">
        <v>10</v>
      </c>
      <c r="B3">
        <v>2019</v>
      </c>
      <c r="C3" t="s">
        <v>11</v>
      </c>
      <c r="D3" t="s">
        <v>187</v>
      </c>
      <c r="E3" t="b">
        <v>1</v>
      </c>
      <c r="F3" t="s">
        <v>212</v>
      </c>
      <c r="G3" t="b">
        <v>1</v>
      </c>
      <c r="H3" t="s">
        <v>213</v>
      </c>
      <c r="I3" t="b">
        <v>1</v>
      </c>
      <c r="J3" t="s">
        <v>214</v>
      </c>
      <c r="K3">
        <v>0.9</v>
      </c>
    </row>
    <row r="4" spans="1:11" x14ac:dyDescent="0.35">
      <c r="A4" t="s">
        <v>12</v>
      </c>
      <c r="B4">
        <v>2019</v>
      </c>
      <c r="C4" t="s">
        <v>13</v>
      </c>
      <c r="D4" t="s">
        <v>177</v>
      </c>
      <c r="E4" t="b">
        <v>1</v>
      </c>
      <c r="F4" t="s">
        <v>215</v>
      </c>
      <c r="G4" t="b">
        <v>1</v>
      </c>
      <c r="H4" t="s">
        <v>216</v>
      </c>
      <c r="I4" t="b">
        <v>1</v>
      </c>
      <c r="J4" t="s">
        <v>217</v>
      </c>
      <c r="K4">
        <v>0.9</v>
      </c>
    </row>
    <row r="5" spans="1:11" x14ac:dyDescent="0.35">
      <c r="A5" t="s">
        <v>14</v>
      </c>
      <c r="B5">
        <v>2019</v>
      </c>
      <c r="C5" t="s">
        <v>15</v>
      </c>
      <c r="D5" t="s">
        <v>188</v>
      </c>
      <c r="E5" t="b">
        <v>1</v>
      </c>
      <c r="F5" t="s">
        <v>218</v>
      </c>
      <c r="G5" t="b">
        <v>1</v>
      </c>
      <c r="H5" t="s">
        <v>219</v>
      </c>
      <c r="I5" t="b">
        <v>1</v>
      </c>
      <c r="J5" t="s">
        <v>220</v>
      </c>
      <c r="K5">
        <v>0.9</v>
      </c>
    </row>
    <row r="6" spans="1:11" x14ac:dyDescent="0.35">
      <c r="A6" t="s">
        <v>19</v>
      </c>
      <c r="B6">
        <v>2019</v>
      </c>
      <c r="C6" t="s">
        <v>20</v>
      </c>
      <c r="D6" t="s">
        <v>178</v>
      </c>
      <c r="E6" t="b">
        <v>1</v>
      </c>
      <c r="F6" t="s">
        <v>221</v>
      </c>
      <c r="G6" t="b">
        <v>1</v>
      </c>
      <c r="H6" t="s">
        <v>213</v>
      </c>
      <c r="I6" t="b">
        <v>1</v>
      </c>
      <c r="J6" t="s">
        <v>211</v>
      </c>
      <c r="K6">
        <v>1</v>
      </c>
    </row>
    <row r="7" spans="1:11" x14ac:dyDescent="0.35">
      <c r="A7" t="s">
        <v>21</v>
      </c>
      <c r="B7">
        <v>2019</v>
      </c>
      <c r="C7" t="s">
        <v>22</v>
      </c>
      <c r="D7" t="s">
        <v>179</v>
      </c>
      <c r="E7" t="b">
        <v>0</v>
      </c>
      <c r="F7" t="s">
        <v>222</v>
      </c>
      <c r="G7" t="b">
        <v>0</v>
      </c>
      <c r="H7" t="s">
        <v>189</v>
      </c>
      <c r="I7" t="b">
        <v>1</v>
      </c>
      <c r="J7" t="s">
        <v>223</v>
      </c>
      <c r="K7">
        <v>0.9</v>
      </c>
    </row>
    <row r="8" spans="1:11" x14ac:dyDescent="0.35">
      <c r="A8" t="s">
        <v>23</v>
      </c>
      <c r="B8">
        <v>2019</v>
      </c>
      <c r="C8" t="s">
        <v>190</v>
      </c>
      <c r="D8" t="s">
        <v>191</v>
      </c>
      <c r="E8" t="b">
        <v>1</v>
      </c>
      <c r="F8" t="s">
        <v>224</v>
      </c>
      <c r="G8" t="b">
        <v>1</v>
      </c>
      <c r="H8" t="s">
        <v>216</v>
      </c>
      <c r="I8" t="b">
        <v>1</v>
      </c>
      <c r="J8" t="s">
        <v>225</v>
      </c>
      <c r="K8">
        <v>0.9</v>
      </c>
    </row>
    <row r="9" spans="1:11" x14ac:dyDescent="0.35">
      <c r="A9" t="s">
        <v>24</v>
      </c>
      <c r="B9">
        <v>2019</v>
      </c>
      <c r="C9" t="s">
        <v>25</v>
      </c>
      <c r="D9" t="s">
        <v>26</v>
      </c>
      <c r="E9" t="b">
        <v>0</v>
      </c>
      <c r="F9" t="s">
        <v>226</v>
      </c>
      <c r="G9" t="b">
        <v>0</v>
      </c>
      <c r="H9" t="s">
        <v>189</v>
      </c>
      <c r="I9" t="b">
        <v>1</v>
      </c>
      <c r="J9" t="s">
        <v>225</v>
      </c>
      <c r="K9">
        <v>0.9</v>
      </c>
    </row>
    <row r="10" spans="1:11" x14ac:dyDescent="0.35">
      <c r="A10" t="s">
        <v>27</v>
      </c>
      <c r="B10">
        <v>2019</v>
      </c>
      <c r="C10" t="s">
        <v>28</v>
      </c>
      <c r="D10" t="s">
        <v>29</v>
      </c>
      <c r="E10" t="b">
        <v>0</v>
      </c>
      <c r="F10" t="s">
        <v>226</v>
      </c>
      <c r="G10" t="b">
        <v>0</v>
      </c>
      <c r="H10" t="s">
        <v>189</v>
      </c>
      <c r="I10" t="b">
        <v>1</v>
      </c>
      <c r="J10" t="s">
        <v>227</v>
      </c>
      <c r="K10">
        <v>0.9</v>
      </c>
    </row>
    <row r="11" spans="1:11" x14ac:dyDescent="0.35">
      <c r="A11" t="s">
        <v>31</v>
      </c>
      <c r="B11">
        <v>2019</v>
      </c>
      <c r="C11" t="s">
        <v>180</v>
      </c>
      <c r="D11" t="s">
        <v>181</v>
      </c>
      <c r="E11" t="b">
        <v>0</v>
      </c>
      <c r="F11" t="s">
        <v>228</v>
      </c>
      <c r="G11" t="b">
        <v>1</v>
      </c>
      <c r="H11" t="s">
        <v>219</v>
      </c>
      <c r="I11" t="b">
        <v>0</v>
      </c>
      <c r="J11" t="s">
        <v>214</v>
      </c>
      <c r="K11">
        <v>0.9</v>
      </c>
    </row>
    <row r="12" spans="1:11" x14ac:dyDescent="0.35">
      <c r="A12" t="s">
        <v>32</v>
      </c>
      <c r="B12">
        <v>2019</v>
      </c>
      <c r="C12" t="s">
        <v>33</v>
      </c>
      <c r="D12" t="s">
        <v>182</v>
      </c>
      <c r="E12" t="b">
        <v>0</v>
      </c>
      <c r="F12" t="s">
        <v>229</v>
      </c>
      <c r="G12" t="b">
        <v>0</v>
      </c>
      <c r="H12" t="s">
        <v>189</v>
      </c>
      <c r="I12" t="b">
        <v>1</v>
      </c>
      <c r="J12" t="s">
        <v>223</v>
      </c>
      <c r="K12">
        <v>0.8</v>
      </c>
    </row>
    <row r="13" spans="1:11" x14ac:dyDescent="0.35">
      <c r="A13" t="s">
        <v>42</v>
      </c>
      <c r="B13">
        <v>2019</v>
      </c>
      <c r="C13" t="s">
        <v>43</v>
      </c>
      <c r="D13" t="s">
        <v>44</v>
      </c>
      <c r="E13" t="b">
        <v>1</v>
      </c>
      <c r="F13" t="s">
        <v>230</v>
      </c>
      <c r="G13" t="b">
        <v>1</v>
      </c>
      <c r="H13" t="s">
        <v>216</v>
      </c>
      <c r="I13" t="b">
        <v>1</v>
      </c>
      <c r="J13" t="s">
        <v>223</v>
      </c>
      <c r="K13">
        <v>0.9</v>
      </c>
    </row>
    <row r="14" spans="1:11" x14ac:dyDescent="0.35">
      <c r="A14" t="s">
        <v>45</v>
      </c>
      <c r="B14">
        <v>2019</v>
      </c>
      <c r="C14" t="s">
        <v>46</v>
      </c>
      <c r="D14" t="s">
        <v>183</v>
      </c>
      <c r="E14" t="b">
        <v>0</v>
      </c>
      <c r="F14" t="s">
        <v>231</v>
      </c>
      <c r="G14" t="b">
        <v>0</v>
      </c>
      <c r="H14" t="s">
        <v>189</v>
      </c>
      <c r="I14" t="b">
        <v>1</v>
      </c>
      <c r="J14" t="s">
        <v>223</v>
      </c>
      <c r="K14">
        <v>0.9</v>
      </c>
    </row>
    <row r="15" spans="1:11" x14ac:dyDescent="0.35">
      <c r="A15" t="s">
        <v>47</v>
      </c>
      <c r="B15">
        <v>2019</v>
      </c>
      <c r="C15" t="s">
        <v>48</v>
      </c>
      <c r="D15" t="s">
        <v>184</v>
      </c>
      <c r="E15" t="b">
        <v>1</v>
      </c>
      <c r="F15" t="s">
        <v>232</v>
      </c>
      <c r="G15" t="b">
        <v>1</v>
      </c>
      <c r="H15" t="s">
        <v>216</v>
      </c>
      <c r="I15" t="b">
        <v>1</v>
      </c>
      <c r="J15" t="s">
        <v>233</v>
      </c>
      <c r="K15">
        <v>1</v>
      </c>
    </row>
    <row r="16" spans="1:11" x14ac:dyDescent="0.35">
      <c r="A16" t="s">
        <v>49</v>
      </c>
      <c r="B16">
        <v>2019</v>
      </c>
      <c r="C16" t="s">
        <v>192</v>
      </c>
      <c r="D16" t="s">
        <v>193</v>
      </c>
      <c r="E16" t="b">
        <v>1</v>
      </c>
      <c r="F16" t="s">
        <v>234</v>
      </c>
      <c r="G16" t="b">
        <v>1</v>
      </c>
      <c r="H16" t="s">
        <v>213</v>
      </c>
      <c r="I16" t="b">
        <v>1</v>
      </c>
      <c r="J16" t="s">
        <v>214</v>
      </c>
      <c r="K16">
        <v>0.9</v>
      </c>
    </row>
    <row r="17" spans="1:11" x14ac:dyDescent="0.35">
      <c r="A17" t="s">
        <v>50</v>
      </c>
      <c r="B17">
        <v>2019</v>
      </c>
      <c r="C17" t="s">
        <v>194</v>
      </c>
      <c r="D17" t="s">
        <v>195</v>
      </c>
      <c r="E17" t="b">
        <v>1</v>
      </c>
      <c r="F17" t="s">
        <v>235</v>
      </c>
      <c r="G17" t="b">
        <v>1</v>
      </c>
      <c r="H17" t="s">
        <v>213</v>
      </c>
      <c r="I17" t="b">
        <v>1</v>
      </c>
      <c r="J17" t="s">
        <v>214</v>
      </c>
      <c r="K17">
        <v>0.9</v>
      </c>
    </row>
    <row r="18" spans="1:11" x14ac:dyDescent="0.35">
      <c r="A18" t="s">
        <v>57</v>
      </c>
      <c r="B18">
        <v>2019</v>
      </c>
      <c r="C18" t="s">
        <v>58</v>
      </c>
      <c r="D18" t="s">
        <v>196</v>
      </c>
      <c r="E18" t="b">
        <v>1</v>
      </c>
      <c r="F18" t="s">
        <v>236</v>
      </c>
      <c r="G18" t="b">
        <v>1</v>
      </c>
      <c r="H18" t="s">
        <v>210</v>
      </c>
      <c r="I18" t="b">
        <v>1</v>
      </c>
      <c r="J18" t="s">
        <v>225</v>
      </c>
      <c r="K18">
        <v>0.9</v>
      </c>
    </row>
    <row r="19" spans="1:11" x14ac:dyDescent="0.35">
      <c r="A19" t="s">
        <v>60</v>
      </c>
      <c r="B19">
        <v>2019</v>
      </c>
      <c r="C19" t="s">
        <v>61</v>
      </c>
      <c r="D19" t="s">
        <v>197</v>
      </c>
      <c r="E19" t="b">
        <v>0</v>
      </c>
      <c r="F19" t="s">
        <v>237</v>
      </c>
      <c r="G19" t="b">
        <v>0</v>
      </c>
      <c r="H19" t="s">
        <v>189</v>
      </c>
      <c r="I19" t="b">
        <v>1</v>
      </c>
      <c r="J19" t="s">
        <v>220</v>
      </c>
      <c r="K19">
        <v>0.8</v>
      </c>
    </row>
    <row r="20" spans="1:11" x14ac:dyDescent="0.35">
      <c r="A20" t="s">
        <v>62</v>
      </c>
      <c r="B20">
        <v>2019</v>
      </c>
      <c r="C20" t="s">
        <v>63</v>
      </c>
      <c r="D20" t="s">
        <v>198</v>
      </c>
      <c r="E20" t="b">
        <v>1</v>
      </c>
      <c r="F20" t="s">
        <v>238</v>
      </c>
      <c r="G20" t="b">
        <v>1</v>
      </c>
      <c r="H20" t="s">
        <v>216</v>
      </c>
      <c r="I20" t="b">
        <v>1</v>
      </c>
      <c r="J20" t="s">
        <v>239</v>
      </c>
      <c r="K20">
        <v>0.9</v>
      </c>
    </row>
    <row r="21" spans="1:11" ht="409.5" x14ac:dyDescent="0.35">
      <c r="A21" t="s">
        <v>71</v>
      </c>
      <c r="B21">
        <v>2019</v>
      </c>
      <c r="C21" t="s">
        <v>72</v>
      </c>
      <c r="D21" s="1" t="s">
        <v>73</v>
      </c>
      <c r="E21" t="b">
        <v>0</v>
      </c>
      <c r="F21" t="s">
        <v>240</v>
      </c>
      <c r="G21" t="b">
        <v>0</v>
      </c>
      <c r="H21" t="s">
        <v>189</v>
      </c>
      <c r="I21" t="b">
        <v>0</v>
      </c>
      <c r="J21" t="s">
        <v>241</v>
      </c>
      <c r="K21">
        <v>0.6</v>
      </c>
    </row>
    <row r="22" spans="1:11" x14ac:dyDescent="0.35">
      <c r="A22" t="s">
        <v>74</v>
      </c>
      <c r="B22">
        <v>2019</v>
      </c>
      <c r="C22" t="s">
        <v>75</v>
      </c>
      <c r="D22" t="s">
        <v>199</v>
      </c>
      <c r="E22" t="b">
        <v>1</v>
      </c>
      <c r="F22" t="s">
        <v>242</v>
      </c>
      <c r="G22" t="b">
        <v>1</v>
      </c>
      <c r="H22" t="s">
        <v>213</v>
      </c>
      <c r="I22" t="b">
        <v>1</v>
      </c>
      <c r="J22" t="s">
        <v>220</v>
      </c>
      <c r="K22">
        <v>0.9</v>
      </c>
    </row>
    <row r="23" spans="1:11" x14ac:dyDescent="0.35">
      <c r="A23" t="s">
        <v>76</v>
      </c>
      <c r="B23">
        <v>2019</v>
      </c>
      <c r="C23" t="s">
        <v>77</v>
      </c>
      <c r="D23" t="s">
        <v>185</v>
      </c>
      <c r="E23" t="b">
        <v>0</v>
      </c>
      <c r="F23" t="s">
        <v>229</v>
      </c>
      <c r="G23" t="b">
        <v>0</v>
      </c>
      <c r="H23" t="s">
        <v>189</v>
      </c>
      <c r="I23" t="b">
        <v>1</v>
      </c>
      <c r="J23" t="s">
        <v>243</v>
      </c>
      <c r="K23">
        <v>0.8</v>
      </c>
    </row>
    <row r="24" spans="1:11" x14ac:dyDescent="0.35">
      <c r="A24" t="s">
        <v>78</v>
      </c>
      <c r="B24">
        <v>2019</v>
      </c>
      <c r="C24" t="s">
        <v>79</v>
      </c>
      <c r="D24" t="s">
        <v>186</v>
      </c>
      <c r="E24" t="b">
        <v>1</v>
      </c>
      <c r="F24" t="s">
        <v>215</v>
      </c>
      <c r="G24" t="b">
        <v>1</v>
      </c>
      <c r="H24" t="s">
        <v>216</v>
      </c>
      <c r="I24" t="b">
        <v>1</v>
      </c>
      <c r="J24" t="s">
        <v>211</v>
      </c>
      <c r="K24">
        <v>0.9</v>
      </c>
    </row>
    <row r="25" spans="1:11" x14ac:dyDescent="0.35">
      <c r="A25" t="s">
        <v>83</v>
      </c>
      <c r="B25">
        <v>2019</v>
      </c>
      <c r="C25" t="s">
        <v>84</v>
      </c>
      <c r="D25" t="s">
        <v>200</v>
      </c>
      <c r="E25" t="b">
        <v>1</v>
      </c>
      <c r="F25" t="s">
        <v>244</v>
      </c>
      <c r="G25" t="b">
        <v>1</v>
      </c>
      <c r="H25" t="s">
        <v>216</v>
      </c>
      <c r="I25" t="b">
        <v>1</v>
      </c>
      <c r="J25" t="s">
        <v>245</v>
      </c>
      <c r="K25">
        <v>0.9</v>
      </c>
    </row>
    <row r="26" spans="1:11" ht="409.5" x14ac:dyDescent="0.35">
      <c r="A26" t="s">
        <v>85</v>
      </c>
      <c r="B26">
        <v>2019</v>
      </c>
      <c r="C26" t="s">
        <v>86</v>
      </c>
      <c r="D26" s="1" t="s">
        <v>87</v>
      </c>
      <c r="E26" t="b">
        <v>1</v>
      </c>
      <c r="F26" t="s">
        <v>246</v>
      </c>
      <c r="G26" t="b">
        <v>1</v>
      </c>
      <c r="H26" t="s">
        <v>216</v>
      </c>
      <c r="I26" t="b">
        <v>1</v>
      </c>
      <c r="J26" t="s">
        <v>247</v>
      </c>
      <c r="K26">
        <v>0.9</v>
      </c>
    </row>
    <row r="27" spans="1:11" x14ac:dyDescent="0.35">
      <c r="A27" t="s">
        <v>91</v>
      </c>
      <c r="B27">
        <v>2019</v>
      </c>
      <c r="C27" t="s">
        <v>92</v>
      </c>
      <c r="D27" t="s">
        <v>93</v>
      </c>
      <c r="E27" t="b">
        <v>0</v>
      </c>
      <c r="F27" t="s">
        <v>229</v>
      </c>
      <c r="G27" t="b">
        <v>0</v>
      </c>
      <c r="H27" t="s">
        <v>189</v>
      </c>
      <c r="I27" t="b">
        <v>1</v>
      </c>
      <c r="J27" t="s">
        <v>248</v>
      </c>
      <c r="K27">
        <v>0.8</v>
      </c>
    </row>
    <row r="28" spans="1:11" x14ac:dyDescent="0.35">
      <c r="A28" t="s">
        <v>94</v>
      </c>
      <c r="B28">
        <v>2019</v>
      </c>
      <c r="C28" t="s">
        <v>95</v>
      </c>
      <c r="D28" t="s">
        <v>96</v>
      </c>
      <c r="E28" t="b">
        <v>1</v>
      </c>
      <c r="F28" t="s">
        <v>249</v>
      </c>
      <c r="G28" t="b">
        <v>1</v>
      </c>
      <c r="H28" t="s">
        <v>219</v>
      </c>
      <c r="I28" t="b">
        <v>1</v>
      </c>
      <c r="J28" t="s">
        <v>217</v>
      </c>
      <c r="K28">
        <v>1</v>
      </c>
    </row>
    <row r="29" spans="1:11" x14ac:dyDescent="0.35">
      <c r="A29" t="s">
        <v>99</v>
      </c>
      <c r="B29">
        <v>2019</v>
      </c>
      <c r="C29" t="s">
        <v>100</v>
      </c>
      <c r="D29" t="s">
        <v>101</v>
      </c>
      <c r="E29" t="b">
        <v>1</v>
      </c>
      <c r="F29" t="s">
        <v>250</v>
      </c>
      <c r="G29" t="b">
        <v>1</v>
      </c>
      <c r="H29" t="s">
        <v>210</v>
      </c>
      <c r="I29" t="b">
        <v>1</v>
      </c>
      <c r="J29" t="s">
        <v>251</v>
      </c>
      <c r="K29">
        <v>1</v>
      </c>
    </row>
    <row r="30" spans="1:11" x14ac:dyDescent="0.35">
      <c r="A30" t="s">
        <v>103</v>
      </c>
      <c r="B30">
        <v>2019</v>
      </c>
      <c r="C30" t="s">
        <v>104</v>
      </c>
      <c r="D30" t="s">
        <v>105</v>
      </c>
      <c r="E30" t="b">
        <v>0</v>
      </c>
      <c r="F30" t="s">
        <v>252</v>
      </c>
      <c r="G30" t="b">
        <v>0</v>
      </c>
      <c r="H30" t="s">
        <v>189</v>
      </c>
      <c r="I30" t="b">
        <v>1</v>
      </c>
      <c r="J30" t="s">
        <v>223</v>
      </c>
      <c r="K30">
        <v>0.8</v>
      </c>
    </row>
    <row r="31" spans="1:11" x14ac:dyDescent="0.35">
      <c r="A31" t="s">
        <v>106</v>
      </c>
      <c r="B31">
        <v>2019</v>
      </c>
      <c r="C31" t="s">
        <v>107</v>
      </c>
      <c r="D31" t="s">
        <v>201</v>
      </c>
      <c r="E31" t="b">
        <v>0</v>
      </c>
      <c r="F31" t="s">
        <v>253</v>
      </c>
      <c r="G31" t="b">
        <v>0</v>
      </c>
      <c r="H31" t="s">
        <v>189</v>
      </c>
      <c r="I31" t="b">
        <v>1</v>
      </c>
      <c r="J31" t="s">
        <v>254</v>
      </c>
      <c r="K31">
        <v>0.7</v>
      </c>
    </row>
    <row r="33" customFormat="1" x14ac:dyDescent="0.35"/>
    <row r="34" customFormat="1" x14ac:dyDescent="0.35"/>
    <row r="35" customFormat="1" x14ac:dyDescent="0.35"/>
    <row r="36" customFormat="1" x14ac:dyDescent="0.35"/>
    <row r="37" customFormat="1" x14ac:dyDescent="0.35"/>
    <row r="42" customFormat="1"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31"/>
  <sheetViews>
    <sheetView workbookViewId="0">
      <selection activeCell="A2" sqref="A2"/>
    </sheetView>
  </sheetViews>
  <sheetFormatPr defaultRowHeight="14.5" x14ac:dyDescent="0.35"/>
  <sheetData>
    <row r="1" spans="1:1" x14ac:dyDescent="0.35">
      <c r="A1" t="s">
        <v>0</v>
      </c>
    </row>
    <row r="2" spans="1:1" x14ac:dyDescent="0.35">
      <c r="A2" t="s">
        <v>8</v>
      </c>
    </row>
    <row r="3" spans="1:1" x14ac:dyDescent="0.35">
      <c r="A3" t="s">
        <v>10</v>
      </c>
    </row>
    <row r="4" spans="1:1" x14ac:dyDescent="0.35">
      <c r="A4" t="s">
        <v>12</v>
      </c>
    </row>
    <row r="5" spans="1:1" x14ac:dyDescent="0.35">
      <c r="A5" t="s">
        <v>14</v>
      </c>
    </row>
    <row r="6" spans="1:1" x14ac:dyDescent="0.35">
      <c r="A6" t="s">
        <v>19</v>
      </c>
    </row>
    <row r="7" spans="1:1" x14ac:dyDescent="0.35">
      <c r="A7" t="s">
        <v>21</v>
      </c>
    </row>
    <row r="8" spans="1:1" x14ac:dyDescent="0.35">
      <c r="A8" t="s">
        <v>23</v>
      </c>
    </row>
    <row r="9" spans="1:1" x14ac:dyDescent="0.35">
      <c r="A9" t="s">
        <v>24</v>
      </c>
    </row>
    <row r="10" spans="1:1" x14ac:dyDescent="0.35">
      <c r="A10" t="s">
        <v>27</v>
      </c>
    </row>
    <row r="11" spans="1:1" x14ac:dyDescent="0.35">
      <c r="A11" t="s">
        <v>31</v>
      </c>
    </row>
    <row r="12" spans="1:1" x14ac:dyDescent="0.35">
      <c r="A12" t="s">
        <v>32</v>
      </c>
    </row>
    <row r="13" spans="1:1" x14ac:dyDescent="0.35">
      <c r="A13" t="s">
        <v>42</v>
      </c>
    </row>
    <row r="14" spans="1:1" x14ac:dyDescent="0.35">
      <c r="A14" t="s">
        <v>45</v>
      </c>
    </row>
    <row r="15" spans="1:1" x14ac:dyDescent="0.35">
      <c r="A15" t="s">
        <v>47</v>
      </c>
    </row>
    <row r="16" spans="1:1" x14ac:dyDescent="0.35">
      <c r="A16" t="s">
        <v>49</v>
      </c>
    </row>
    <row r="17" spans="1:1" x14ac:dyDescent="0.35">
      <c r="A17" t="s">
        <v>50</v>
      </c>
    </row>
    <row r="18" spans="1:1" x14ac:dyDescent="0.35">
      <c r="A18" t="s">
        <v>57</v>
      </c>
    </row>
    <row r="19" spans="1:1" x14ac:dyDescent="0.35">
      <c r="A19" t="s">
        <v>60</v>
      </c>
    </row>
    <row r="20" spans="1:1" x14ac:dyDescent="0.35">
      <c r="A20" t="s">
        <v>62</v>
      </c>
    </row>
    <row r="21" spans="1:1" x14ac:dyDescent="0.35">
      <c r="A21" t="s">
        <v>71</v>
      </c>
    </row>
    <row r="22" spans="1:1" x14ac:dyDescent="0.35">
      <c r="A22" t="s">
        <v>74</v>
      </c>
    </row>
    <row r="23" spans="1:1" x14ac:dyDescent="0.35">
      <c r="A23" t="s">
        <v>76</v>
      </c>
    </row>
    <row r="24" spans="1:1" x14ac:dyDescent="0.35">
      <c r="A24" t="s">
        <v>78</v>
      </c>
    </row>
    <row r="25" spans="1:1" x14ac:dyDescent="0.35">
      <c r="A25" t="s">
        <v>83</v>
      </c>
    </row>
    <row r="26" spans="1:1" x14ac:dyDescent="0.35">
      <c r="A26" t="s">
        <v>85</v>
      </c>
    </row>
    <row r="27" spans="1:1" x14ac:dyDescent="0.35">
      <c r="A27" t="s">
        <v>91</v>
      </c>
    </row>
    <row r="28" spans="1:1" x14ac:dyDescent="0.35">
      <c r="A28" t="s">
        <v>94</v>
      </c>
    </row>
    <row r="29" spans="1:1" x14ac:dyDescent="0.35">
      <c r="A29" t="s">
        <v>99</v>
      </c>
    </row>
    <row r="30" spans="1:1" x14ac:dyDescent="0.35">
      <c r="A30" t="s">
        <v>103</v>
      </c>
    </row>
    <row r="31" spans="1:1" x14ac:dyDescent="0.35">
      <c r="A31" t="s">
        <v>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sheetPr filterMode="1"/>
  <dimension ref="A1:H52"/>
  <sheetViews>
    <sheetView topLeftCell="A36" workbookViewId="0">
      <selection activeCell="E39" sqref="E39"/>
    </sheetView>
  </sheetViews>
  <sheetFormatPr defaultRowHeight="14.5" x14ac:dyDescent="0.35"/>
  <cols>
    <col min="2" max="2" width="10.81640625" customWidth="1"/>
    <col min="3" max="3" width="13.54296875" customWidth="1"/>
    <col min="4" max="4" width="13.26953125" customWidth="1"/>
  </cols>
  <sheetData>
    <row r="1" spans="1:8" ht="15" thickBot="1" x14ac:dyDescent="0.4">
      <c r="A1" t="s">
        <v>108</v>
      </c>
      <c r="B1" t="s">
        <v>1</v>
      </c>
      <c r="C1" t="s">
        <v>2</v>
      </c>
      <c r="D1" t="s">
        <v>3</v>
      </c>
      <c r="E1" s="3" t="s">
        <v>109</v>
      </c>
      <c r="F1" s="4" t="s">
        <v>110</v>
      </c>
      <c r="G1" t="s">
        <v>175</v>
      </c>
      <c r="H1" t="s">
        <v>174</v>
      </c>
    </row>
    <row r="2" spans="1:8" hidden="1" x14ac:dyDescent="0.35">
      <c r="A2" t="s">
        <v>4</v>
      </c>
      <c r="B2">
        <v>2019</v>
      </c>
      <c r="C2" t="s">
        <v>5</v>
      </c>
      <c r="D2" t="s">
        <v>111</v>
      </c>
      <c r="E2" t="s">
        <v>112</v>
      </c>
      <c r="F2" t="s">
        <v>255</v>
      </c>
      <c r="G2" t="b">
        <f>IF(E2="Include", TRUE, FALSE)</f>
        <v>1</v>
      </c>
      <c r="H2" t="e">
        <f>VLOOKUP(A2,ID_Lookup!$A:$A,1,FALSE)</f>
        <v>#N/A</v>
      </c>
    </row>
    <row r="3" spans="1:8" hidden="1" x14ac:dyDescent="0.35">
      <c r="A3" t="s">
        <v>6</v>
      </c>
      <c r="B3">
        <v>2019</v>
      </c>
      <c r="C3" t="s">
        <v>7</v>
      </c>
      <c r="D3" t="s">
        <v>113</v>
      </c>
      <c r="E3" t="s">
        <v>173</v>
      </c>
      <c r="F3" t="s">
        <v>256</v>
      </c>
      <c r="G3" t="b">
        <f t="shared" ref="G3:G52" si="0">IF(E3="Include", TRUE, FALSE)</f>
        <v>0</v>
      </c>
      <c r="H3" t="e">
        <f>VLOOKUP(A3,ID_Lookup!$A:$A,1,FALSE)</f>
        <v>#N/A</v>
      </c>
    </row>
    <row r="4" spans="1:8" x14ac:dyDescent="0.35">
      <c r="A4" t="s">
        <v>8</v>
      </c>
      <c r="B4">
        <v>2019</v>
      </c>
      <c r="C4" t="s">
        <v>9</v>
      </c>
      <c r="D4" t="s">
        <v>114</v>
      </c>
      <c r="E4" t="s">
        <v>112</v>
      </c>
      <c r="F4" t="s">
        <v>255</v>
      </c>
      <c r="G4" t="b">
        <f t="shared" si="0"/>
        <v>1</v>
      </c>
      <c r="H4" t="str">
        <f>VLOOKUP(A4,ID_Lookup!$A:$A,1,FALSE)</f>
        <v>J502</v>
      </c>
    </row>
    <row r="5" spans="1:8" x14ac:dyDescent="0.35">
      <c r="A5" t="s">
        <v>10</v>
      </c>
      <c r="B5">
        <v>2019</v>
      </c>
      <c r="C5" t="s">
        <v>11</v>
      </c>
      <c r="D5" t="s">
        <v>115</v>
      </c>
      <c r="E5" t="s">
        <v>173</v>
      </c>
      <c r="F5" t="s">
        <v>256</v>
      </c>
      <c r="G5" t="b">
        <f t="shared" si="0"/>
        <v>0</v>
      </c>
      <c r="H5" t="str">
        <f>VLOOKUP(A5,ID_Lookup!$A:$A,1,FALSE)</f>
        <v>J503</v>
      </c>
    </row>
    <row r="6" spans="1:8" x14ac:dyDescent="0.35">
      <c r="A6" t="s">
        <v>12</v>
      </c>
      <c r="B6">
        <v>2019</v>
      </c>
      <c r="C6" t="s">
        <v>13</v>
      </c>
      <c r="D6" t="s">
        <v>116</v>
      </c>
      <c r="E6" t="s">
        <v>112</v>
      </c>
      <c r="F6" t="s">
        <v>255</v>
      </c>
      <c r="G6" t="b">
        <f t="shared" si="0"/>
        <v>1</v>
      </c>
      <c r="H6" t="str">
        <f>VLOOKUP(A6,ID_Lookup!$A:$A,1,FALSE)</f>
        <v>J504</v>
      </c>
    </row>
    <row r="7" spans="1:8" x14ac:dyDescent="0.35">
      <c r="A7" t="s">
        <v>14</v>
      </c>
      <c r="B7">
        <v>2019</v>
      </c>
      <c r="C7" t="s">
        <v>15</v>
      </c>
      <c r="D7" t="s">
        <v>117</v>
      </c>
      <c r="E7" t="s">
        <v>173</v>
      </c>
      <c r="F7" t="s">
        <v>256</v>
      </c>
      <c r="G7" t="b">
        <f t="shared" si="0"/>
        <v>0</v>
      </c>
      <c r="H7" t="str">
        <f>VLOOKUP(A7,ID_Lookup!$A:$A,1,FALSE)</f>
        <v>J505</v>
      </c>
    </row>
    <row r="8" spans="1:8" hidden="1" x14ac:dyDescent="0.35">
      <c r="A8" t="s">
        <v>16</v>
      </c>
      <c r="B8">
        <v>2019</v>
      </c>
      <c r="C8" t="s">
        <v>17</v>
      </c>
      <c r="D8" t="s">
        <v>118</v>
      </c>
      <c r="E8" t="s">
        <v>173</v>
      </c>
      <c r="F8" t="s">
        <v>256</v>
      </c>
      <c r="G8" t="b">
        <f t="shared" si="0"/>
        <v>0</v>
      </c>
      <c r="H8" t="e">
        <f>VLOOKUP(A8,ID_Lookup!$A:$A,1,FALSE)</f>
        <v>#N/A</v>
      </c>
    </row>
    <row r="9" spans="1:8" hidden="1" x14ac:dyDescent="0.35">
      <c r="A9" t="s">
        <v>18</v>
      </c>
      <c r="B9">
        <v>2019</v>
      </c>
      <c r="C9" t="s">
        <v>119</v>
      </c>
      <c r="D9" t="s">
        <v>120</v>
      </c>
      <c r="E9" t="s">
        <v>173</v>
      </c>
      <c r="F9" t="s">
        <v>256</v>
      </c>
      <c r="G9" t="b">
        <f t="shared" si="0"/>
        <v>0</v>
      </c>
      <c r="H9" t="e">
        <f>VLOOKUP(A9,ID_Lookup!$A:$A,1,FALSE)</f>
        <v>#N/A</v>
      </c>
    </row>
    <row r="10" spans="1:8" x14ac:dyDescent="0.35">
      <c r="A10" t="s">
        <v>19</v>
      </c>
      <c r="B10">
        <v>2019</v>
      </c>
      <c r="C10" t="s">
        <v>20</v>
      </c>
      <c r="D10" t="s">
        <v>121</v>
      </c>
      <c r="E10" t="s">
        <v>112</v>
      </c>
      <c r="F10" t="s">
        <v>255</v>
      </c>
      <c r="G10" t="b">
        <f t="shared" si="0"/>
        <v>1</v>
      </c>
      <c r="H10" t="str">
        <f>VLOOKUP(A10,ID_Lookup!$A:$A,1,FALSE)</f>
        <v>J508</v>
      </c>
    </row>
    <row r="11" spans="1:8" x14ac:dyDescent="0.35">
      <c r="A11" t="s">
        <v>21</v>
      </c>
      <c r="B11">
        <v>2019</v>
      </c>
      <c r="C11" t="s">
        <v>22</v>
      </c>
      <c r="D11" t="s">
        <v>122</v>
      </c>
      <c r="E11" t="s">
        <v>173</v>
      </c>
      <c r="F11" t="s">
        <v>256</v>
      </c>
      <c r="G11" t="b">
        <f t="shared" si="0"/>
        <v>0</v>
      </c>
      <c r="H11" t="str">
        <f>VLOOKUP(A11,ID_Lookup!$A:$A,1,FALSE)</f>
        <v>J509</v>
      </c>
    </row>
    <row r="12" spans="1:8" x14ac:dyDescent="0.35">
      <c r="A12" t="s">
        <v>23</v>
      </c>
      <c r="B12">
        <v>2019</v>
      </c>
      <c r="C12" t="s">
        <v>123</v>
      </c>
      <c r="D12" t="s">
        <v>124</v>
      </c>
      <c r="E12" t="s">
        <v>112</v>
      </c>
      <c r="F12" t="s">
        <v>255</v>
      </c>
      <c r="G12" t="b">
        <f t="shared" si="0"/>
        <v>1</v>
      </c>
      <c r="H12" t="str">
        <f>VLOOKUP(A12,ID_Lookup!$A:$A,1,FALSE)</f>
        <v>J510</v>
      </c>
    </row>
    <row r="13" spans="1:8" x14ac:dyDescent="0.35">
      <c r="A13" t="s">
        <v>24</v>
      </c>
      <c r="B13">
        <v>2019</v>
      </c>
      <c r="C13" t="s">
        <v>25</v>
      </c>
      <c r="D13" t="s">
        <v>26</v>
      </c>
      <c r="E13" t="s">
        <v>173</v>
      </c>
      <c r="F13" t="s">
        <v>256</v>
      </c>
      <c r="G13" t="b">
        <f t="shared" si="0"/>
        <v>0</v>
      </c>
      <c r="H13" t="str">
        <f>VLOOKUP(A13,ID_Lookup!$A:$A,1,FALSE)</f>
        <v>J511</v>
      </c>
    </row>
    <row r="14" spans="1:8" x14ac:dyDescent="0.35">
      <c r="A14" t="s">
        <v>27</v>
      </c>
      <c r="B14">
        <v>2019</v>
      </c>
      <c r="C14" t="s">
        <v>28</v>
      </c>
      <c r="D14" t="s">
        <v>29</v>
      </c>
      <c r="E14" s="5"/>
      <c r="F14" s="5"/>
      <c r="G14" t="b">
        <f t="shared" si="0"/>
        <v>0</v>
      </c>
      <c r="H14" t="str">
        <f>VLOOKUP(A14,ID_Lookup!$A:$A,1,FALSE)</f>
        <v>J512</v>
      </c>
    </row>
    <row r="15" spans="1:8" hidden="1" x14ac:dyDescent="0.35">
      <c r="A15" t="s">
        <v>30</v>
      </c>
      <c r="B15">
        <v>2019</v>
      </c>
      <c r="C15" t="s">
        <v>125</v>
      </c>
      <c r="D15" t="s">
        <v>126</v>
      </c>
      <c r="E15" t="s">
        <v>112</v>
      </c>
      <c r="F15" t="s">
        <v>255</v>
      </c>
      <c r="G15" t="b">
        <f t="shared" si="0"/>
        <v>1</v>
      </c>
      <c r="H15" t="e">
        <f>VLOOKUP(A15,ID_Lookup!$A:$A,1,FALSE)</f>
        <v>#N/A</v>
      </c>
    </row>
    <row r="16" spans="1:8" x14ac:dyDescent="0.35">
      <c r="A16" t="s">
        <v>31</v>
      </c>
      <c r="B16">
        <v>2019</v>
      </c>
      <c r="C16" t="s">
        <v>127</v>
      </c>
      <c r="D16" t="s">
        <v>128</v>
      </c>
      <c r="E16" t="s">
        <v>173</v>
      </c>
      <c r="F16" t="s">
        <v>256</v>
      </c>
      <c r="G16" t="b">
        <f t="shared" si="0"/>
        <v>0</v>
      </c>
      <c r="H16" t="str">
        <f>VLOOKUP(A16,ID_Lookup!$A:$A,1,FALSE)</f>
        <v>J514</v>
      </c>
    </row>
    <row r="17" spans="1:8" x14ac:dyDescent="0.35">
      <c r="A17" t="s">
        <v>32</v>
      </c>
      <c r="B17">
        <v>2019</v>
      </c>
      <c r="C17" t="s">
        <v>33</v>
      </c>
      <c r="D17" t="s">
        <v>129</v>
      </c>
      <c r="E17" t="s">
        <v>112</v>
      </c>
      <c r="F17" t="s">
        <v>257</v>
      </c>
      <c r="G17" t="b">
        <f t="shared" si="0"/>
        <v>1</v>
      </c>
      <c r="H17" t="str">
        <f>VLOOKUP(A17,ID_Lookup!$A:$A,1,FALSE)</f>
        <v>J515</v>
      </c>
    </row>
    <row r="18" spans="1:8" hidden="1" x14ac:dyDescent="0.35">
      <c r="A18" t="s">
        <v>34</v>
      </c>
      <c r="B18">
        <v>2019</v>
      </c>
      <c r="C18" t="s">
        <v>35</v>
      </c>
      <c r="D18" t="s">
        <v>130</v>
      </c>
      <c r="E18" t="s">
        <v>173</v>
      </c>
      <c r="F18" t="s">
        <v>256</v>
      </c>
      <c r="G18" t="b">
        <f t="shared" si="0"/>
        <v>0</v>
      </c>
      <c r="H18" t="e">
        <f>VLOOKUP(A18,ID_Lookup!$A:$A,1,FALSE)</f>
        <v>#N/A</v>
      </c>
    </row>
    <row r="19" spans="1:8" s="2" customFormat="1" hidden="1" x14ac:dyDescent="0.35">
      <c r="A19" t="s">
        <v>36</v>
      </c>
      <c r="B19">
        <v>2019</v>
      </c>
      <c r="C19" t="s">
        <v>37</v>
      </c>
      <c r="D19" t="s">
        <v>131</v>
      </c>
      <c r="E19" t="s">
        <v>173</v>
      </c>
      <c r="F19" t="s">
        <v>256</v>
      </c>
      <c r="G19" s="2" t="b">
        <f t="shared" si="0"/>
        <v>0</v>
      </c>
      <c r="H19" t="e">
        <f>VLOOKUP(A19,ID_Lookup!$A:$A,1,FALSE)</f>
        <v>#N/A</v>
      </c>
    </row>
    <row r="20" spans="1:8" hidden="1" x14ac:dyDescent="0.35">
      <c r="A20" t="s">
        <v>38</v>
      </c>
      <c r="B20">
        <v>2019</v>
      </c>
      <c r="C20" t="s">
        <v>39</v>
      </c>
      <c r="D20" t="s">
        <v>132</v>
      </c>
      <c r="E20" t="s">
        <v>173</v>
      </c>
      <c r="F20" t="s">
        <v>256</v>
      </c>
      <c r="G20" t="b">
        <f t="shared" si="0"/>
        <v>0</v>
      </c>
      <c r="H20" t="e">
        <f>VLOOKUP(A20,ID_Lookup!$A:$A,1,FALSE)</f>
        <v>#N/A</v>
      </c>
    </row>
    <row r="21" spans="1:8" hidden="1" x14ac:dyDescent="0.35">
      <c r="A21" t="s">
        <v>40</v>
      </c>
      <c r="B21">
        <v>2019</v>
      </c>
      <c r="C21" t="s">
        <v>41</v>
      </c>
      <c r="D21" t="s">
        <v>133</v>
      </c>
      <c r="E21" t="s">
        <v>112</v>
      </c>
      <c r="F21" t="s">
        <v>257</v>
      </c>
      <c r="G21" t="b">
        <f t="shared" si="0"/>
        <v>1</v>
      </c>
      <c r="H21" t="e">
        <f>VLOOKUP(A21,ID_Lookup!$A:$A,1,FALSE)</f>
        <v>#N/A</v>
      </c>
    </row>
    <row r="22" spans="1:8" x14ac:dyDescent="0.35">
      <c r="A22" t="s">
        <v>42</v>
      </c>
      <c r="B22">
        <v>2019</v>
      </c>
      <c r="C22" t="s">
        <v>43</v>
      </c>
      <c r="D22" t="s">
        <v>44</v>
      </c>
      <c r="E22" t="s">
        <v>112</v>
      </c>
      <c r="F22" t="s">
        <v>257</v>
      </c>
      <c r="G22" t="b">
        <f t="shared" si="0"/>
        <v>1</v>
      </c>
      <c r="H22" t="str">
        <f>VLOOKUP(A22,ID_Lookup!$A:$A,1,FALSE)</f>
        <v>J520</v>
      </c>
    </row>
    <row r="23" spans="1:8" x14ac:dyDescent="0.35">
      <c r="A23" t="s">
        <v>45</v>
      </c>
      <c r="B23">
        <v>2019</v>
      </c>
      <c r="C23" t="s">
        <v>46</v>
      </c>
      <c r="D23" t="s">
        <v>134</v>
      </c>
      <c r="E23" t="s">
        <v>173</v>
      </c>
      <c r="F23" t="s">
        <v>256</v>
      </c>
      <c r="G23" t="b">
        <f t="shared" si="0"/>
        <v>0</v>
      </c>
      <c r="H23" t="str">
        <f>VLOOKUP(A23,ID_Lookup!$A:$A,1,FALSE)</f>
        <v>J521</v>
      </c>
    </row>
    <row r="24" spans="1:8" x14ac:dyDescent="0.35">
      <c r="A24" t="s">
        <v>47</v>
      </c>
      <c r="B24">
        <v>2019</v>
      </c>
      <c r="C24" t="s">
        <v>48</v>
      </c>
      <c r="D24" t="s">
        <v>135</v>
      </c>
      <c r="E24" t="s">
        <v>112</v>
      </c>
      <c r="F24" t="s">
        <v>257</v>
      </c>
      <c r="G24" t="b">
        <f t="shared" si="0"/>
        <v>1</v>
      </c>
      <c r="H24" t="str">
        <f>VLOOKUP(A24,ID_Lookup!$A:$A,1,FALSE)</f>
        <v>J522</v>
      </c>
    </row>
    <row r="25" spans="1:8" x14ac:dyDescent="0.35">
      <c r="A25" t="s">
        <v>49</v>
      </c>
      <c r="B25">
        <v>2019</v>
      </c>
      <c r="C25" t="s">
        <v>136</v>
      </c>
      <c r="D25" t="s">
        <v>137</v>
      </c>
      <c r="E25" t="s">
        <v>173</v>
      </c>
      <c r="F25" t="s">
        <v>256</v>
      </c>
      <c r="G25" t="b">
        <f t="shared" si="0"/>
        <v>0</v>
      </c>
      <c r="H25" t="str">
        <f>VLOOKUP(A25,ID_Lookup!$A:$A,1,FALSE)</f>
        <v>J523</v>
      </c>
    </row>
    <row r="26" spans="1:8" x14ac:dyDescent="0.35">
      <c r="A26" t="s">
        <v>50</v>
      </c>
      <c r="B26">
        <v>2019</v>
      </c>
      <c r="C26" t="s">
        <v>138</v>
      </c>
      <c r="D26" t="s">
        <v>139</v>
      </c>
      <c r="E26" t="s">
        <v>173</v>
      </c>
      <c r="F26" t="s">
        <v>256</v>
      </c>
      <c r="G26" t="b">
        <f t="shared" si="0"/>
        <v>0</v>
      </c>
      <c r="H26" t="str">
        <f>VLOOKUP(A26,ID_Lookup!$A:$A,1,FALSE)</f>
        <v>J524</v>
      </c>
    </row>
    <row r="27" spans="1:8" hidden="1" x14ac:dyDescent="0.35">
      <c r="A27" t="s">
        <v>51</v>
      </c>
      <c r="B27">
        <v>2019</v>
      </c>
      <c r="C27" t="s">
        <v>52</v>
      </c>
      <c r="D27" t="s">
        <v>53</v>
      </c>
      <c r="E27" t="s">
        <v>173</v>
      </c>
      <c r="F27" t="s">
        <v>256</v>
      </c>
      <c r="G27" t="b">
        <f t="shared" si="0"/>
        <v>0</v>
      </c>
      <c r="H27" t="e">
        <f>VLOOKUP(A27,ID_Lookup!$A:$A,1,FALSE)</f>
        <v>#N/A</v>
      </c>
    </row>
    <row r="28" spans="1:8" hidden="1" x14ac:dyDescent="0.35">
      <c r="A28" t="s">
        <v>54</v>
      </c>
      <c r="B28">
        <v>2019</v>
      </c>
      <c r="C28" t="s">
        <v>55</v>
      </c>
      <c r="D28" t="s">
        <v>56</v>
      </c>
      <c r="E28" t="s">
        <v>173</v>
      </c>
      <c r="F28" t="s">
        <v>256</v>
      </c>
      <c r="G28" t="b">
        <f t="shared" si="0"/>
        <v>0</v>
      </c>
      <c r="H28" t="e">
        <f>VLOOKUP(A28,ID_Lookup!$A:$A,1,FALSE)</f>
        <v>#N/A</v>
      </c>
    </row>
    <row r="29" spans="1:8" x14ac:dyDescent="0.35">
      <c r="A29" t="s">
        <v>57</v>
      </c>
      <c r="B29">
        <v>2019</v>
      </c>
      <c r="C29" t="s">
        <v>58</v>
      </c>
      <c r="D29" t="s">
        <v>140</v>
      </c>
      <c r="E29" t="s">
        <v>173</v>
      </c>
      <c r="F29" t="s">
        <v>256</v>
      </c>
      <c r="G29" t="b">
        <f t="shared" si="0"/>
        <v>0</v>
      </c>
      <c r="H29" t="str">
        <f>VLOOKUP(A29,ID_Lookup!$A:$A,1,FALSE)</f>
        <v>J527</v>
      </c>
    </row>
    <row r="30" spans="1:8" hidden="1" x14ac:dyDescent="0.35">
      <c r="A30" t="s">
        <v>59</v>
      </c>
      <c r="B30">
        <v>2019</v>
      </c>
      <c r="C30" t="s">
        <v>141</v>
      </c>
      <c r="D30" t="s">
        <v>142</v>
      </c>
      <c r="E30" t="s">
        <v>173</v>
      </c>
      <c r="F30" t="s">
        <v>256</v>
      </c>
      <c r="G30" t="b">
        <f t="shared" si="0"/>
        <v>0</v>
      </c>
      <c r="H30" t="e">
        <f>VLOOKUP(A30,ID_Lookup!$A:$A,1,FALSE)</f>
        <v>#N/A</v>
      </c>
    </row>
    <row r="31" spans="1:8" x14ac:dyDescent="0.35">
      <c r="A31" t="s">
        <v>60</v>
      </c>
      <c r="B31">
        <v>2019</v>
      </c>
      <c r="C31" t="s">
        <v>61</v>
      </c>
      <c r="D31" t="s">
        <v>143</v>
      </c>
      <c r="E31" t="s">
        <v>173</v>
      </c>
      <c r="F31" t="s">
        <v>258</v>
      </c>
      <c r="G31" t="b">
        <f t="shared" si="0"/>
        <v>0</v>
      </c>
      <c r="H31" t="str">
        <f>VLOOKUP(A31,ID_Lookup!$A:$A,1,FALSE)</f>
        <v>J529</v>
      </c>
    </row>
    <row r="32" spans="1:8" x14ac:dyDescent="0.35">
      <c r="A32" t="s">
        <v>62</v>
      </c>
      <c r="B32">
        <v>2019</v>
      </c>
      <c r="C32" t="s">
        <v>63</v>
      </c>
      <c r="D32" t="s">
        <v>144</v>
      </c>
      <c r="E32" t="s">
        <v>173</v>
      </c>
      <c r="F32" t="s">
        <v>258</v>
      </c>
      <c r="G32" t="b">
        <f t="shared" si="0"/>
        <v>0</v>
      </c>
      <c r="H32" t="str">
        <f>VLOOKUP(A32,ID_Lookup!$A:$A,1,FALSE)</f>
        <v>J530</v>
      </c>
    </row>
    <row r="33" spans="1:8" hidden="1" x14ac:dyDescent="0.35">
      <c r="A33" t="s">
        <v>64</v>
      </c>
      <c r="B33">
        <v>2019</v>
      </c>
      <c r="C33" t="s">
        <v>65</v>
      </c>
      <c r="D33" t="s">
        <v>145</v>
      </c>
      <c r="E33" t="s">
        <v>173</v>
      </c>
      <c r="F33" t="s">
        <v>256</v>
      </c>
      <c r="G33" t="b">
        <f t="shared" si="0"/>
        <v>0</v>
      </c>
      <c r="H33" t="e">
        <f>VLOOKUP(A33,ID_Lookup!$A:$A,1,FALSE)</f>
        <v>#N/A</v>
      </c>
    </row>
    <row r="34" spans="1:8" hidden="1" x14ac:dyDescent="0.35">
      <c r="A34" t="s">
        <v>66</v>
      </c>
      <c r="B34">
        <v>2019</v>
      </c>
      <c r="C34" t="s">
        <v>67</v>
      </c>
      <c r="D34" t="s">
        <v>68</v>
      </c>
      <c r="E34" t="s">
        <v>173</v>
      </c>
      <c r="F34" t="s">
        <v>256</v>
      </c>
      <c r="G34" t="b">
        <f t="shared" si="0"/>
        <v>0</v>
      </c>
      <c r="H34" t="e">
        <f>VLOOKUP(A34,ID_Lookup!$A:$A,1,FALSE)</f>
        <v>#N/A</v>
      </c>
    </row>
    <row r="35" spans="1:8" hidden="1" x14ac:dyDescent="0.35">
      <c r="A35" t="s">
        <v>69</v>
      </c>
      <c r="B35">
        <v>2019</v>
      </c>
      <c r="C35" t="s">
        <v>70</v>
      </c>
      <c r="D35" t="s">
        <v>146</v>
      </c>
      <c r="E35" t="s">
        <v>173</v>
      </c>
      <c r="F35" t="s">
        <v>259</v>
      </c>
      <c r="G35" t="b">
        <f t="shared" si="0"/>
        <v>0</v>
      </c>
      <c r="H35" t="e">
        <f>VLOOKUP(A35,ID_Lookup!$A:$A,1,FALSE)</f>
        <v>#N/A</v>
      </c>
    </row>
    <row r="36" spans="1:8" ht="409.5" x14ac:dyDescent="0.35">
      <c r="A36" t="s">
        <v>71</v>
      </c>
      <c r="B36">
        <v>2019</v>
      </c>
      <c r="C36" t="s">
        <v>72</v>
      </c>
      <c r="D36" s="1" t="s">
        <v>73</v>
      </c>
      <c r="E36" t="s">
        <v>173</v>
      </c>
      <c r="F36" t="s">
        <v>256</v>
      </c>
      <c r="G36" t="b">
        <f t="shared" si="0"/>
        <v>0</v>
      </c>
      <c r="H36" t="str">
        <f>VLOOKUP(A36,ID_Lookup!$A:$A,1,FALSE)</f>
        <v>J534</v>
      </c>
    </row>
    <row r="37" spans="1:8" x14ac:dyDescent="0.35">
      <c r="A37" t="s">
        <v>74</v>
      </c>
      <c r="B37">
        <v>2019</v>
      </c>
      <c r="C37" t="s">
        <v>75</v>
      </c>
      <c r="D37" t="s">
        <v>147</v>
      </c>
      <c r="E37" t="s">
        <v>173</v>
      </c>
      <c r="F37" t="s">
        <v>258</v>
      </c>
      <c r="G37" t="b">
        <f t="shared" si="0"/>
        <v>0</v>
      </c>
      <c r="H37" t="str">
        <f>VLOOKUP(A37,ID_Lookup!$A:$A,1,FALSE)</f>
        <v>J535</v>
      </c>
    </row>
    <row r="38" spans="1:8" x14ac:dyDescent="0.35">
      <c r="A38" t="s">
        <v>76</v>
      </c>
      <c r="B38">
        <v>2019</v>
      </c>
      <c r="C38" t="s">
        <v>77</v>
      </c>
      <c r="D38" t="s">
        <v>148</v>
      </c>
      <c r="E38" t="s">
        <v>112</v>
      </c>
      <c r="F38" t="s">
        <v>257</v>
      </c>
      <c r="G38" t="b">
        <f t="shared" si="0"/>
        <v>1</v>
      </c>
      <c r="H38" t="str">
        <f>VLOOKUP(A38,ID_Lookup!$A:$A,1,FALSE)</f>
        <v>J536</v>
      </c>
    </row>
    <row r="39" spans="1:8" x14ac:dyDescent="0.35">
      <c r="A39" t="s">
        <v>78</v>
      </c>
      <c r="B39">
        <v>2019</v>
      </c>
      <c r="C39" t="s">
        <v>79</v>
      </c>
      <c r="D39" t="s">
        <v>149</v>
      </c>
      <c r="F39" t="s">
        <v>257</v>
      </c>
      <c r="G39" t="b">
        <f t="shared" si="0"/>
        <v>0</v>
      </c>
      <c r="H39" t="str">
        <f>VLOOKUP(A39,ID_Lookup!$A:$A,1,FALSE)</f>
        <v>J537</v>
      </c>
    </row>
    <row r="40" spans="1:8" hidden="1" x14ac:dyDescent="0.35">
      <c r="A40" t="s">
        <v>80</v>
      </c>
      <c r="B40">
        <v>2019</v>
      </c>
      <c r="C40" t="s">
        <v>81</v>
      </c>
      <c r="D40" t="s">
        <v>150</v>
      </c>
      <c r="E40" t="s">
        <v>173</v>
      </c>
      <c r="F40" t="s">
        <v>256</v>
      </c>
      <c r="G40" t="b">
        <f t="shared" si="0"/>
        <v>0</v>
      </c>
      <c r="H40" t="e">
        <f>VLOOKUP(A40,ID_Lookup!$A:$A,1,FALSE)</f>
        <v>#N/A</v>
      </c>
    </row>
    <row r="41" spans="1:8" hidden="1" x14ac:dyDescent="0.35">
      <c r="A41" t="s">
        <v>82</v>
      </c>
      <c r="B41">
        <v>2019</v>
      </c>
      <c r="C41" t="s">
        <v>151</v>
      </c>
      <c r="D41" t="s">
        <v>152</v>
      </c>
      <c r="E41" t="s">
        <v>173</v>
      </c>
      <c r="F41" t="s">
        <v>260</v>
      </c>
      <c r="G41" t="b">
        <f t="shared" si="0"/>
        <v>0</v>
      </c>
      <c r="H41" t="e">
        <f>VLOOKUP(A41,ID_Lookup!$A:$A,1,FALSE)</f>
        <v>#N/A</v>
      </c>
    </row>
    <row r="42" spans="1:8" x14ac:dyDescent="0.35">
      <c r="A42" t="s">
        <v>83</v>
      </c>
      <c r="B42">
        <v>2019</v>
      </c>
      <c r="C42" t="s">
        <v>84</v>
      </c>
      <c r="D42" t="s">
        <v>153</v>
      </c>
      <c r="E42" t="s">
        <v>173</v>
      </c>
      <c r="F42" t="s">
        <v>256</v>
      </c>
      <c r="G42" t="b">
        <f t="shared" si="0"/>
        <v>0</v>
      </c>
      <c r="H42" t="str">
        <f>VLOOKUP(A42,ID_Lookup!$A:$A,1,FALSE)</f>
        <v>J540</v>
      </c>
    </row>
    <row r="43" spans="1:8" ht="409.5" x14ac:dyDescent="0.35">
      <c r="A43" t="s">
        <v>85</v>
      </c>
      <c r="B43">
        <v>2019</v>
      </c>
      <c r="C43" t="s">
        <v>86</v>
      </c>
      <c r="D43" s="1" t="s">
        <v>87</v>
      </c>
      <c r="E43" t="s">
        <v>112</v>
      </c>
      <c r="F43" t="s">
        <v>257</v>
      </c>
      <c r="G43" t="b">
        <f t="shared" si="0"/>
        <v>1</v>
      </c>
      <c r="H43" t="str">
        <f>VLOOKUP(A43,ID_Lookup!$A:$A,1,FALSE)</f>
        <v>J541</v>
      </c>
    </row>
    <row r="44" spans="1:8" hidden="1" x14ac:dyDescent="0.35">
      <c r="A44" t="s">
        <v>88</v>
      </c>
      <c r="B44">
        <v>2019</v>
      </c>
      <c r="C44" t="s">
        <v>154</v>
      </c>
      <c r="D44" t="s">
        <v>155</v>
      </c>
      <c r="E44" t="s">
        <v>173</v>
      </c>
      <c r="F44" t="s">
        <v>256</v>
      </c>
      <c r="G44" t="b">
        <f t="shared" si="0"/>
        <v>0</v>
      </c>
      <c r="H44" t="e">
        <f>VLOOKUP(A44,ID_Lookup!$A:$A,1,FALSE)</f>
        <v>#N/A</v>
      </c>
    </row>
    <row r="45" spans="1:8" hidden="1" x14ac:dyDescent="0.35">
      <c r="A45" t="s">
        <v>89</v>
      </c>
      <c r="B45">
        <v>2019</v>
      </c>
      <c r="C45" t="s">
        <v>90</v>
      </c>
      <c r="D45" t="s">
        <v>156</v>
      </c>
      <c r="E45" t="s">
        <v>173</v>
      </c>
      <c r="F45" t="s">
        <v>261</v>
      </c>
      <c r="G45" t="b">
        <f t="shared" si="0"/>
        <v>0</v>
      </c>
      <c r="H45" t="e">
        <f>VLOOKUP(A45,ID_Lookup!$A:$A,1,FALSE)</f>
        <v>#N/A</v>
      </c>
    </row>
    <row r="46" spans="1:8" x14ac:dyDescent="0.35">
      <c r="A46" t="s">
        <v>91</v>
      </c>
      <c r="B46">
        <v>2019</v>
      </c>
      <c r="C46" t="s">
        <v>92</v>
      </c>
      <c r="D46" t="s">
        <v>93</v>
      </c>
      <c r="E46" t="s">
        <v>173</v>
      </c>
      <c r="F46" t="s">
        <v>256</v>
      </c>
      <c r="G46" t="b">
        <f t="shared" si="0"/>
        <v>0</v>
      </c>
      <c r="H46" t="str">
        <f>VLOOKUP(A46,ID_Lookup!$A:$A,1,FALSE)</f>
        <v>J544</v>
      </c>
    </row>
    <row r="47" spans="1:8" x14ac:dyDescent="0.35">
      <c r="A47" t="s">
        <v>94</v>
      </c>
      <c r="B47">
        <v>2019</v>
      </c>
      <c r="C47" t="s">
        <v>95</v>
      </c>
      <c r="D47" t="s">
        <v>96</v>
      </c>
      <c r="E47" t="s">
        <v>112</v>
      </c>
      <c r="F47" t="s">
        <v>262</v>
      </c>
      <c r="G47" t="b">
        <f t="shared" si="0"/>
        <v>1</v>
      </c>
      <c r="H47" t="str">
        <f>VLOOKUP(A47,ID_Lookup!$A:$A,1,FALSE)</f>
        <v>J545</v>
      </c>
    </row>
    <row r="48" spans="1:8" hidden="1" x14ac:dyDescent="0.35">
      <c r="A48" t="s">
        <v>97</v>
      </c>
      <c r="B48">
        <v>2019</v>
      </c>
      <c r="C48" t="s">
        <v>98</v>
      </c>
      <c r="D48" t="s">
        <v>157</v>
      </c>
      <c r="E48" t="s">
        <v>173</v>
      </c>
      <c r="F48" t="s">
        <v>263</v>
      </c>
      <c r="G48" t="b">
        <f t="shared" si="0"/>
        <v>0</v>
      </c>
      <c r="H48" t="e">
        <f>VLOOKUP(A48,ID_Lookup!$A:$A,1,FALSE)</f>
        <v>#N/A</v>
      </c>
    </row>
    <row r="49" spans="1:8" x14ac:dyDescent="0.35">
      <c r="A49" t="s">
        <v>99</v>
      </c>
      <c r="B49">
        <v>2019</v>
      </c>
      <c r="C49" t="s">
        <v>100</v>
      </c>
      <c r="D49" t="s">
        <v>101</v>
      </c>
      <c r="E49" t="s">
        <v>112</v>
      </c>
      <c r="F49" t="s">
        <v>257</v>
      </c>
      <c r="G49" t="b">
        <f t="shared" si="0"/>
        <v>1</v>
      </c>
      <c r="H49" t="str">
        <f>VLOOKUP(A49,ID_Lookup!$A:$A,1,FALSE)</f>
        <v>J547</v>
      </c>
    </row>
    <row r="50" spans="1:8" hidden="1" x14ac:dyDescent="0.35">
      <c r="A50" t="s">
        <v>102</v>
      </c>
      <c r="B50">
        <v>2019</v>
      </c>
      <c r="C50" t="s">
        <v>158</v>
      </c>
      <c r="D50" t="s">
        <v>159</v>
      </c>
      <c r="E50" t="s">
        <v>173</v>
      </c>
      <c r="F50" t="s">
        <v>260</v>
      </c>
      <c r="G50" t="b">
        <f t="shared" si="0"/>
        <v>0</v>
      </c>
      <c r="H50" t="e">
        <f>VLOOKUP(A50,ID_Lookup!$A:$A,1,FALSE)</f>
        <v>#N/A</v>
      </c>
    </row>
    <row r="51" spans="1:8" x14ac:dyDescent="0.35">
      <c r="A51" t="s">
        <v>103</v>
      </c>
      <c r="B51">
        <v>2019</v>
      </c>
      <c r="C51" t="s">
        <v>104</v>
      </c>
      <c r="D51" t="s">
        <v>105</v>
      </c>
      <c r="E51" t="s">
        <v>112</v>
      </c>
      <c r="F51" t="s">
        <v>264</v>
      </c>
      <c r="G51" t="b">
        <f t="shared" si="0"/>
        <v>1</v>
      </c>
      <c r="H51" t="str">
        <f>VLOOKUP(A51,ID_Lookup!$A:$A,1,FALSE)</f>
        <v>J549</v>
      </c>
    </row>
    <row r="52" spans="1:8" x14ac:dyDescent="0.35">
      <c r="A52" t="s">
        <v>106</v>
      </c>
      <c r="B52">
        <v>2019</v>
      </c>
      <c r="C52" t="s">
        <v>107</v>
      </c>
      <c r="D52" t="s">
        <v>160</v>
      </c>
      <c r="E52" t="s">
        <v>173</v>
      </c>
      <c r="F52" t="s">
        <v>256</v>
      </c>
      <c r="G52" t="b">
        <f t="shared" si="0"/>
        <v>0</v>
      </c>
      <c r="H52" t="str">
        <f>VLOOKUP(A52,ID_Lookup!$A:$A,1,FALSE)</f>
        <v>J550</v>
      </c>
    </row>
  </sheetData>
  <autoFilter ref="A1:H52" xr:uid="{5D3E4052-2545-45A0-857B-B79114EE9774}">
    <filterColumn colId="7">
      <filters>
        <filter val="J502"/>
        <filter val="J503"/>
        <filter val="J504"/>
        <filter val="J505"/>
        <filter val="J508"/>
        <filter val="J509"/>
        <filter val="J510"/>
        <filter val="J511"/>
        <filter val="J512"/>
        <filter val="J514"/>
        <filter val="J515"/>
        <filter val="J520"/>
        <filter val="J521"/>
        <filter val="J522"/>
        <filter val="J523"/>
        <filter val="J524"/>
        <filter val="J527"/>
        <filter val="J529"/>
        <filter val="J530"/>
        <filter val="J534"/>
        <filter val="J535"/>
        <filter val="J536"/>
        <filter val="J537"/>
        <filter val="J540"/>
        <filter val="J541"/>
        <filter val="J544"/>
        <filter val="J545"/>
        <filter val="J547"/>
        <filter val="J549"/>
        <filter val="J550"/>
      </filters>
    </filterColumn>
  </autoFilter>
  <conditionalFormatting sqref="E1:E52 F50:F52">
    <cfRule type="containsText" dxfId="5" priority="1" operator="containsText" text="Exclude">
      <formula>NOT(ISERROR(SEARCH("Exclude",E1)))</formula>
    </cfRule>
    <cfRule type="containsText" dxfId="4" priority="2" operator="containsText" text="Include">
      <formula>NOT(ISERROR(SEARCH("Include",E1)))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dimension ref="A1:O31"/>
  <sheetViews>
    <sheetView workbookViewId="0">
      <selection activeCell="N25" sqref="N25"/>
    </sheetView>
  </sheetViews>
  <sheetFormatPr defaultRowHeight="14.5" x14ac:dyDescent="0.35"/>
  <sheetData>
    <row r="1" spans="1:15" ht="15" thickBot="1" x14ac:dyDescent="0.4">
      <c r="A1" t="s">
        <v>0</v>
      </c>
      <c r="B1" t="s">
        <v>1</v>
      </c>
      <c r="C1" t="s">
        <v>2</v>
      </c>
      <c r="D1" t="s">
        <v>3</v>
      </c>
      <c r="E1" t="s">
        <v>202</v>
      </c>
      <c r="F1" t="s">
        <v>203</v>
      </c>
      <c r="G1" t="s">
        <v>204</v>
      </c>
      <c r="H1" t="s">
        <v>205</v>
      </c>
      <c r="I1" t="s">
        <v>206</v>
      </c>
      <c r="J1" t="s">
        <v>207</v>
      </c>
      <c r="K1" t="s">
        <v>208</v>
      </c>
      <c r="L1" s="3" t="s">
        <v>109</v>
      </c>
      <c r="M1" s="4" t="s">
        <v>110</v>
      </c>
      <c r="N1" t="s">
        <v>175</v>
      </c>
      <c r="O1" t="s">
        <v>174</v>
      </c>
    </row>
    <row r="2" spans="1:15" x14ac:dyDescent="0.35">
      <c r="A2" t="s">
        <v>8</v>
      </c>
      <c r="B2">
        <v>2019</v>
      </c>
      <c r="C2" t="s">
        <v>9</v>
      </c>
      <c r="D2" t="s">
        <v>176</v>
      </c>
      <c r="E2" t="b">
        <v>1</v>
      </c>
      <c r="F2" t="s">
        <v>209</v>
      </c>
      <c r="G2" t="b">
        <v>1</v>
      </c>
      <c r="H2" t="s">
        <v>210</v>
      </c>
      <c r="I2" t="b">
        <v>1</v>
      </c>
      <c r="J2" t="s">
        <v>211</v>
      </c>
      <c r="K2">
        <v>1</v>
      </c>
      <c r="L2" t="s">
        <v>112</v>
      </c>
      <c r="M2" t="s">
        <v>255</v>
      </c>
      <c r="N2" t="b">
        <v>1</v>
      </c>
      <c r="O2" t="s">
        <v>8</v>
      </c>
    </row>
    <row r="3" spans="1:15" x14ac:dyDescent="0.35">
      <c r="A3" t="s">
        <v>10</v>
      </c>
      <c r="B3">
        <v>2019</v>
      </c>
      <c r="C3" t="s">
        <v>11</v>
      </c>
      <c r="D3" t="s">
        <v>187</v>
      </c>
      <c r="E3" t="b">
        <v>1</v>
      </c>
      <c r="F3" t="s">
        <v>212</v>
      </c>
      <c r="G3" t="b">
        <v>1</v>
      </c>
      <c r="H3" t="s">
        <v>213</v>
      </c>
      <c r="I3" t="b">
        <v>1</v>
      </c>
      <c r="J3" t="s">
        <v>214</v>
      </c>
      <c r="K3">
        <v>0.9</v>
      </c>
      <c r="L3" t="s">
        <v>173</v>
      </c>
      <c r="M3" t="s">
        <v>256</v>
      </c>
      <c r="N3" t="b">
        <v>0</v>
      </c>
      <c r="O3" t="s">
        <v>10</v>
      </c>
    </row>
    <row r="4" spans="1:15" x14ac:dyDescent="0.35">
      <c r="A4" t="s">
        <v>12</v>
      </c>
      <c r="B4">
        <v>2019</v>
      </c>
      <c r="C4" t="s">
        <v>13</v>
      </c>
      <c r="D4" t="s">
        <v>177</v>
      </c>
      <c r="E4" t="b">
        <v>1</v>
      </c>
      <c r="F4" t="s">
        <v>215</v>
      </c>
      <c r="G4" t="b">
        <v>1</v>
      </c>
      <c r="H4" t="s">
        <v>216</v>
      </c>
      <c r="I4" t="b">
        <v>1</v>
      </c>
      <c r="J4" t="s">
        <v>217</v>
      </c>
      <c r="K4">
        <v>0.9</v>
      </c>
      <c r="L4" t="s">
        <v>112</v>
      </c>
      <c r="M4" t="s">
        <v>255</v>
      </c>
      <c r="N4" t="b">
        <v>1</v>
      </c>
      <c r="O4" t="s">
        <v>12</v>
      </c>
    </row>
    <row r="5" spans="1:15" x14ac:dyDescent="0.35">
      <c r="A5" t="s">
        <v>14</v>
      </c>
      <c r="B5">
        <v>2019</v>
      </c>
      <c r="C5" t="s">
        <v>15</v>
      </c>
      <c r="D5" t="s">
        <v>188</v>
      </c>
      <c r="E5" t="b">
        <v>1</v>
      </c>
      <c r="F5" t="s">
        <v>218</v>
      </c>
      <c r="G5" t="b">
        <v>1</v>
      </c>
      <c r="H5" t="s">
        <v>219</v>
      </c>
      <c r="I5" t="b">
        <v>1</v>
      </c>
      <c r="J5" t="s">
        <v>220</v>
      </c>
      <c r="K5">
        <v>0.9</v>
      </c>
      <c r="L5" t="s">
        <v>173</v>
      </c>
      <c r="M5" t="s">
        <v>256</v>
      </c>
      <c r="N5" t="b">
        <v>0</v>
      </c>
      <c r="O5" t="s">
        <v>14</v>
      </c>
    </row>
    <row r="6" spans="1:15" x14ac:dyDescent="0.35">
      <c r="A6" t="s">
        <v>19</v>
      </c>
      <c r="B6">
        <v>2019</v>
      </c>
      <c r="C6" t="s">
        <v>20</v>
      </c>
      <c r="D6" t="s">
        <v>178</v>
      </c>
      <c r="E6" t="b">
        <v>1</v>
      </c>
      <c r="F6" t="s">
        <v>221</v>
      </c>
      <c r="G6" t="b">
        <v>1</v>
      </c>
      <c r="H6" t="s">
        <v>213</v>
      </c>
      <c r="I6" t="b">
        <v>1</v>
      </c>
      <c r="J6" t="s">
        <v>211</v>
      </c>
      <c r="K6">
        <v>1</v>
      </c>
      <c r="L6" t="s">
        <v>112</v>
      </c>
      <c r="M6" t="s">
        <v>255</v>
      </c>
      <c r="N6" t="b">
        <v>1</v>
      </c>
      <c r="O6" t="s">
        <v>19</v>
      </c>
    </row>
    <row r="7" spans="1:15" x14ac:dyDescent="0.35">
      <c r="A7" t="s">
        <v>21</v>
      </c>
      <c r="B7">
        <v>2019</v>
      </c>
      <c r="C7" t="s">
        <v>22</v>
      </c>
      <c r="D7" t="s">
        <v>179</v>
      </c>
      <c r="E7" t="b">
        <v>0</v>
      </c>
      <c r="F7" t="s">
        <v>222</v>
      </c>
      <c r="G7" t="b">
        <v>0</v>
      </c>
      <c r="H7" t="s">
        <v>189</v>
      </c>
      <c r="I7" t="b">
        <v>1</v>
      </c>
      <c r="J7" t="s">
        <v>223</v>
      </c>
      <c r="K7">
        <v>0.9</v>
      </c>
      <c r="L7" t="s">
        <v>173</v>
      </c>
      <c r="M7" t="s">
        <v>256</v>
      </c>
      <c r="N7" t="b">
        <v>0</v>
      </c>
      <c r="O7" t="s">
        <v>21</v>
      </c>
    </row>
    <row r="8" spans="1:15" x14ac:dyDescent="0.35">
      <c r="A8" t="s">
        <v>23</v>
      </c>
      <c r="B8">
        <v>2019</v>
      </c>
      <c r="C8" t="s">
        <v>190</v>
      </c>
      <c r="D8" t="s">
        <v>191</v>
      </c>
      <c r="E8" t="b">
        <v>1</v>
      </c>
      <c r="F8" t="s">
        <v>224</v>
      </c>
      <c r="G8" t="b">
        <v>1</v>
      </c>
      <c r="H8" t="s">
        <v>216</v>
      </c>
      <c r="I8" t="b">
        <v>1</v>
      </c>
      <c r="J8" t="s">
        <v>225</v>
      </c>
      <c r="K8">
        <v>0.9</v>
      </c>
      <c r="L8" t="s">
        <v>112</v>
      </c>
      <c r="M8" t="s">
        <v>255</v>
      </c>
      <c r="N8" t="b">
        <v>1</v>
      </c>
      <c r="O8" t="s">
        <v>23</v>
      </c>
    </row>
    <row r="9" spans="1:15" x14ac:dyDescent="0.35">
      <c r="A9" t="s">
        <v>24</v>
      </c>
      <c r="B9">
        <v>2019</v>
      </c>
      <c r="C9" t="s">
        <v>25</v>
      </c>
      <c r="D9" t="s">
        <v>26</v>
      </c>
      <c r="E9" t="b">
        <v>0</v>
      </c>
      <c r="F9" t="s">
        <v>226</v>
      </c>
      <c r="G9" t="b">
        <v>0</v>
      </c>
      <c r="H9" t="s">
        <v>189</v>
      </c>
      <c r="I9" t="b">
        <v>1</v>
      </c>
      <c r="J9" t="s">
        <v>225</v>
      </c>
      <c r="K9">
        <v>0.9</v>
      </c>
      <c r="L9" t="s">
        <v>173</v>
      </c>
      <c r="M9" t="s">
        <v>256</v>
      </c>
      <c r="N9" t="b">
        <v>0</v>
      </c>
      <c r="O9" t="s">
        <v>24</v>
      </c>
    </row>
    <row r="10" spans="1:15" x14ac:dyDescent="0.35">
      <c r="A10" t="s">
        <v>27</v>
      </c>
      <c r="B10">
        <v>2019</v>
      </c>
      <c r="C10" t="s">
        <v>28</v>
      </c>
      <c r="D10" t="s">
        <v>29</v>
      </c>
      <c r="E10" t="b">
        <v>0</v>
      </c>
      <c r="F10" t="s">
        <v>226</v>
      </c>
      <c r="G10" t="b">
        <v>0</v>
      </c>
      <c r="H10" t="s">
        <v>189</v>
      </c>
      <c r="I10" t="b">
        <v>1</v>
      </c>
      <c r="J10" t="s">
        <v>227</v>
      </c>
      <c r="K10">
        <v>0.9</v>
      </c>
      <c r="L10" t="s">
        <v>173</v>
      </c>
      <c r="M10" s="5" t="s">
        <v>265</v>
      </c>
      <c r="N10" t="b">
        <v>0</v>
      </c>
      <c r="O10" t="s">
        <v>27</v>
      </c>
    </row>
    <row r="11" spans="1:15" x14ac:dyDescent="0.35">
      <c r="A11" t="s">
        <v>31</v>
      </c>
      <c r="B11">
        <v>2019</v>
      </c>
      <c r="C11" t="s">
        <v>180</v>
      </c>
      <c r="D11" t="s">
        <v>181</v>
      </c>
      <c r="E11" t="b">
        <v>0</v>
      </c>
      <c r="F11" t="s">
        <v>228</v>
      </c>
      <c r="G11" t="b">
        <v>1</v>
      </c>
      <c r="H11" t="s">
        <v>219</v>
      </c>
      <c r="I11" t="b">
        <v>0</v>
      </c>
      <c r="J11" t="s">
        <v>214</v>
      </c>
      <c r="K11">
        <v>0.9</v>
      </c>
      <c r="L11" t="s">
        <v>173</v>
      </c>
      <c r="M11" t="s">
        <v>256</v>
      </c>
      <c r="N11" t="b">
        <v>0</v>
      </c>
      <c r="O11" t="s">
        <v>31</v>
      </c>
    </row>
    <row r="12" spans="1:15" x14ac:dyDescent="0.35">
      <c r="A12" t="s">
        <v>32</v>
      </c>
      <c r="B12">
        <v>2019</v>
      </c>
      <c r="C12" t="s">
        <v>33</v>
      </c>
      <c r="D12" t="s">
        <v>182</v>
      </c>
      <c r="E12" t="b">
        <v>0</v>
      </c>
      <c r="F12" t="s">
        <v>229</v>
      </c>
      <c r="G12" t="b">
        <v>0</v>
      </c>
      <c r="H12" t="s">
        <v>189</v>
      </c>
      <c r="I12" t="b">
        <v>1</v>
      </c>
      <c r="J12" t="s">
        <v>223</v>
      </c>
      <c r="K12">
        <v>0.8</v>
      </c>
      <c r="L12" t="s">
        <v>112</v>
      </c>
      <c r="M12" t="s">
        <v>257</v>
      </c>
      <c r="N12" t="b">
        <v>1</v>
      </c>
      <c r="O12" t="s">
        <v>32</v>
      </c>
    </row>
    <row r="13" spans="1:15" x14ac:dyDescent="0.35">
      <c r="A13" t="s">
        <v>42</v>
      </c>
      <c r="B13">
        <v>2019</v>
      </c>
      <c r="C13" t="s">
        <v>43</v>
      </c>
      <c r="D13" t="s">
        <v>44</v>
      </c>
      <c r="E13" t="b">
        <v>1</v>
      </c>
      <c r="F13" t="s">
        <v>230</v>
      </c>
      <c r="G13" t="b">
        <v>1</v>
      </c>
      <c r="H13" t="s">
        <v>216</v>
      </c>
      <c r="I13" t="b">
        <v>1</v>
      </c>
      <c r="J13" t="s">
        <v>223</v>
      </c>
      <c r="K13">
        <v>0.9</v>
      </c>
      <c r="L13" t="s">
        <v>112</v>
      </c>
      <c r="M13" t="s">
        <v>257</v>
      </c>
      <c r="N13" t="b">
        <v>1</v>
      </c>
      <c r="O13" t="s">
        <v>42</v>
      </c>
    </row>
    <row r="14" spans="1:15" x14ac:dyDescent="0.35">
      <c r="A14" t="s">
        <v>45</v>
      </c>
      <c r="B14">
        <v>2019</v>
      </c>
      <c r="C14" t="s">
        <v>46</v>
      </c>
      <c r="D14" t="s">
        <v>183</v>
      </c>
      <c r="E14" t="b">
        <v>0</v>
      </c>
      <c r="F14" t="s">
        <v>231</v>
      </c>
      <c r="G14" t="b">
        <v>0</v>
      </c>
      <c r="H14" t="s">
        <v>189</v>
      </c>
      <c r="I14" t="b">
        <v>1</v>
      </c>
      <c r="J14" t="s">
        <v>223</v>
      </c>
      <c r="K14">
        <v>0.9</v>
      </c>
      <c r="L14" t="s">
        <v>173</v>
      </c>
      <c r="M14" t="s">
        <v>256</v>
      </c>
      <c r="N14" t="b">
        <v>0</v>
      </c>
      <c r="O14" t="s">
        <v>45</v>
      </c>
    </row>
    <row r="15" spans="1:15" x14ac:dyDescent="0.35">
      <c r="A15" t="s">
        <v>47</v>
      </c>
      <c r="B15">
        <v>2019</v>
      </c>
      <c r="C15" t="s">
        <v>48</v>
      </c>
      <c r="D15" t="s">
        <v>184</v>
      </c>
      <c r="E15" t="b">
        <v>1</v>
      </c>
      <c r="F15" t="s">
        <v>232</v>
      </c>
      <c r="G15" t="b">
        <v>1</v>
      </c>
      <c r="H15" t="s">
        <v>216</v>
      </c>
      <c r="I15" t="b">
        <v>1</v>
      </c>
      <c r="J15" t="s">
        <v>233</v>
      </c>
      <c r="K15">
        <v>1</v>
      </c>
      <c r="L15" t="s">
        <v>112</v>
      </c>
      <c r="M15" t="s">
        <v>257</v>
      </c>
      <c r="N15" t="b">
        <v>1</v>
      </c>
      <c r="O15" t="s">
        <v>47</v>
      </c>
    </row>
    <row r="16" spans="1:15" x14ac:dyDescent="0.35">
      <c r="A16" t="s">
        <v>49</v>
      </c>
      <c r="B16">
        <v>2019</v>
      </c>
      <c r="C16" t="s">
        <v>192</v>
      </c>
      <c r="D16" t="s">
        <v>193</v>
      </c>
      <c r="E16" t="b">
        <v>1</v>
      </c>
      <c r="F16" t="s">
        <v>234</v>
      </c>
      <c r="G16" t="b">
        <v>1</v>
      </c>
      <c r="H16" t="s">
        <v>213</v>
      </c>
      <c r="I16" t="b">
        <v>1</v>
      </c>
      <c r="J16" t="s">
        <v>214</v>
      </c>
      <c r="K16">
        <v>0.9</v>
      </c>
      <c r="L16" t="s">
        <v>173</v>
      </c>
      <c r="M16" t="s">
        <v>256</v>
      </c>
      <c r="N16" t="b">
        <v>0</v>
      </c>
      <c r="O16" t="s">
        <v>49</v>
      </c>
    </row>
    <row r="17" spans="1:15" x14ac:dyDescent="0.35">
      <c r="A17" t="s">
        <v>50</v>
      </c>
      <c r="B17">
        <v>2019</v>
      </c>
      <c r="C17" t="s">
        <v>194</v>
      </c>
      <c r="D17" t="s">
        <v>195</v>
      </c>
      <c r="E17" t="b">
        <v>1</v>
      </c>
      <c r="F17" t="s">
        <v>235</v>
      </c>
      <c r="G17" t="b">
        <v>1</v>
      </c>
      <c r="H17" t="s">
        <v>213</v>
      </c>
      <c r="I17" t="b">
        <v>1</v>
      </c>
      <c r="J17" t="s">
        <v>214</v>
      </c>
      <c r="K17">
        <v>0.9</v>
      </c>
      <c r="L17" t="s">
        <v>173</v>
      </c>
      <c r="M17" t="s">
        <v>256</v>
      </c>
      <c r="N17" t="b">
        <v>0</v>
      </c>
      <c r="O17" t="s">
        <v>50</v>
      </c>
    </row>
    <row r="18" spans="1:15" x14ac:dyDescent="0.35">
      <c r="A18" t="s">
        <v>57</v>
      </c>
      <c r="B18">
        <v>2019</v>
      </c>
      <c r="C18" t="s">
        <v>58</v>
      </c>
      <c r="D18" t="s">
        <v>196</v>
      </c>
      <c r="E18" t="b">
        <v>1</v>
      </c>
      <c r="F18" t="s">
        <v>236</v>
      </c>
      <c r="G18" t="b">
        <v>1</v>
      </c>
      <c r="H18" t="s">
        <v>210</v>
      </c>
      <c r="I18" t="b">
        <v>1</v>
      </c>
      <c r="J18" t="s">
        <v>225</v>
      </c>
      <c r="K18">
        <v>0.9</v>
      </c>
      <c r="L18" t="s">
        <v>173</v>
      </c>
      <c r="M18" t="s">
        <v>256</v>
      </c>
      <c r="N18" t="b">
        <v>0</v>
      </c>
      <c r="O18" t="s">
        <v>57</v>
      </c>
    </row>
    <row r="19" spans="1:15" x14ac:dyDescent="0.35">
      <c r="A19" t="s">
        <v>60</v>
      </c>
      <c r="B19">
        <v>2019</v>
      </c>
      <c r="C19" t="s">
        <v>61</v>
      </c>
      <c r="D19" t="s">
        <v>197</v>
      </c>
      <c r="E19" t="b">
        <v>0</v>
      </c>
      <c r="F19" t="s">
        <v>237</v>
      </c>
      <c r="G19" t="b">
        <v>0</v>
      </c>
      <c r="H19" t="s">
        <v>189</v>
      </c>
      <c r="I19" t="b">
        <v>1</v>
      </c>
      <c r="J19" t="s">
        <v>220</v>
      </c>
      <c r="K19">
        <v>0.8</v>
      </c>
      <c r="L19" t="s">
        <v>173</v>
      </c>
      <c r="M19" t="s">
        <v>258</v>
      </c>
      <c r="N19" t="b">
        <v>0</v>
      </c>
      <c r="O19" t="s">
        <v>60</v>
      </c>
    </row>
    <row r="20" spans="1:15" x14ac:dyDescent="0.35">
      <c r="A20" t="s">
        <v>62</v>
      </c>
      <c r="B20">
        <v>2019</v>
      </c>
      <c r="C20" t="s">
        <v>63</v>
      </c>
      <c r="D20" t="s">
        <v>198</v>
      </c>
      <c r="E20" t="b">
        <v>1</v>
      </c>
      <c r="F20" t="s">
        <v>238</v>
      </c>
      <c r="G20" t="b">
        <v>1</v>
      </c>
      <c r="H20" t="s">
        <v>216</v>
      </c>
      <c r="I20" t="b">
        <v>1</v>
      </c>
      <c r="J20" t="s">
        <v>239</v>
      </c>
      <c r="K20">
        <v>0.9</v>
      </c>
      <c r="L20" t="s">
        <v>173</v>
      </c>
      <c r="M20" t="s">
        <v>258</v>
      </c>
      <c r="N20" t="b">
        <v>0</v>
      </c>
      <c r="O20" t="s">
        <v>62</v>
      </c>
    </row>
    <row r="21" spans="1:15" ht="409.5" x14ac:dyDescent="0.35">
      <c r="A21" t="s">
        <v>71</v>
      </c>
      <c r="B21">
        <v>2019</v>
      </c>
      <c r="C21" t="s">
        <v>72</v>
      </c>
      <c r="D21" s="1" t="s">
        <v>73</v>
      </c>
      <c r="E21" t="b">
        <v>0</v>
      </c>
      <c r="F21" t="s">
        <v>240</v>
      </c>
      <c r="G21" t="b">
        <v>0</v>
      </c>
      <c r="H21" t="s">
        <v>189</v>
      </c>
      <c r="I21" t="b">
        <v>0</v>
      </c>
      <c r="J21" t="s">
        <v>241</v>
      </c>
      <c r="K21">
        <v>0.6</v>
      </c>
      <c r="L21" t="s">
        <v>173</v>
      </c>
      <c r="M21" t="s">
        <v>256</v>
      </c>
      <c r="N21" t="b">
        <v>0</v>
      </c>
      <c r="O21" t="s">
        <v>71</v>
      </c>
    </row>
    <row r="22" spans="1:15" x14ac:dyDescent="0.35">
      <c r="A22" t="s">
        <v>74</v>
      </c>
      <c r="B22">
        <v>2019</v>
      </c>
      <c r="C22" t="s">
        <v>75</v>
      </c>
      <c r="D22" t="s">
        <v>199</v>
      </c>
      <c r="E22" t="b">
        <v>1</v>
      </c>
      <c r="F22" t="s">
        <v>242</v>
      </c>
      <c r="G22" t="b">
        <v>1</v>
      </c>
      <c r="H22" t="s">
        <v>213</v>
      </c>
      <c r="I22" t="b">
        <v>1</v>
      </c>
      <c r="J22" t="s">
        <v>220</v>
      </c>
      <c r="K22">
        <v>0.9</v>
      </c>
      <c r="L22" t="s">
        <v>173</v>
      </c>
      <c r="M22" t="s">
        <v>258</v>
      </c>
      <c r="N22" t="b">
        <v>0</v>
      </c>
      <c r="O22" t="s">
        <v>74</v>
      </c>
    </row>
    <row r="23" spans="1:15" x14ac:dyDescent="0.35">
      <c r="A23" t="s">
        <v>76</v>
      </c>
      <c r="B23">
        <v>2019</v>
      </c>
      <c r="C23" t="s">
        <v>77</v>
      </c>
      <c r="D23" t="s">
        <v>185</v>
      </c>
      <c r="E23" t="b">
        <v>0</v>
      </c>
      <c r="F23" t="s">
        <v>229</v>
      </c>
      <c r="G23" t="b">
        <v>0</v>
      </c>
      <c r="H23" t="s">
        <v>189</v>
      </c>
      <c r="I23" t="b">
        <v>1</v>
      </c>
      <c r="J23" t="s">
        <v>243</v>
      </c>
      <c r="K23">
        <v>0.8</v>
      </c>
      <c r="L23" t="s">
        <v>112</v>
      </c>
      <c r="M23" t="s">
        <v>257</v>
      </c>
      <c r="N23" t="b">
        <v>1</v>
      </c>
      <c r="O23" t="s">
        <v>76</v>
      </c>
    </row>
    <row r="24" spans="1:15" x14ac:dyDescent="0.35">
      <c r="A24" t="s">
        <v>78</v>
      </c>
      <c r="B24">
        <v>2019</v>
      </c>
      <c r="C24" t="s">
        <v>79</v>
      </c>
      <c r="D24" t="s">
        <v>186</v>
      </c>
      <c r="E24" t="b">
        <v>1</v>
      </c>
      <c r="F24" t="s">
        <v>215</v>
      </c>
      <c r="G24" t="b">
        <v>1</v>
      </c>
      <c r="H24" t="s">
        <v>216</v>
      </c>
      <c r="I24" t="b">
        <v>1</v>
      </c>
      <c r="J24" t="s">
        <v>211</v>
      </c>
      <c r="K24">
        <v>0.9</v>
      </c>
      <c r="L24" t="s">
        <v>112</v>
      </c>
      <c r="M24" t="s">
        <v>257</v>
      </c>
      <c r="N24" t="b">
        <v>1</v>
      </c>
      <c r="O24" t="s">
        <v>78</v>
      </c>
    </row>
    <row r="25" spans="1:15" x14ac:dyDescent="0.35">
      <c r="A25" t="s">
        <v>83</v>
      </c>
      <c r="B25">
        <v>2019</v>
      </c>
      <c r="C25" t="s">
        <v>84</v>
      </c>
      <c r="D25" t="s">
        <v>200</v>
      </c>
      <c r="E25" t="b">
        <v>1</v>
      </c>
      <c r="F25" t="s">
        <v>244</v>
      </c>
      <c r="G25" t="b">
        <v>1</v>
      </c>
      <c r="H25" t="s">
        <v>216</v>
      </c>
      <c r="I25" t="b">
        <v>1</v>
      </c>
      <c r="J25" t="s">
        <v>245</v>
      </c>
      <c r="K25">
        <v>0.9</v>
      </c>
      <c r="L25" t="s">
        <v>173</v>
      </c>
      <c r="M25" t="s">
        <v>256</v>
      </c>
      <c r="N25" t="b">
        <v>0</v>
      </c>
      <c r="O25" t="s">
        <v>83</v>
      </c>
    </row>
    <row r="26" spans="1:15" ht="409.5" x14ac:dyDescent="0.35">
      <c r="A26" t="s">
        <v>85</v>
      </c>
      <c r="B26">
        <v>2019</v>
      </c>
      <c r="C26" t="s">
        <v>86</v>
      </c>
      <c r="D26" s="1" t="s">
        <v>87</v>
      </c>
      <c r="E26" t="b">
        <v>1</v>
      </c>
      <c r="F26" t="s">
        <v>246</v>
      </c>
      <c r="G26" t="b">
        <v>1</v>
      </c>
      <c r="H26" t="s">
        <v>216</v>
      </c>
      <c r="I26" t="b">
        <v>1</v>
      </c>
      <c r="J26" t="s">
        <v>247</v>
      </c>
      <c r="K26">
        <v>0.9</v>
      </c>
      <c r="L26" t="s">
        <v>112</v>
      </c>
      <c r="M26" t="s">
        <v>257</v>
      </c>
      <c r="N26" t="b">
        <v>1</v>
      </c>
      <c r="O26" t="s">
        <v>85</v>
      </c>
    </row>
    <row r="27" spans="1:15" x14ac:dyDescent="0.35">
      <c r="A27" t="s">
        <v>91</v>
      </c>
      <c r="B27">
        <v>2019</v>
      </c>
      <c r="C27" t="s">
        <v>92</v>
      </c>
      <c r="D27" t="s">
        <v>93</v>
      </c>
      <c r="E27" t="b">
        <v>0</v>
      </c>
      <c r="F27" t="s">
        <v>229</v>
      </c>
      <c r="G27" t="b">
        <v>0</v>
      </c>
      <c r="H27" t="s">
        <v>189</v>
      </c>
      <c r="I27" t="b">
        <v>1</v>
      </c>
      <c r="J27" t="s">
        <v>248</v>
      </c>
      <c r="K27">
        <v>0.8</v>
      </c>
      <c r="L27" t="s">
        <v>173</v>
      </c>
      <c r="M27" t="s">
        <v>256</v>
      </c>
      <c r="N27" t="b">
        <v>0</v>
      </c>
      <c r="O27" t="s">
        <v>91</v>
      </c>
    </row>
    <row r="28" spans="1:15" x14ac:dyDescent="0.35">
      <c r="A28" t="s">
        <v>94</v>
      </c>
      <c r="B28">
        <v>2019</v>
      </c>
      <c r="C28" t="s">
        <v>95</v>
      </c>
      <c r="D28" t="s">
        <v>96</v>
      </c>
      <c r="E28" t="b">
        <v>1</v>
      </c>
      <c r="F28" t="s">
        <v>249</v>
      </c>
      <c r="G28" t="b">
        <v>1</v>
      </c>
      <c r="H28" t="s">
        <v>219</v>
      </c>
      <c r="I28" t="b">
        <v>1</v>
      </c>
      <c r="J28" t="s">
        <v>217</v>
      </c>
      <c r="K28">
        <v>1</v>
      </c>
      <c r="L28" t="s">
        <v>112</v>
      </c>
      <c r="M28" t="s">
        <v>262</v>
      </c>
      <c r="N28" t="b">
        <v>1</v>
      </c>
      <c r="O28" t="s">
        <v>94</v>
      </c>
    </row>
    <row r="29" spans="1:15" x14ac:dyDescent="0.35">
      <c r="A29" t="s">
        <v>99</v>
      </c>
      <c r="B29">
        <v>2019</v>
      </c>
      <c r="C29" t="s">
        <v>100</v>
      </c>
      <c r="D29" t="s">
        <v>101</v>
      </c>
      <c r="E29" t="b">
        <v>1</v>
      </c>
      <c r="F29" t="s">
        <v>250</v>
      </c>
      <c r="G29" t="b">
        <v>1</v>
      </c>
      <c r="H29" t="s">
        <v>210</v>
      </c>
      <c r="I29" t="b">
        <v>1</v>
      </c>
      <c r="J29" t="s">
        <v>251</v>
      </c>
      <c r="K29">
        <v>1</v>
      </c>
      <c r="L29" t="s">
        <v>112</v>
      </c>
      <c r="M29" t="s">
        <v>257</v>
      </c>
      <c r="N29" t="b">
        <v>1</v>
      </c>
      <c r="O29" t="s">
        <v>99</v>
      </c>
    </row>
    <row r="30" spans="1:15" x14ac:dyDescent="0.35">
      <c r="A30" t="s">
        <v>103</v>
      </c>
      <c r="B30">
        <v>2019</v>
      </c>
      <c r="C30" t="s">
        <v>104</v>
      </c>
      <c r="D30" t="s">
        <v>105</v>
      </c>
      <c r="E30" t="b">
        <v>0</v>
      </c>
      <c r="F30" t="s">
        <v>252</v>
      </c>
      <c r="G30" t="b">
        <v>0</v>
      </c>
      <c r="H30" t="s">
        <v>189</v>
      </c>
      <c r="I30" t="b">
        <v>1</v>
      </c>
      <c r="J30" t="s">
        <v>223</v>
      </c>
      <c r="K30">
        <v>0.8</v>
      </c>
      <c r="L30" t="s">
        <v>112</v>
      </c>
      <c r="M30" t="s">
        <v>264</v>
      </c>
      <c r="N30" t="b">
        <v>1</v>
      </c>
      <c r="O30" t="s">
        <v>103</v>
      </c>
    </row>
    <row r="31" spans="1:15" x14ac:dyDescent="0.35">
      <c r="A31" t="s">
        <v>106</v>
      </c>
      <c r="B31">
        <v>2019</v>
      </c>
      <c r="C31" t="s">
        <v>107</v>
      </c>
      <c r="D31" t="s">
        <v>201</v>
      </c>
      <c r="E31" t="b">
        <v>0</v>
      </c>
      <c r="F31" t="s">
        <v>253</v>
      </c>
      <c r="G31" t="b">
        <v>0</v>
      </c>
      <c r="H31" t="s">
        <v>189</v>
      </c>
      <c r="I31" t="b">
        <v>1</v>
      </c>
      <c r="J31" t="s">
        <v>254</v>
      </c>
      <c r="K31">
        <v>0.7</v>
      </c>
      <c r="L31" t="s">
        <v>173</v>
      </c>
      <c r="M31" t="s">
        <v>256</v>
      </c>
      <c r="N31" t="b">
        <v>0</v>
      </c>
      <c r="O31" t="s">
        <v>106</v>
      </c>
    </row>
  </sheetData>
  <conditionalFormatting sqref="L1:L31 M30:M31">
    <cfRule type="containsText" dxfId="3" priority="1" operator="containsText" text="Exclude">
      <formula>NOT(ISERROR(SEARCH("Exclude",L1)))</formula>
    </cfRule>
    <cfRule type="containsText" dxfId="2" priority="2" operator="containsText" text="Include">
      <formula>NOT(ISERROR(SEARCH("Include",L1)))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O32"/>
  <sheetViews>
    <sheetView tabSelected="1" workbookViewId="0">
      <selection activeCell="I20" sqref="I20"/>
    </sheetView>
  </sheetViews>
  <sheetFormatPr defaultRowHeight="14.5" x14ac:dyDescent="0.35"/>
  <cols>
    <col min="1" max="1" width="16.26953125" bestFit="1" customWidth="1"/>
  </cols>
  <sheetData>
    <row r="1" spans="1:3" x14ac:dyDescent="0.35">
      <c r="A1" t="s">
        <v>165</v>
      </c>
    </row>
    <row r="2" spans="1:3" x14ac:dyDescent="0.35">
      <c r="B2" t="s">
        <v>163</v>
      </c>
      <c r="C2" t="s">
        <v>164</v>
      </c>
    </row>
    <row r="3" spans="1:3" x14ac:dyDescent="0.35">
      <c r="A3" t="s">
        <v>161</v>
      </c>
      <c r="B3">
        <f>COUNTIFS('Merged results table'!$E:$E,TRUE,'Merged results table'!$N:$N,TRUE)</f>
        <v>10</v>
      </c>
      <c r="C3">
        <f>COUNTIFS('Merged results table'!$E:$E,TRUE,'Merged results table'!$N:$N,FALSE)</f>
        <v>8</v>
      </c>
    </row>
    <row r="4" spans="1:3" x14ac:dyDescent="0.35">
      <c r="A4" t="s">
        <v>162</v>
      </c>
      <c r="B4">
        <f>COUNTIFS('Merged results table'!$E:$E,FALSE,'Merged results table'!$N:$N,TRUE)</f>
        <v>3</v>
      </c>
      <c r="C4">
        <f>COUNTIFS('Merged results table'!$E:$E,FALSE,'Merged results table'!$N:$N,FALSE)</f>
        <v>9</v>
      </c>
    </row>
    <row r="6" spans="1:3" x14ac:dyDescent="0.35">
      <c r="A6" t="s">
        <v>168</v>
      </c>
      <c r="B6">
        <f>B3</f>
        <v>10</v>
      </c>
    </row>
    <row r="7" spans="1:3" x14ac:dyDescent="0.35">
      <c r="A7" t="s">
        <v>169</v>
      </c>
      <c r="B7">
        <f>C4</f>
        <v>9</v>
      </c>
    </row>
    <row r="8" spans="1:3" x14ac:dyDescent="0.35">
      <c r="A8" t="s">
        <v>170</v>
      </c>
      <c r="B8">
        <f>C3</f>
        <v>8</v>
      </c>
    </row>
    <row r="9" spans="1:3" x14ac:dyDescent="0.35">
      <c r="A9" t="s">
        <v>171</v>
      </c>
      <c r="B9">
        <f>B4</f>
        <v>3</v>
      </c>
    </row>
    <row r="11" spans="1:3" x14ac:dyDescent="0.35">
      <c r="A11" t="s">
        <v>166</v>
      </c>
      <c r="B11">
        <f>(B3+C4)/(B3+B4+C3+C4)</f>
        <v>0.6333333333333333</v>
      </c>
    </row>
    <row r="12" spans="1:3" x14ac:dyDescent="0.35">
      <c r="A12" t="s">
        <v>167</v>
      </c>
      <c r="B12">
        <f>B3/(B3+B4)</f>
        <v>0.76923076923076927</v>
      </c>
    </row>
    <row r="14" spans="1:3" x14ac:dyDescent="0.35">
      <c r="A14" s="6" t="s">
        <v>172</v>
      </c>
    </row>
    <row r="15" spans="1:3" x14ac:dyDescent="0.35">
      <c r="A15" t="s">
        <v>266</v>
      </c>
    </row>
    <row r="17" spans="1:15" ht="15" thickBot="1" x14ac:dyDescent="0.4">
      <c r="A17" t="s">
        <v>0</v>
      </c>
      <c r="B17" t="s">
        <v>1</v>
      </c>
      <c r="C17" t="s">
        <v>2</v>
      </c>
      <c r="D17" t="s">
        <v>3</v>
      </c>
      <c r="E17" t="s">
        <v>202</v>
      </c>
      <c r="F17" t="s">
        <v>203</v>
      </c>
      <c r="G17" t="s">
        <v>204</v>
      </c>
      <c r="H17" t="s">
        <v>205</v>
      </c>
      <c r="I17" t="s">
        <v>206</v>
      </c>
      <c r="J17" t="s">
        <v>207</v>
      </c>
      <c r="K17" t="s">
        <v>208</v>
      </c>
      <c r="L17" s="3" t="s">
        <v>109</v>
      </c>
      <c r="M17" s="4" t="s">
        <v>110</v>
      </c>
      <c r="N17" t="s">
        <v>175</v>
      </c>
      <c r="O17" t="s">
        <v>174</v>
      </c>
    </row>
    <row r="18" spans="1:15" x14ac:dyDescent="0.35">
      <c r="A18" t="s">
        <v>32</v>
      </c>
      <c r="B18">
        <v>2019</v>
      </c>
      <c r="C18" t="s">
        <v>33</v>
      </c>
      <c r="D18" t="s">
        <v>182</v>
      </c>
      <c r="E18" t="b">
        <v>0</v>
      </c>
      <c r="F18" t="s">
        <v>229</v>
      </c>
      <c r="G18" t="b">
        <v>0</v>
      </c>
      <c r="H18" t="s">
        <v>189</v>
      </c>
      <c r="I18" t="b">
        <v>1</v>
      </c>
      <c r="J18" t="s">
        <v>223</v>
      </c>
      <c r="K18">
        <v>0.8</v>
      </c>
      <c r="L18" t="s">
        <v>112</v>
      </c>
      <c r="M18" t="s">
        <v>257</v>
      </c>
      <c r="N18" t="b">
        <v>1</v>
      </c>
      <c r="O18" t="s">
        <v>32</v>
      </c>
    </row>
    <row r="19" spans="1:15" x14ac:dyDescent="0.35">
      <c r="A19" t="s">
        <v>76</v>
      </c>
      <c r="B19">
        <v>2019</v>
      </c>
      <c r="C19" t="s">
        <v>77</v>
      </c>
      <c r="D19" t="s">
        <v>185</v>
      </c>
      <c r="E19" t="b">
        <v>0</v>
      </c>
      <c r="F19" t="s">
        <v>229</v>
      </c>
      <c r="G19" t="b">
        <v>0</v>
      </c>
      <c r="H19" t="s">
        <v>189</v>
      </c>
      <c r="I19" t="b">
        <v>1</v>
      </c>
      <c r="J19" t="s">
        <v>243</v>
      </c>
      <c r="K19">
        <v>0.8</v>
      </c>
      <c r="L19" t="s">
        <v>112</v>
      </c>
      <c r="M19" t="s">
        <v>257</v>
      </c>
      <c r="N19" t="b">
        <v>1</v>
      </c>
      <c r="O19" t="s">
        <v>76</v>
      </c>
    </row>
    <row r="20" spans="1:15" x14ac:dyDescent="0.35">
      <c r="A20" t="s">
        <v>103</v>
      </c>
      <c r="B20">
        <v>2019</v>
      </c>
      <c r="C20" t="s">
        <v>104</v>
      </c>
      <c r="D20" t="s">
        <v>105</v>
      </c>
      <c r="E20" t="b">
        <v>0</v>
      </c>
      <c r="F20" t="s">
        <v>252</v>
      </c>
      <c r="G20" t="b">
        <v>0</v>
      </c>
      <c r="H20" t="s">
        <v>189</v>
      </c>
      <c r="I20" t="b">
        <v>1</v>
      </c>
      <c r="J20" t="s">
        <v>223</v>
      </c>
      <c r="K20">
        <v>0.8</v>
      </c>
      <c r="L20" t="s">
        <v>112</v>
      </c>
      <c r="M20" t="s">
        <v>264</v>
      </c>
      <c r="N20" t="b">
        <v>1</v>
      </c>
      <c r="O20" t="s">
        <v>103</v>
      </c>
    </row>
    <row r="22" spans="1:15" x14ac:dyDescent="0.35">
      <c r="A22" t="s">
        <v>267</v>
      </c>
    </row>
    <row r="24" spans="1:15" ht="15" thickBot="1" x14ac:dyDescent="0.4">
      <c r="A24" t="s">
        <v>0</v>
      </c>
      <c r="B24" t="s">
        <v>1</v>
      </c>
      <c r="C24" t="s">
        <v>2</v>
      </c>
      <c r="D24" t="s">
        <v>3</v>
      </c>
      <c r="E24" t="s">
        <v>202</v>
      </c>
      <c r="F24" t="s">
        <v>203</v>
      </c>
      <c r="G24" t="s">
        <v>204</v>
      </c>
      <c r="H24" t="s">
        <v>205</v>
      </c>
      <c r="I24" t="s">
        <v>206</v>
      </c>
      <c r="J24" t="s">
        <v>207</v>
      </c>
      <c r="K24" t="s">
        <v>208</v>
      </c>
      <c r="L24" s="3" t="s">
        <v>109</v>
      </c>
      <c r="M24" s="4" t="s">
        <v>110</v>
      </c>
      <c r="N24" t="s">
        <v>175</v>
      </c>
      <c r="O24" t="s">
        <v>174</v>
      </c>
    </row>
    <row r="25" spans="1:15" x14ac:dyDescent="0.35">
      <c r="A25" t="s">
        <v>10</v>
      </c>
      <c r="B25">
        <v>2019</v>
      </c>
      <c r="C25" t="s">
        <v>11</v>
      </c>
      <c r="D25" t="s">
        <v>187</v>
      </c>
      <c r="E25" t="b">
        <v>1</v>
      </c>
      <c r="F25" t="s">
        <v>212</v>
      </c>
      <c r="G25" t="b">
        <v>1</v>
      </c>
      <c r="H25" t="s">
        <v>213</v>
      </c>
      <c r="I25" t="b">
        <v>1</v>
      </c>
      <c r="J25" t="s">
        <v>214</v>
      </c>
      <c r="K25">
        <v>0.9</v>
      </c>
      <c r="L25" t="s">
        <v>173</v>
      </c>
      <c r="M25" t="s">
        <v>256</v>
      </c>
      <c r="N25" t="b">
        <v>0</v>
      </c>
      <c r="O25" t="s">
        <v>10</v>
      </c>
    </row>
    <row r="26" spans="1:15" x14ac:dyDescent="0.35">
      <c r="A26" t="s">
        <v>14</v>
      </c>
      <c r="B26">
        <v>2019</v>
      </c>
      <c r="C26" t="s">
        <v>15</v>
      </c>
      <c r="D26" t="s">
        <v>188</v>
      </c>
      <c r="E26" t="b">
        <v>1</v>
      </c>
      <c r="F26" t="s">
        <v>218</v>
      </c>
      <c r="G26" t="b">
        <v>1</v>
      </c>
      <c r="H26" t="s">
        <v>219</v>
      </c>
      <c r="I26" t="b">
        <v>1</v>
      </c>
      <c r="J26" t="s">
        <v>220</v>
      </c>
      <c r="K26">
        <v>0.9</v>
      </c>
      <c r="L26" t="s">
        <v>173</v>
      </c>
      <c r="M26" t="s">
        <v>256</v>
      </c>
      <c r="N26" t="b">
        <v>0</v>
      </c>
      <c r="O26" t="s">
        <v>14</v>
      </c>
    </row>
    <row r="27" spans="1:15" x14ac:dyDescent="0.35">
      <c r="A27" t="s">
        <v>49</v>
      </c>
      <c r="B27">
        <v>2019</v>
      </c>
      <c r="C27" t="s">
        <v>192</v>
      </c>
      <c r="D27" t="s">
        <v>193</v>
      </c>
      <c r="E27" t="b">
        <v>1</v>
      </c>
      <c r="F27" t="s">
        <v>234</v>
      </c>
      <c r="G27" t="b">
        <v>1</v>
      </c>
      <c r="H27" t="s">
        <v>213</v>
      </c>
      <c r="I27" t="b">
        <v>1</v>
      </c>
      <c r="J27" t="s">
        <v>214</v>
      </c>
      <c r="K27">
        <v>0.9</v>
      </c>
      <c r="L27" t="s">
        <v>173</v>
      </c>
      <c r="M27" t="s">
        <v>256</v>
      </c>
      <c r="N27" t="b">
        <v>0</v>
      </c>
      <c r="O27" t="s">
        <v>49</v>
      </c>
    </row>
    <row r="28" spans="1:15" x14ac:dyDescent="0.35">
      <c r="A28" t="s">
        <v>50</v>
      </c>
      <c r="B28">
        <v>2019</v>
      </c>
      <c r="C28" t="s">
        <v>194</v>
      </c>
      <c r="D28" t="s">
        <v>195</v>
      </c>
      <c r="E28" t="b">
        <v>1</v>
      </c>
      <c r="F28" t="s">
        <v>235</v>
      </c>
      <c r="G28" t="b">
        <v>1</v>
      </c>
      <c r="H28" t="s">
        <v>213</v>
      </c>
      <c r="I28" t="b">
        <v>1</v>
      </c>
      <c r="J28" t="s">
        <v>214</v>
      </c>
      <c r="K28">
        <v>0.9</v>
      </c>
      <c r="L28" t="s">
        <v>173</v>
      </c>
      <c r="M28" t="s">
        <v>256</v>
      </c>
      <c r="N28" t="b">
        <v>0</v>
      </c>
      <c r="O28" t="s">
        <v>50</v>
      </c>
    </row>
    <row r="29" spans="1:15" x14ac:dyDescent="0.35">
      <c r="A29" t="s">
        <v>57</v>
      </c>
      <c r="B29">
        <v>2019</v>
      </c>
      <c r="C29" t="s">
        <v>58</v>
      </c>
      <c r="D29" t="s">
        <v>196</v>
      </c>
      <c r="E29" t="b">
        <v>1</v>
      </c>
      <c r="F29" t="s">
        <v>236</v>
      </c>
      <c r="G29" t="b">
        <v>1</v>
      </c>
      <c r="H29" t="s">
        <v>210</v>
      </c>
      <c r="I29" t="b">
        <v>1</v>
      </c>
      <c r="J29" t="s">
        <v>225</v>
      </c>
      <c r="K29">
        <v>0.9</v>
      </c>
      <c r="L29" t="s">
        <v>173</v>
      </c>
      <c r="M29" t="s">
        <v>256</v>
      </c>
      <c r="N29" t="b">
        <v>0</v>
      </c>
      <c r="O29" t="s">
        <v>57</v>
      </c>
    </row>
    <row r="30" spans="1:15" x14ac:dyDescent="0.35">
      <c r="A30" t="s">
        <v>62</v>
      </c>
      <c r="B30">
        <v>2019</v>
      </c>
      <c r="C30" t="s">
        <v>63</v>
      </c>
      <c r="D30" t="s">
        <v>198</v>
      </c>
      <c r="E30" t="b">
        <v>1</v>
      </c>
      <c r="F30" t="s">
        <v>238</v>
      </c>
      <c r="G30" t="b">
        <v>1</v>
      </c>
      <c r="H30" t="s">
        <v>216</v>
      </c>
      <c r="I30" t="b">
        <v>1</v>
      </c>
      <c r="J30" t="s">
        <v>239</v>
      </c>
      <c r="K30">
        <v>0.9</v>
      </c>
      <c r="L30" t="s">
        <v>173</v>
      </c>
      <c r="M30" t="s">
        <v>258</v>
      </c>
      <c r="N30" t="b">
        <v>0</v>
      </c>
      <c r="O30" t="s">
        <v>62</v>
      </c>
    </row>
    <row r="31" spans="1:15" x14ac:dyDescent="0.35">
      <c r="A31" t="s">
        <v>74</v>
      </c>
      <c r="B31">
        <v>2019</v>
      </c>
      <c r="C31" t="s">
        <v>75</v>
      </c>
      <c r="D31" t="s">
        <v>199</v>
      </c>
      <c r="E31" t="b">
        <v>1</v>
      </c>
      <c r="F31" t="s">
        <v>242</v>
      </c>
      <c r="G31" t="b">
        <v>1</v>
      </c>
      <c r="H31" t="s">
        <v>213</v>
      </c>
      <c r="I31" t="b">
        <v>1</v>
      </c>
      <c r="J31" t="s">
        <v>220</v>
      </c>
      <c r="K31">
        <v>0.9</v>
      </c>
      <c r="L31" t="s">
        <v>173</v>
      </c>
      <c r="M31" t="s">
        <v>258</v>
      </c>
      <c r="N31" t="b">
        <v>0</v>
      </c>
      <c r="O31" t="s">
        <v>74</v>
      </c>
    </row>
    <row r="32" spans="1:15" x14ac:dyDescent="0.35">
      <c r="A32" t="s">
        <v>83</v>
      </c>
      <c r="B32">
        <v>2019</v>
      </c>
      <c r="C32" t="s">
        <v>84</v>
      </c>
      <c r="D32" t="s">
        <v>200</v>
      </c>
      <c r="E32" t="b">
        <v>1</v>
      </c>
      <c r="F32" t="s">
        <v>244</v>
      </c>
      <c r="G32" t="b">
        <v>1</v>
      </c>
      <c r="H32" t="s">
        <v>216</v>
      </c>
      <c r="I32" t="b">
        <v>1</v>
      </c>
      <c r="J32" t="s">
        <v>245</v>
      </c>
      <c r="K32">
        <v>0.9</v>
      </c>
      <c r="L32" t="s">
        <v>173</v>
      </c>
      <c r="M32" t="s">
        <v>256</v>
      </c>
      <c r="N32" t="b">
        <v>0</v>
      </c>
      <c r="O32" t="s">
        <v>83</v>
      </c>
    </row>
  </sheetData>
  <conditionalFormatting sqref="L17:L20 M20 L24:L32">
    <cfRule type="containsText" dxfId="1" priority="3" operator="containsText" text="Exclude">
      <formula>NOT(ISERROR(SEARCH("Exclude",L17)))</formula>
    </cfRule>
    <cfRule type="containsText" dxfId="0" priority="4" operator="containsText" text="Include">
      <formula>NOT(ISERROR(SEARCH("Include",L17)))</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Stage_5_API_50</vt:lpstr>
      <vt:lpstr>ID_Lookup</vt:lpstr>
      <vt:lpstr>Stage_5_FF_50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2025-09-05T09:03:17Z</dcterms:modified>
</cp:coreProperties>
</file>