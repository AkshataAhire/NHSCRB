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5_Comparator_And_Outcomes/validation_data/"/>
    </mc:Choice>
  </mc:AlternateContent>
  <xr:revisionPtr revIDLastSave="0" documentId="8_{4F5799D1-B646-4789-A8A9-B697270B0660}" xr6:coauthVersionLast="47" xr6:coauthVersionMax="47" xr10:uidLastSave="{00000000-0000-0000-0000-000000000000}"/>
  <bookViews>
    <workbookView xWindow="-110" yWindow="-110" windowWidth="19420" windowHeight="10300" activeTab="4" xr2:uid="{66513E08-89B8-4D61-A86D-819C01466699}"/>
  </bookViews>
  <sheets>
    <sheet name="Stage_5_API_50" sheetId="1" r:id="rId1"/>
    <sheet name="ID_Lookup" sheetId="5" r:id="rId2"/>
    <sheet name="Stage_5_FF_50" sheetId="2" r:id="rId3"/>
    <sheet name="Merged results table" sheetId="3" r:id="rId4"/>
    <sheet name="Evaluating Results" sheetId="4" r:id="rId5"/>
  </sheets>
  <definedNames>
    <definedName name="_xlnm._FilterDatabase" localSheetId="3" hidden="1">'Merged results table'!$A$1:$N$31</definedName>
    <definedName name="_xlnm._FilterDatabase" localSheetId="2" hidden="1">Stage_5_FF_50!$A$1:$H$52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B8" i="4" l="1"/>
  <c r="B7" i="4"/>
  <c r="B9" i="4"/>
  <c r="B12" i="4" l="1"/>
  <c r="B6" i="4"/>
  <c r="B11" i="4"/>
</calcChain>
</file>

<file path=xl/sharedStrings.xml><?xml version="1.0" encoding="utf-8"?>
<sst xmlns="http://schemas.openxmlformats.org/spreadsheetml/2006/main" count="857" uniqueCount="272">
  <si>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</si>
  <si>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</si>
  <si>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</si>
  <si>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</si>
  <si>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</si>
  <si>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</si>
  <si>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</si>
  <si>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</si>
  <si>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</si>
  <si>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</si>
  <si>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</si>
  <si>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</si>
  <si>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</si>
  <si>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</si>
  <si>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</si>
  <si>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</si>
  <si>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</si>
  <si>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</si>
  <si>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</si>
  <si>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</si>
  <si>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</si>
  <si>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</si>
  <si>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</si>
  <si>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</si>
  <si>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</si>
  <si>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</si>
  <si>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</si>
  <si>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</si>
  <si>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</si>
  <si>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</si>
  <si>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</si>
  <si>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</si>
  <si>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</si>
  <si>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</si>
  <si>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</si>
  <si>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</si>
  <si>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</si>
  <si>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</si>
  <si>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</si>
  <si>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</si>
  <si>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</si>
  <si>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</si>
  <si>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</si>
  <si>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</si>
  <si>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</si>
  <si>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</si>
  <si>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</si>
  <si>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</si>
  <si>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</si>
  <si>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</si>
  <si>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</si>
  <si>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</si>
  <si>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</si>
  <si>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</si>
  <si>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</si>
  <si>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</si>
  <si>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</si>
  <si>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</si>
  <si>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</si>
  <si>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</si>
  <si>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</si>
  <si>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</si>
  <si>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</si>
  <si>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</si>
  <si>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</si>
  <si>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</si>
  <si>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</si>
  <si>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</si>
  <si>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</si>
  <si>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</si>
  <si>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</si>
  <si>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</si>
  <si>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</si>
  <si>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</si>
  <si>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</si>
  <si>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</si>
  <si>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</si>
  <si>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</si>
  <si>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</si>
  <si>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</si>
  <si>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</si>
  <si>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</si>
  <si>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</si>
  <si>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</si>
  <si>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</si>
  <si>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</si>
  <si>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</si>
  <si>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</si>
  <si>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</si>
  <si>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</si>
  <si>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</si>
  <si>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</si>
  <si>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</si>
  <si>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</si>
  <si>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</si>
  <si>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</si>
  <si>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</si>
  <si>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</si>
  <si>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</si>
  <si>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</si>
  <si>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</si>
  <si>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</si>
  <si>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</si>
  <si>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</si>
  <si>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</si>
  <si>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</si>
  <si>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</si>
  <si>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</si>
  <si>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</si>
  <si>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</si>
  <si>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</si>
  <si>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</si>
  <si>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</si>
  <si>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</si>
  <si>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</si>
  <si>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</si>
  <si>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</si>
  <si>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</si>
  <si>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</si>
  <si>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</si>
  <si>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</si>
  <si>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</si>
  <si>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</si>
  <si>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</si>
  <si>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</si>
  <si>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</si>
  <si>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</si>
  <si>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</si>
  <si>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</si>
  <si>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</si>
  <si>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</si>
  <si>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</si>
  <si>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</si>
  <si>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</si>
  <si>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</si>
  <si>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</si>
  <si>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</si>
  <si>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</si>
  <si>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</si>
  <si>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</si>
  <si>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</si>
  <si>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</si>
  <si>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</si>
  <si>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</si>
  <si>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</si>
  <si>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</si>
  <si>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</si>
  <si>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</si>
  <si>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</si>
  <si>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</si>
  <si>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</si>
  <si>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</si>
  <si>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</si>
  <si>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</si>
  <si>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</si>
  <si>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</si>
  <si>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</si>
  <si>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</si>
  <si>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</si>
  <si>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</si>
  <si>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</si>
  <si>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</si>
  <si>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</si>
  <si>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</si>
  <si>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</si>
  <si>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</si>
  <si>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</si>
  <si>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</si>
  <si>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</si>
  <si>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</si>
  <si>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</si>
  <si>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</si>
  <si>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</si>
  <si>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</si>
  <si>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</si>
  <si>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</si>
  <si>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</si>
  <si>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</si>
  <si>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</si>
  <si>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</si>
  <si>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</si>
  <si>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</si>
  <si>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</si>
  <si>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</si>
  <si>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</si>
  <si>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</si>
  <si>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</si>
  <si>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</si>
  <si>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</si>
  <si>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</si>
  <si>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</si>
  <si>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</si>
  <si>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</si>
  <si>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</si>
  <si>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</si>
  <si>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</si>
  <si>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</si>
  <si>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</si>
  <si>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</si>
  <si>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</si>
  <si>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</si>
  <si>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include_stage5</t>
  </si>
  <si>
    <t>reason_stage5</t>
  </si>
  <si>
    <t>has_comparator</t>
  </si>
  <si>
    <t>detected_comparator</t>
  </si>
  <si>
    <t>has_primary_outcomes</t>
  </si>
  <si>
    <t>detected_outcomes</t>
  </si>
  <si>
    <t>confidence_stage5</t>
  </si>
  <si>
    <t>Uses usual care comparator and measures cost/QALY outcomes.</t>
  </si>
  <si>
    <t>Usual/Standard care</t>
  </si>
  <si>
    <t>['cost', 'qaly']</t>
  </si>
  <si>
    <t>Uses placebo comparator and measures clinical outcomes.</t>
  </si>
  <si>
    <t>Placebo</t>
  </si>
  <si>
    <t>['clinical']</t>
  </si>
  <si>
    <t>Uses comparator and measures cost/QALY outcomes.</t>
  </si>
  <si>
    <t>Other</t>
  </si>
  <si>
    <t>['cost', 'qaly', 'impact']</t>
  </si>
  <si>
    <t>Uses a comparator and measures clinical outcomes.</t>
  </si>
  <si>
    <t>No intervention/Do nothing</t>
  </si>
  <si>
    <t>['clinical', 'impact']</t>
  </si>
  <si>
    <t>Uses placebo comparator and measures cost-effectiveness (QALY).</t>
  </si>
  <si>
    <t>No comparator group detected</t>
  </si>
  <si>
    <t>['cost', 'impact']</t>
  </si>
  <si>
    <t>Uses comparator and measures clinical outcomes.</t>
  </si>
  <si>
    <t>['clinical', 'safety', 'impact']</t>
  </si>
  <si>
    <t>No comparison group detected</t>
  </si>
  <si>
    <t>['clinical', 'safety']</t>
  </si>
  <si>
    <t>No primary cost or impact outcomes measured</t>
  </si>
  <si>
    <t>No explicit comparator group mentioned</t>
  </si>
  <si>
    <t>Uses comparator and measures cost outcomes.</t>
  </si>
  <si>
    <t>No comparator group used</t>
  </si>
  <si>
    <t>Randomized controlled trial with cost and clinical outcomes.</t>
  </si>
  <si>
    <t>['cost', 'qaly', 'clinical', 'safety', 'pro']</t>
  </si>
  <si>
    <t>RCT with placebo/standard care comparator and measures mortality/morbidity outcomes.</t>
  </si>
  <si>
    <t>RCTs with placebo/standard care and clinical outcomes.</t>
  </si>
  <si>
    <t>Has comparator and measures clinical outcomes.</t>
  </si>
  <si>
    <t>No comparator to usual care or no intervention</t>
  </si>
  <si>
    <t>RCT with comparator and primary outcomes on impact.</t>
  </si>
  <si>
    <t>['clinical', 'impact', 'other']</t>
  </si>
  <si>
    <t>No clear comparator group or primary outcomes detected</t>
  </si>
  <si>
    <t>[]</t>
  </si>
  <si>
    <t>Uses RCTs with comparators and measures transition to psychosis.</t>
  </si>
  <si>
    <t>['cost']</t>
  </si>
  <si>
    <t>Uses a comparison group and measures primary impact outcomes.</t>
  </si>
  <si>
    <t>['clinical', 'pro', 'impact']</t>
  </si>
  <si>
    <t>Uses comparator and measures cost/effectiveness outcomes.</t>
  </si>
  <si>
    <t>['cost', 'clinical', 'impact']</t>
  </si>
  <si>
    <t>['qaly', 'cost']</t>
  </si>
  <si>
    <t>Uses a comparator and measures cost/QALY outcomes.</t>
  </si>
  <si>
    <t>RCT with usual care comparator and primary outcomes on cost and safety.</t>
  </si>
  <si>
    <t>['cost', 'safety', 'clinical', 'impact']</t>
  </si>
  <si>
    <t>No explicit comparison group detected</t>
  </si>
  <si>
    <t>No explicit comparator group identified</t>
  </si>
  <si>
    <t>['impact']</t>
  </si>
  <si>
    <t>will include relevant outcomes, but none established yet as protocol</t>
  </si>
  <si>
    <t>Does include some relevant outcome data, but main focus is validation of tool</t>
  </si>
  <si>
    <t>comparison and outcomes</t>
  </si>
  <si>
    <t>comparison and impact</t>
  </si>
  <si>
    <t>comparison and outcomes (limited)</t>
  </si>
  <si>
    <t>comparison aed outcomes</t>
  </si>
  <si>
    <t>evidence base very limited</t>
  </si>
  <si>
    <t>comparison and outcomes (uncertain)</t>
  </si>
  <si>
    <t>more prevalence than outcomes/impact</t>
  </si>
  <si>
    <t>guidelines</t>
  </si>
  <si>
    <t>not really tangible outcomes</t>
  </si>
  <si>
    <t>insufficient evidence</t>
  </si>
  <si>
    <t>protocol</t>
  </si>
  <si>
    <t>more validation of model</t>
  </si>
  <si>
    <t>comparsion and outcomes (limited)</t>
  </si>
  <si>
    <t>1 False Positive</t>
  </si>
  <si>
    <t>FF_include_stage5</t>
  </si>
  <si>
    <t>9 False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</si>
</sst>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6100"/>
      <name val="Aptos Narrow"/>
      <family val="2"/>
      <scheme val="minor"/>
    </font>
    <font>
      <sz val="11"/>
      <color rgb="FF9C0006"/>
      <name val="Aptos Narrow"/>
      <family val="2"/>
      <scheme val="minor"/>
    </font>
    <font>
      <sz val="11"/>
      <color rgb="FF000000"/>
      <name val="Aptos Narrow"/>
      <family val="2"/>
      <scheme val="minor"/>
    </font>
    <font>
      <b/>
      <sz val="11"/>
      <color rgb="FF000000"/>
      <name val="Aptos Narrow"/>
      <family val="2"/>
      <scheme val="minor"/>
    </font>
  </fonts>
  <fills count="5">
    <fill>
      <patternFill patternType="none"/>
    </fill>
    <fill>
      <patternFill patternType="gray125"/>
    </fill>
    <fill>
      <patternFill patternType="solid">
        <fgColor rgb="FFC6EFCE"/>
        <bgColor rgb="FF000000"/>
      </patternFill>
    </fill>
    <fill>
      <patternFill patternType="solid">
        <fgColor rgb="FFFBE2D5"/>
        <bgColor rgb="FF000000"/>
      </patternFill>
    </fill>
    <fill>
      <patternFill patternType="solid">
        <fgColor rgb="FFFFC7CE"/>
        <bgColor rgb="FF000000"/>
      </patternFill>
    </fill>
  </fills>
  <borders count="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xf numFmtId="0" fontId="2" fillId="0" borderId="0" xfId="0" applyFont="1"/>
    <xf numFmtId="0" fontId="3" fillId="2" borderId="0" xfId="0" applyFont="1" applyFill="1"/>
    <xf numFmtId="0" fontId="5" fillId="0" borderId="0" xfId="0" applyFont="1"/>
    <xf numFmtId="0" fontId="5" fillId="3" borderId="0" xfId="0" applyFont="1" applyFill="1"/>
    <xf numFmtId="0" fontId="4" fillId="4" borderId="0" xfId="0" applyFont="1" applyFill="1"/>
    <xf numFmtId="0" fontId="6" fillId="0" borderId="1" xfId="0" applyFont="1" applyBorder="1"/>
    <xf numFmtId="0" fontId="6"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K42"/>
  <sheetViews>
    <sheetView topLeftCell="A26" workbookViewId="0">
      <selection activeCell="A2" sqref="A2"/>
    </sheetView>
  </sheetViews>
  <sheetFormatPr defaultRowHeight="14.5" x14ac:dyDescent="0.35"/>
  <sheetData>
    <row r="1" spans="1:11" x14ac:dyDescent="0.35">
      <c r="A1" t="s">
        <v>0</v>
      </c>
      <c r="B1" t="s">
        <v>1</v>
      </c>
      <c r="C1" t="s">
        <v>2</v>
      </c>
      <c r="D1" t="s">
        <v>3</v>
      </c>
      <c r="E1" t="s">
        <v>201</v>
      </c>
      <c r="F1" t="s">
        <v>202</v>
      </c>
      <c r="G1" t="s">
        <v>203</v>
      </c>
      <c r="H1" t="s">
        <v>204</v>
      </c>
      <c r="I1" t="s">
        <v>205</v>
      </c>
      <c r="J1" t="s">
        <v>206</v>
      </c>
      <c r="K1" t="s">
        <v>207</v>
      </c>
    </row>
    <row r="2" spans="1:11" x14ac:dyDescent="0.35">
      <c r="A2" t="s">
        <v>8</v>
      </c>
      <c r="B2">
        <v>2019</v>
      </c>
      <c r="C2" t="s">
        <v>9</v>
      </c>
      <c r="D2" t="s">
        <v>175</v>
      </c>
      <c r="E2" t="b">
        <v>1</v>
      </c>
      <c r="F2" t="s">
        <v>208</v>
      </c>
      <c r="G2" t="b">
        <v>1</v>
      </c>
      <c r="H2" t="s">
        <v>209</v>
      </c>
      <c r="I2" t="b">
        <v>1</v>
      </c>
      <c r="J2" t="s">
        <v>210</v>
      </c>
      <c r="K2">
        <v>1</v>
      </c>
    </row>
    <row r="3" spans="1:11" x14ac:dyDescent="0.35">
      <c r="A3" t="s">
        <v>10</v>
      </c>
      <c r="B3">
        <v>2019</v>
      </c>
      <c r="C3" t="s">
        <v>11</v>
      </c>
      <c r="D3" t="s">
        <v>186</v>
      </c>
      <c r="E3" t="b">
        <v>1</v>
      </c>
      <c r="F3" t="s">
        <v>211</v>
      </c>
      <c r="G3" t="b">
        <v>1</v>
      </c>
      <c r="H3" t="s">
        <v>212</v>
      </c>
      <c r="I3" t="b">
        <v>1</v>
      </c>
      <c r="J3" t="s">
        <v>213</v>
      </c>
      <c r="K3">
        <v>0.9</v>
      </c>
    </row>
    <row r="4" spans="1:11" x14ac:dyDescent="0.35">
      <c r="A4" t="s">
        <v>12</v>
      </c>
      <c r="B4">
        <v>2019</v>
      </c>
      <c r="C4" t="s">
        <v>13</v>
      </c>
      <c r="D4" t="s">
        <v>176</v>
      </c>
      <c r="E4" t="b">
        <v>1</v>
      </c>
      <c r="F4" t="s">
        <v>214</v>
      </c>
      <c r="G4" t="b">
        <v>1</v>
      </c>
      <c r="H4" t="s">
        <v>215</v>
      </c>
      <c r="I4" t="b">
        <v>1</v>
      </c>
      <c r="J4" t="s">
        <v>216</v>
      </c>
      <c r="K4">
        <v>0.9</v>
      </c>
    </row>
    <row r="5" spans="1:11" x14ac:dyDescent="0.35">
      <c r="A5" t="s">
        <v>14</v>
      </c>
      <c r="B5">
        <v>2019</v>
      </c>
      <c r="C5" t="s">
        <v>15</v>
      </c>
      <c r="D5" t="s">
        <v>187</v>
      </c>
      <c r="E5" t="b">
        <v>1</v>
      </c>
      <c r="F5" t="s">
        <v>217</v>
      </c>
      <c r="G5" t="b">
        <v>1</v>
      </c>
      <c r="H5" t="s">
        <v>218</v>
      </c>
      <c r="I5" t="b">
        <v>1</v>
      </c>
      <c r="J5" t="s">
        <v>219</v>
      </c>
      <c r="K5">
        <v>0.9</v>
      </c>
    </row>
    <row r="6" spans="1:11" x14ac:dyDescent="0.35">
      <c r="A6" t="s">
        <v>19</v>
      </c>
      <c r="B6">
        <v>2019</v>
      </c>
      <c r="C6" t="s">
        <v>20</v>
      </c>
      <c r="D6" t="s">
        <v>177</v>
      </c>
      <c r="E6" t="b">
        <v>1</v>
      </c>
      <c r="F6" t="s">
        <v>220</v>
      </c>
      <c r="G6" t="b">
        <v>1</v>
      </c>
      <c r="H6" t="s">
        <v>212</v>
      </c>
      <c r="I6" t="b">
        <v>1</v>
      </c>
      <c r="J6" t="s">
        <v>210</v>
      </c>
      <c r="K6">
        <v>1</v>
      </c>
    </row>
    <row r="7" spans="1:11" x14ac:dyDescent="0.35">
      <c r="A7" t="s">
        <v>21</v>
      </c>
      <c r="B7">
        <v>2019</v>
      </c>
      <c r="C7" t="s">
        <v>22</v>
      </c>
      <c r="D7" t="s">
        <v>178</v>
      </c>
      <c r="E7" t="b">
        <v>0</v>
      </c>
      <c r="F7" t="s">
        <v>221</v>
      </c>
      <c r="G7" t="b">
        <v>0</v>
      </c>
      <c r="H7" t="s">
        <v>188</v>
      </c>
      <c r="I7" t="b">
        <v>1</v>
      </c>
      <c r="J7" t="s">
        <v>222</v>
      </c>
      <c r="K7">
        <v>0.9</v>
      </c>
    </row>
    <row r="8" spans="1:11" x14ac:dyDescent="0.35">
      <c r="A8" t="s">
        <v>23</v>
      </c>
      <c r="B8">
        <v>2019</v>
      </c>
      <c r="C8" t="s">
        <v>189</v>
      </c>
      <c r="D8" t="s">
        <v>190</v>
      </c>
      <c r="E8" t="b">
        <v>1</v>
      </c>
      <c r="F8" t="s">
        <v>223</v>
      </c>
      <c r="G8" t="b">
        <v>1</v>
      </c>
      <c r="H8" t="s">
        <v>215</v>
      </c>
      <c r="I8" t="b">
        <v>1</v>
      </c>
      <c r="J8" t="s">
        <v>224</v>
      </c>
      <c r="K8">
        <v>0.9</v>
      </c>
    </row>
    <row r="9" spans="1:11" x14ac:dyDescent="0.35">
      <c r="A9" t="s">
        <v>24</v>
      </c>
      <c r="B9">
        <v>2019</v>
      </c>
      <c r="C9" t="s">
        <v>25</v>
      </c>
      <c r="D9" t="s">
        <v>26</v>
      </c>
      <c r="E9" t="b">
        <v>0</v>
      </c>
      <c r="F9" t="s">
        <v>225</v>
      </c>
      <c r="G9" t="b">
        <v>0</v>
      </c>
      <c r="H9" t="s">
        <v>188</v>
      </c>
      <c r="I9" t="b">
        <v>1</v>
      </c>
      <c r="J9" t="s">
        <v>224</v>
      </c>
      <c r="K9">
        <v>0.9</v>
      </c>
    </row>
    <row r="10" spans="1:11" x14ac:dyDescent="0.35">
      <c r="A10" t="s">
        <v>27</v>
      </c>
      <c r="B10">
        <v>2019</v>
      </c>
      <c r="C10" t="s">
        <v>28</v>
      </c>
      <c r="D10" t="s">
        <v>29</v>
      </c>
      <c r="E10" t="b">
        <v>0</v>
      </c>
      <c r="F10" t="s">
        <v>225</v>
      </c>
      <c r="G10" t="b">
        <v>0</v>
      </c>
      <c r="H10" t="s">
        <v>188</v>
      </c>
      <c r="I10" t="b">
        <v>1</v>
      </c>
      <c r="J10" t="s">
        <v>226</v>
      </c>
      <c r="K10">
        <v>0.9</v>
      </c>
    </row>
    <row r="11" spans="1:11" x14ac:dyDescent="0.35">
      <c r="A11" t="s">
        <v>31</v>
      </c>
      <c r="B11">
        <v>2019</v>
      </c>
      <c r="C11" t="s">
        <v>179</v>
      </c>
      <c r="D11" t="s">
        <v>180</v>
      </c>
      <c r="E11" t="b">
        <v>0</v>
      </c>
      <c r="F11" t="s">
        <v>227</v>
      </c>
      <c r="G11" t="b">
        <v>1</v>
      </c>
      <c r="H11" t="s">
        <v>218</v>
      </c>
      <c r="I11" t="b">
        <v>0</v>
      </c>
      <c r="J11" t="s">
        <v>213</v>
      </c>
      <c r="K11">
        <v>0.9</v>
      </c>
    </row>
    <row r="12" spans="1:11" x14ac:dyDescent="0.35">
      <c r="A12" t="s">
        <v>32</v>
      </c>
      <c r="B12">
        <v>2019</v>
      </c>
      <c r="C12" t="s">
        <v>33</v>
      </c>
      <c r="D12" t="s">
        <v>181</v>
      </c>
      <c r="E12" t="b">
        <v>0</v>
      </c>
      <c r="F12" t="s">
        <v>228</v>
      </c>
      <c r="G12" t="b">
        <v>0</v>
      </c>
      <c r="H12" t="s">
        <v>188</v>
      </c>
      <c r="I12" t="b">
        <v>1</v>
      </c>
      <c r="J12" t="s">
        <v>222</v>
      </c>
      <c r="K12">
        <v>0.8</v>
      </c>
    </row>
    <row r="13" spans="1:11" x14ac:dyDescent="0.35">
      <c r="A13" t="s">
        <v>42</v>
      </c>
      <c r="B13">
        <v>2019</v>
      </c>
      <c r="C13" t="s">
        <v>43</v>
      </c>
      <c r="D13" t="s">
        <v>44</v>
      </c>
      <c r="E13" t="b">
        <v>1</v>
      </c>
      <c r="F13" t="s">
        <v>229</v>
      </c>
      <c r="G13" t="b">
        <v>1</v>
      </c>
      <c r="H13" t="s">
        <v>215</v>
      </c>
      <c r="I13" t="b">
        <v>1</v>
      </c>
      <c r="J13" t="s">
        <v>222</v>
      </c>
      <c r="K13">
        <v>0.9</v>
      </c>
    </row>
    <row r="14" spans="1:11" x14ac:dyDescent="0.35">
      <c r="A14" t="s">
        <v>45</v>
      </c>
      <c r="B14">
        <v>2019</v>
      </c>
      <c r="C14" t="s">
        <v>46</v>
      </c>
      <c r="D14" t="s">
        <v>182</v>
      </c>
      <c r="E14" t="b">
        <v>0</v>
      </c>
      <c r="F14" t="s">
        <v>230</v>
      </c>
      <c r="G14" t="b">
        <v>0</v>
      </c>
      <c r="H14" t="s">
        <v>188</v>
      </c>
      <c r="I14" t="b">
        <v>1</v>
      </c>
      <c r="J14" t="s">
        <v>222</v>
      </c>
      <c r="K14">
        <v>0.9</v>
      </c>
    </row>
    <row r="15" spans="1:11" x14ac:dyDescent="0.35">
      <c r="A15" t="s">
        <v>47</v>
      </c>
      <c r="B15">
        <v>2019</v>
      </c>
      <c r="C15" t="s">
        <v>48</v>
      </c>
      <c r="D15" t="s">
        <v>183</v>
      </c>
      <c r="E15" t="b">
        <v>1</v>
      </c>
      <c r="F15" t="s">
        <v>231</v>
      </c>
      <c r="G15" t="b">
        <v>1</v>
      </c>
      <c r="H15" t="s">
        <v>215</v>
      </c>
      <c r="I15" t="b">
        <v>1</v>
      </c>
      <c r="J15" t="s">
        <v>232</v>
      </c>
      <c r="K15">
        <v>1</v>
      </c>
    </row>
    <row r="16" spans="1:11" x14ac:dyDescent="0.35">
      <c r="A16" t="s">
        <v>49</v>
      </c>
      <c r="B16">
        <v>2019</v>
      </c>
      <c r="C16" t="s">
        <v>191</v>
      </c>
      <c r="D16" t="s">
        <v>192</v>
      </c>
      <c r="E16" t="b">
        <v>1</v>
      </c>
      <c r="F16" t="s">
        <v>233</v>
      </c>
      <c r="G16" t="b">
        <v>1</v>
      </c>
      <c r="H16" t="s">
        <v>212</v>
      </c>
      <c r="I16" t="b">
        <v>1</v>
      </c>
      <c r="J16" t="s">
        <v>213</v>
      </c>
      <c r="K16">
        <v>0.9</v>
      </c>
    </row>
    <row r="17" spans="1:11" x14ac:dyDescent="0.35">
      <c r="A17" t="s">
        <v>50</v>
      </c>
      <c r="B17">
        <v>2019</v>
      </c>
      <c r="C17" t="s">
        <v>193</v>
      </c>
      <c r="D17" t="s">
        <v>194</v>
      </c>
      <c r="E17" t="b">
        <v>1</v>
      </c>
      <c r="F17" t="s">
        <v>234</v>
      </c>
      <c r="G17" t="b">
        <v>1</v>
      </c>
      <c r="H17" t="s">
        <v>212</v>
      </c>
      <c r="I17" t="b">
        <v>1</v>
      </c>
      <c r="J17" t="s">
        <v>213</v>
      </c>
      <c r="K17">
        <v>0.9</v>
      </c>
    </row>
    <row r="18" spans="1:11" x14ac:dyDescent="0.35">
      <c r="A18" t="s">
        <v>57</v>
      </c>
      <c r="B18">
        <v>2019</v>
      </c>
      <c r="C18" t="s">
        <v>58</v>
      </c>
      <c r="D18" t="s">
        <v>195</v>
      </c>
      <c r="E18" t="b">
        <v>1</v>
      </c>
      <c r="F18" t="s">
        <v>235</v>
      </c>
      <c r="G18" t="b">
        <v>1</v>
      </c>
      <c r="H18" t="s">
        <v>209</v>
      </c>
      <c r="I18" t="b">
        <v>1</v>
      </c>
      <c r="J18" t="s">
        <v>224</v>
      </c>
      <c r="K18">
        <v>0.9</v>
      </c>
    </row>
    <row r="19" spans="1:11" x14ac:dyDescent="0.35">
      <c r="A19" t="s">
        <v>60</v>
      </c>
      <c r="B19">
        <v>2019</v>
      </c>
      <c r="C19" t="s">
        <v>61</v>
      </c>
      <c r="D19" t="s">
        <v>196</v>
      </c>
      <c r="E19" t="b">
        <v>0</v>
      </c>
      <c r="F19" t="s">
        <v>236</v>
      </c>
      <c r="G19" t="b">
        <v>0</v>
      </c>
      <c r="H19" t="s">
        <v>188</v>
      </c>
      <c r="I19" t="b">
        <v>1</v>
      </c>
      <c r="J19" t="s">
        <v>219</v>
      </c>
      <c r="K19">
        <v>0.8</v>
      </c>
    </row>
    <row r="20" spans="1:11" x14ac:dyDescent="0.35">
      <c r="A20" t="s">
        <v>62</v>
      </c>
      <c r="B20">
        <v>2019</v>
      </c>
      <c r="C20" t="s">
        <v>63</v>
      </c>
      <c r="D20" t="s">
        <v>197</v>
      </c>
      <c r="E20" t="b">
        <v>1</v>
      </c>
      <c r="F20" t="s">
        <v>237</v>
      </c>
      <c r="G20" t="b">
        <v>1</v>
      </c>
      <c r="H20" t="s">
        <v>215</v>
      </c>
      <c r="I20" t="b">
        <v>1</v>
      </c>
      <c r="J20" t="s">
        <v>238</v>
      </c>
      <c r="K20">
        <v>0.9</v>
      </c>
    </row>
    <row r="21" spans="1:11" ht="409.5" x14ac:dyDescent="0.35">
      <c r="A21" t="s">
        <v>71</v>
      </c>
      <c r="B21">
        <v>2019</v>
      </c>
      <c r="C21" t="s">
        <v>72</v>
      </c>
      <c r="D21" s="1" t="s">
        <v>73</v>
      </c>
      <c r="E21" t="b">
        <v>0</v>
      </c>
      <c r="F21" t="s">
        <v>239</v>
      </c>
      <c r="G21" t="b">
        <v>0</v>
      </c>
      <c r="H21" t="s">
        <v>188</v>
      </c>
      <c r="I21" t="b">
        <v>0</v>
      </c>
      <c r="J21" t="s">
        <v>240</v>
      </c>
      <c r="K21">
        <v>0.6</v>
      </c>
    </row>
    <row r="22" spans="1:11" x14ac:dyDescent="0.35">
      <c r="A22" t="s">
        <v>74</v>
      </c>
      <c r="B22">
        <v>2019</v>
      </c>
      <c r="C22" t="s">
        <v>75</v>
      </c>
      <c r="D22" t="s">
        <v>198</v>
      </c>
      <c r="E22" t="b">
        <v>1</v>
      </c>
      <c r="F22" t="s">
        <v>241</v>
      </c>
      <c r="G22" t="b">
        <v>1</v>
      </c>
      <c r="H22" t="s">
        <v>212</v>
      </c>
      <c r="I22" t="b">
        <v>1</v>
      </c>
      <c r="J22" t="s">
        <v>219</v>
      </c>
      <c r="K22">
        <v>0.9</v>
      </c>
    </row>
    <row r="23" spans="1:11" x14ac:dyDescent="0.35">
      <c r="A23" t="s">
        <v>76</v>
      </c>
      <c r="B23">
        <v>2019</v>
      </c>
      <c r="C23" t="s">
        <v>77</v>
      </c>
      <c r="D23" t="s">
        <v>184</v>
      </c>
      <c r="E23" t="b">
        <v>0</v>
      </c>
      <c r="F23" t="s">
        <v>228</v>
      </c>
      <c r="G23" t="b">
        <v>0</v>
      </c>
      <c r="H23" t="s">
        <v>188</v>
      </c>
      <c r="I23" t="b">
        <v>1</v>
      </c>
      <c r="J23" t="s">
        <v>242</v>
      </c>
      <c r="K23">
        <v>0.8</v>
      </c>
    </row>
    <row r="24" spans="1:11" x14ac:dyDescent="0.35">
      <c r="A24" t="s">
        <v>78</v>
      </c>
      <c r="B24">
        <v>2019</v>
      </c>
      <c r="C24" t="s">
        <v>79</v>
      </c>
      <c r="D24" t="s">
        <v>185</v>
      </c>
      <c r="E24" t="b">
        <v>1</v>
      </c>
      <c r="F24" t="s">
        <v>214</v>
      </c>
      <c r="G24" t="b">
        <v>1</v>
      </c>
      <c r="H24" t="s">
        <v>215</v>
      </c>
      <c r="I24" t="b">
        <v>1</v>
      </c>
      <c r="J24" t="s">
        <v>210</v>
      </c>
      <c r="K24">
        <v>0.9</v>
      </c>
    </row>
    <row r="25" spans="1:11" x14ac:dyDescent="0.35">
      <c r="A25" t="s">
        <v>83</v>
      </c>
      <c r="B25">
        <v>2019</v>
      </c>
      <c r="C25" t="s">
        <v>84</v>
      </c>
      <c r="D25" t="s">
        <v>199</v>
      </c>
      <c r="E25" t="b">
        <v>1</v>
      </c>
      <c r="F25" t="s">
        <v>243</v>
      </c>
      <c r="G25" t="b">
        <v>1</v>
      </c>
      <c r="H25" t="s">
        <v>215</v>
      </c>
      <c r="I25" t="b">
        <v>1</v>
      </c>
      <c r="J25" t="s">
        <v>244</v>
      </c>
      <c r="K25">
        <v>0.9</v>
      </c>
    </row>
    <row r="26" spans="1:11" ht="409.5" x14ac:dyDescent="0.35">
      <c r="A26" t="s">
        <v>85</v>
      </c>
      <c r="B26">
        <v>2019</v>
      </c>
      <c r="C26" t="s">
        <v>86</v>
      </c>
      <c r="D26" s="1" t="s">
        <v>87</v>
      </c>
      <c r="E26" t="b">
        <v>1</v>
      </c>
      <c r="F26" t="s">
        <v>245</v>
      </c>
      <c r="G26" t="b">
        <v>1</v>
      </c>
      <c r="H26" t="s">
        <v>215</v>
      </c>
      <c r="I26" t="b">
        <v>1</v>
      </c>
      <c r="J26" t="s">
        <v>246</v>
      </c>
      <c r="K26">
        <v>0.9</v>
      </c>
    </row>
    <row r="27" spans="1:11" x14ac:dyDescent="0.35">
      <c r="A27" t="s">
        <v>91</v>
      </c>
      <c r="B27">
        <v>2019</v>
      </c>
      <c r="C27" t="s">
        <v>92</v>
      </c>
      <c r="D27" t="s">
        <v>93</v>
      </c>
      <c r="E27" t="b">
        <v>0</v>
      </c>
      <c r="F27" t="s">
        <v>228</v>
      </c>
      <c r="G27" t="b">
        <v>0</v>
      </c>
      <c r="H27" t="s">
        <v>188</v>
      </c>
      <c r="I27" t="b">
        <v>1</v>
      </c>
      <c r="J27" t="s">
        <v>247</v>
      </c>
      <c r="K27">
        <v>0.8</v>
      </c>
    </row>
    <row r="28" spans="1:11" x14ac:dyDescent="0.35">
      <c r="A28" t="s">
        <v>94</v>
      </c>
      <c r="B28">
        <v>2019</v>
      </c>
      <c r="C28" t="s">
        <v>95</v>
      </c>
      <c r="D28" t="s">
        <v>96</v>
      </c>
      <c r="E28" t="b">
        <v>1</v>
      </c>
      <c r="F28" t="s">
        <v>248</v>
      </c>
      <c r="G28" t="b">
        <v>1</v>
      </c>
      <c r="H28" t="s">
        <v>218</v>
      </c>
      <c r="I28" t="b">
        <v>1</v>
      </c>
      <c r="J28" t="s">
        <v>216</v>
      </c>
      <c r="K28">
        <v>1</v>
      </c>
    </row>
    <row r="29" spans="1:11" x14ac:dyDescent="0.35">
      <c r="A29" t="s">
        <v>99</v>
      </c>
      <c r="B29">
        <v>2019</v>
      </c>
      <c r="C29" t="s">
        <v>100</v>
      </c>
      <c r="D29" t="s">
        <v>101</v>
      </c>
      <c r="E29" t="b">
        <v>1</v>
      </c>
      <c r="F29" t="s">
        <v>249</v>
      </c>
      <c r="G29" t="b">
        <v>1</v>
      </c>
      <c r="H29" t="s">
        <v>209</v>
      </c>
      <c r="I29" t="b">
        <v>1</v>
      </c>
      <c r="J29" t="s">
        <v>250</v>
      </c>
      <c r="K29">
        <v>1</v>
      </c>
    </row>
    <row r="30" spans="1:11" x14ac:dyDescent="0.35">
      <c r="A30" t="s">
        <v>103</v>
      </c>
      <c r="B30">
        <v>2019</v>
      </c>
      <c r="C30" t="s">
        <v>104</v>
      </c>
      <c r="D30" t="s">
        <v>105</v>
      </c>
      <c r="E30" t="b">
        <v>0</v>
      </c>
      <c r="F30" t="s">
        <v>251</v>
      </c>
      <c r="G30" t="b">
        <v>0</v>
      </c>
      <c r="H30" t="s">
        <v>188</v>
      </c>
      <c r="I30" t="b">
        <v>1</v>
      </c>
      <c r="J30" t="s">
        <v>222</v>
      </c>
      <c r="K30">
        <v>0.8</v>
      </c>
    </row>
    <row r="31" spans="1:11" x14ac:dyDescent="0.35">
      <c r="A31" t="s">
        <v>106</v>
      </c>
      <c r="B31">
        <v>2019</v>
      </c>
      <c r="C31" t="s">
        <v>107</v>
      </c>
      <c r="D31" t="s">
        <v>200</v>
      </c>
      <c r="E31" t="b">
        <v>0</v>
      </c>
      <c r="F31" t="s">
        <v>252</v>
      </c>
      <c r="G31" t="b">
        <v>0</v>
      </c>
      <c r="H31" t="s">
        <v>188</v>
      </c>
      <c r="I31" t="b">
        <v>1</v>
      </c>
      <c r="J31" t="s">
        <v>253</v>
      </c>
      <c r="K31">
        <v>0.7</v>
      </c>
    </row>
    <row r="33" customFormat="1" x14ac:dyDescent="0.35"/>
    <row r="34" customFormat="1" x14ac:dyDescent="0.35"/>
    <row r="35" customFormat="1" x14ac:dyDescent="0.35"/>
    <row r="36" customFormat="1" x14ac:dyDescent="0.35"/>
    <row r="37" customFormat="1" x14ac:dyDescent="0.35"/>
    <row r="42" customForma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31"/>
  <sheetViews>
    <sheetView workbookViewId="0">
      <selection activeCell="A2" sqref="A2"/>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21</v>
      </c>
    </row>
    <row r="8" spans="1:1" x14ac:dyDescent="0.35">
      <c r="A8" t="s">
        <v>23</v>
      </c>
    </row>
    <row r="9" spans="1:1" x14ac:dyDescent="0.35">
      <c r="A9" t="s">
        <v>24</v>
      </c>
    </row>
    <row r="10" spans="1:1" x14ac:dyDescent="0.35">
      <c r="A10" t="s">
        <v>27</v>
      </c>
    </row>
    <row r="11" spans="1:1" x14ac:dyDescent="0.35">
      <c r="A11" t="s">
        <v>31</v>
      </c>
    </row>
    <row r="12" spans="1:1" x14ac:dyDescent="0.35">
      <c r="A12" t="s">
        <v>32</v>
      </c>
    </row>
    <row r="13" spans="1:1" x14ac:dyDescent="0.35">
      <c r="A13" t="s">
        <v>42</v>
      </c>
    </row>
    <row r="14" spans="1:1" x14ac:dyDescent="0.35">
      <c r="A14" t="s">
        <v>45</v>
      </c>
    </row>
    <row r="15" spans="1:1" x14ac:dyDescent="0.35">
      <c r="A15" t="s">
        <v>47</v>
      </c>
    </row>
    <row r="16" spans="1:1" x14ac:dyDescent="0.35">
      <c r="A16" t="s">
        <v>49</v>
      </c>
    </row>
    <row r="17" spans="1:1" x14ac:dyDescent="0.35">
      <c r="A17" t="s">
        <v>50</v>
      </c>
    </row>
    <row r="18" spans="1:1" x14ac:dyDescent="0.35">
      <c r="A18" t="s">
        <v>57</v>
      </c>
    </row>
    <row r="19" spans="1:1" x14ac:dyDescent="0.35">
      <c r="A19" t="s">
        <v>60</v>
      </c>
    </row>
    <row r="20" spans="1:1" x14ac:dyDescent="0.35">
      <c r="A20" t="s">
        <v>62</v>
      </c>
    </row>
    <row r="21" spans="1:1" x14ac:dyDescent="0.35">
      <c r="A21" t="s">
        <v>71</v>
      </c>
    </row>
    <row r="22" spans="1:1" x14ac:dyDescent="0.35">
      <c r="A22" t="s">
        <v>74</v>
      </c>
    </row>
    <row r="23" spans="1:1" x14ac:dyDescent="0.35">
      <c r="A23" t="s">
        <v>76</v>
      </c>
    </row>
    <row r="24" spans="1:1" x14ac:dyDescent="0.35">
      <c r="A24" t="s">
        <v>78</v>
      </c>
    </row>
    <row r="25" spans="1:1" x14ac:dyDescent="0.35">
      <c r="A25" t="s">
        <v>83</v>
      </c>
    </row>
    <row r="26" spans="1:1" x14ac:dyDescent="0.35">
      <c r="A26" t="s">
        <v>85</v>
      </c>
    </row>
    <row r="27" spans="1:1" x14ac:dyDescent="0.35">
      <c r="A27" t="s">
        <v>91</v>
      </c>
    </row>
    <row r="28" spans="1:1" x14ac:dyDescent="0.35">
      <c r="A28" t="s">
        <v>94</v>
      </c>
    </row>
    <row r="29" spans="1:1" x14ac:dyDescent="0.35">
      <c r="A29" t="s">
        <v>99</v>
      </c>
    </row>
    <row r="30" spans="1:1" x14ac:dyDescent="0.35">
      <c r="A30" t="s">
        <v>103</v>
      </c>
    </row>
    <row r="31" spans="1:1" x14ac:dyDescent="0.35">
      <c r="A31"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workbookViewId="0">
      <selection activeCell="G4" sqref="G4"/>
    </sheetView>
  </sheetViews>
  <sheetFormatPr defaultRowHeight="14.5" x14ac:dyDescent="0.35"/>
  <cols>
    <col min="2" max="2" width="10.81640625" customWidth="1"/>
    <col min="3" max="3" width="13.54296875" customWidth="1"/>
    <col min="4" max="4" width="13.26953125" customWidth="1"/>
  </cols>
  <sheetData>
    <row r="1" spans="1:8" ht="15" thickBot="1" x14ac:dyDescent="0.4">
      <c r="A1" t="s">
        <v>108</v>
      </c>
      <c r="B1" t="s">
        <v>1</v>
      </c>
      <c r="C1" t="s">
        <v>2</v>
      </c>
      <c r="D1" t="s">
        <v>3</v>
      </c>
      <c r="E1" s="8" t="s">
        <v>109</v>
      </c>
      <c r="F1" s="9" t="s">
        <v>110</v>
      </c>
      <c r="G1" t="s">
        <v>270</v>
      </c>
      <c r="H1" t="s">
        <v>174</v>
      </c>
    </row>
    <row r="2" spans="1:8" hidden="1" x14ac:dyDescent="0.35">
      <c r="A2" t="s">
        <v>4</v>
      </c>
      <c r="B2">
        <v>2019</v>
      </c>
      <c r="C2" t="s">
        <v>5</v>
      </c>
      <c r="D2" t="s">
        <v>111</v>
      </c>
      <c r="E2" s="4" t="s">
        <v>112</v>
      </c>
      <c r="F2" s="5" t="s">
        <v>256</v>
      </c>
      <c r="G2" t="b">
        <f>IF(E2="Include", TRUE, FALSE)</f>
        <v>1</v>
      </c>
      <c r="H2" t="e">
        <f>VLOOKUP(A2,ID_Lookup!$A:$A,1,FALSE)</f>
        <v>#N/A</v>
      </c>
    </row>
    <row r="3" spans="1:8" hidden="1" x14ac:dyDescent="0.35">
      <c r="A3" t="s">
        <v>6</v>
      </c>
      <c r="B3">
        <v>2019</v>
      </c>
      <c r="C3" t="s">
        <v>7</v>
      </c>
      <c r="D3" t="s">
        <v>113</v>
      </c>
      <c r="E3" s="4" t="s">
        <v>112</v>
      </c>
      <c r="F3" s="5" t="s">
        <v>257</v>
      </c>
      <c r="G3" t="b">
        <f t="shared" ref="G3:G52" si="0">IF(E3="Include", TRUE, FALSE)</f>
        <v>1</v>
      </c>
      <c r="H3" t="e">
        <f>VLOOKUP(A3,ID_Lookup!$A:$A,1,FALSE)</f>
        <v>#N/A</v>
      </c>
    </row>
    <row r="4" spans="1:8" x14ac:dyDescent="0.35">
      <c r="A4" t="s">
        <v>8</v>
      </c>
      <c r="B4">
        <v>2019</v>
      </c>
      <c r="C4" t="s">
        <v>9</v>
      </c>
      <c r="D4" t="s">
        <v>114</v>
      </c>
      <c r="E4" s="4" t="s">
        <v>112</v>
      </c>
      <c r="F4" s="5" t="s">
        <v>256</v>
      </c>
      <c r="G4" t="b">
        <f t="shared" si="0"/>
        <v>1</v>
      </c>
      <c r="H4" t="str">
        <f>VLOOKUP(A4,ID_Lookup!$A:$A,1,FALSE)</f>
        <v>J502</v>
      </c>
    </row>
    <row r="5" spans="1:8" x14ac:dyDescent="0.35">
      <c r="A5" t="s">
        <v>10</v>
      </c>
      <c r="B5">
        <v>2019</v>
      </c>
      <c r="C5" t="s">
        <v>11</v>
      </c>
      <c r="D5" t="s">
        <v>115</v>
      </c>
      <c r="E5" s="4" t="s">
        <v>112</v>
      </c>
      <c r="F5" s="5" t="s">
        <v>256</v>
      </c>
      <c r="G5" t="b">
        <f t="shared" si="0"/>
        <v>1</v>
      </c>
      <c r="H5" t="str">
        <f>VLOOKUP(A5,ID_Lookup!$A:$A,1,FALSE)</f>
        <v>J503</v>
      </c>
    </row>
    <row r="6" spans="1:8" x14ac:dyDescent="0.35">
      <c r="A6" t="s">
        <v>12</v>
      </c>
      <c r="B6">
        <v>2019</v>
      </c>
      <c r="C6" t="s">
        <v>13</v>
      </c>
      <c r="D6" t="s">
        <v>116</v>
      </c>
      <c r="E6" s="4" t="s">
        <v>112</v>
      </c>
      <c r="F6" s="5" t="s">
        <v>256</v>
      </c>
      <c r="G6" t="b">
        <f t="shared" si="0"/>
        <v>1</v>
      </c>
      <c r="H6" t="str">
        <f>VLOOKUP(A6,ID_Lookup!$A:$A,1,FALSE)</f>
        <v>J504</v>
      </c>
    </row>
    <row r="7" spans="1:8" x14ac:dyDescent="0.35">
      <c r="A7" t="s">
        <v>14</v>
      </c>
      <c r="B7">
        <v>2019</v>
      </c>
      <c r="C7" t="s">
        <v>15</v>
      </c>
      <c r="D7" t="s">
        <v>117</v>
      </c>
      <c r="E7" s="4" t="s">
        <v>112</v>
      </c>
      <c r="F7" s="5" t="s">
        <v>256</v>
      </c>
      <c r="G7" t="b">
        <f t="shared" si="0"/>
        <v>1</v>
      </c>
      <c r="H7" t="str">
        <f>VLOOKUP(A7,ID_Lookup!$A:$A,1,FALSE)</f>
        <v>J505</v>
      </c>
    </row>
    <row r="8" spans="1:8" hidden="1" x14ac:dyDescent="0.35">
      <c r="A8" t="s">
        <v>16</v>
      </c>
      <c r="B8">
        <v>2019</v>
      </c>
      <c r="C8" t="s">
        <v>17</v>
      </c>
      <c r="D8" t="s">
        <v>118</v>
      </c>
      <c r="E8" s="4" t="s">
        <v>112</v>
      </c>
      <c r="F8" s="5" t="s">
        <v>258</v>
      </c>
      <c r="G8" t="b">
        <f t="shared" si="0"/>
        <v>1</v>
      </c>
      <c r="H8" t="e">
        <f>VLOOKUP(A8,ID_Lookup!$A:$A,1,FALSE)</f>
        <v>#N/A</v>
      </c>
    </row>
    <row r="9" spans="1:8" hidden="1" x14ac:dyDescent="0.35">
      <c r="A9" t="s">
        <v>18</v>
      </c>
      <c r="B9">
        <v>2019</v>
      </c>
      <c r="C9" t="s">
        <v>119</v>
      </c>
      <c r="D9" t="s">
        <v>120</v>
      </c>
      <c r="E9" s="4" t="s">
        <v>112</v>
      </c>
      <c r="F9" s="5" t="s">
        <v>256</v>
      </c>
      <c r="G9" t="b">
        <f t="shared" si="0"/>
        <v>1</v>
      </c>
      <c r="H9" t="e">
        <f>VLOOKUP(A9,ID_Lookup!$A:$A,1,FALSE)</f>
        <v>#N/A</v>
      </c>
    </row>
    <row r="10" spans="1:8" x14ac:dyDescent="0.35">
      <c r="A10" t="s">
        <v>19</v>
      </c>
      <c r="B10">
        <v>2019</v>
      </c>
      <c r="C10" t="s">
        <v>20</v>
      </c>
      <c r="D10" t="s">
        <v>121</v>
      </c>
      <c r="E10" s="4" t="s">
        <v>112</v>
      </c>
      <c r="F10" s="5" t="s">
        <v>256</v>
      </c>
      <c r="G10" t="b">
        <f t="shared" si="0"/>
        <v>1</v>
      </c>
      <c r="H10" t="str">
        <f>VLOOKUP(A10,ID_Lookup!$A:$A,1,FALSE)</f>
        <v>J508</v>
      </c>
    </row>
    <row r="11" spans="1:8" x14ac:dyDescent="0.35">
      <c r="A11" t="s">
        <v>21</v>
      </c>
      <c r="B11">
        <v>2019</v>
      </c>
      <c r="C11" t="s">
        <v>22</v>
      </c>
      <c r="D11" t="s">
        <v>122</v>
      </c>
      <c r="E11" s="4" t="s">
        <v>112</v>
      </c>
      <c r="F11" s="5" t="s">
        <v>256</v>
      </c>
      <c r="G11" t="b">
        <f t="shared" si="0"/>
        <v>1</v>
      </c>
      <c r="H11" t="str">
        <f>VLOOKUP(A11,ID_Lookup!$A:$A,1,FALSE)</f>
        <v>J509</v>
      </c>
    </row>
    <row r="12" spans="1:8" x14ac:dyDescent="0.35">
      <c r="A12" t="s">
        <v>23</v>
      </c>
      <c r="B12">
        <v>2019</v>
      </c>
      <c r="C12" t="s">
        <v>123</v>
      </c>
      <c r="D12" t="s">
        <v>124</v>
      </c>
      <c r="E12" s="4" t="s">
        <v>112</v>
      </c>
      <c r="F12" s="5" t="s">
        <v>259</v>
      </c>
      <c r="G12" t="b">
        <f t="shared" si="0"/>
        <v>1</v>
      </c>
      <c r="H12" t="str">
        <f>VLOOKUP(A12,ID_Lookup!$A:$A,1,FALSE)</f>
        <v>J510</v>
      </c>
    </row>
    <row r="13" spans="1:8" x14ac:dyDescent="0.35">
      <c r="A13" t="s">
        <v>24</v>
      </c>
      <c r="B13">
        <v>2019</v>
      </c>
      <c r="C13" t="s">
        <v>25</v>
      </c>
      <c r="D13" t="s">
        <v>26</v>
      </c>
      <c r="E13" s="4" t="s">
        <v>112</v>
      </c>
      <c r="F13" s="5" t="s">
        <v>256</v>
      </c>
      <c r="G13" t="b">
        <f t="shared" si="0"/>
        <v>1</v>
      </c>
      <c r="H13" t="str">
        <f>VLOOKUP(A13,ID_Lookup!$A:$A,1,FALSE)</f>
        <v>J511</v>
      </c>
    </row>
    <row r="14" spans="1:8" x14ac:dyDescent="0.35">
      <c r="A14" t="s">
        <v>27</v>
      </c>
      <c r="B14">
        <v>2019</v>
      </c>
      <c r="C14" t="s">
        <v>28</v>
      </c>
      <c r="D14" t="s">
        <v>29</v>
      </c>
      <c r="E14" s="5"/>
      <c r="F14" s="6"/>
      <c r="G14" t="b">
        <f t="shared" si="0"/>
        <v>0</v>
      </c>
      <c r="H14" t="str">
        <f>VLOOKUP(A14,ID_Lookup!$A:$A,1,FALSE)</f>
        <v>J512</v>
      </c>
    </row>
    <row r="15" spans="1:8" hidden="1" x14ac:dyDescent="0.35">
      <c r="A15" t="s">
        <v>30</v>
      </c>
      <c r="B15">
        <v>2019</v>
      </c>
      <c r="C15" t="s">
        <v>125</v>
      </c>
      <c r="D15" t="s">
        <v>126</v>
      </c>
      <c r="E15" s="4" t="s">
        <v>112</v>
      </c>
      <c r="F15" s="5" t="s">
        <v>256</v>
      </c>
      <c r="G15" t="b">
        <f t="shared" si="0"/>
        <v>1</v>
      </c>
      <c r="H15" t="e">
        <f>VLOOKUP(A15,ID_Lookup!$A:$A,1,FALSE)</f>
        <v>#N/A</v>
      </c>
    </row>
    <row r="16" spans="1:8" x14ac:dyDescent="0.35">
      <c r="A16" t="s">
        <v>31</v>
      </c>
      <c r="B16">
        <v>2019</v>
      </c>
      <c r="C16" t="s">
        <v>127</v>
      </c>
      <c r="D16" t="s">
        <v>128</v>
      </c>
      <c r="E16" s="7" t="s">
        <v>173</v>
      </c>
      <c r="F16" s="5" t="s">
        <v>260</v>
      </c>
      <c r="G16" t="b">
        <f t="shared" si="0"/>
        <v>0</v>
      </c>
      <c r="H16" t="str">
        <f>VLOOKUP(A16,ID_Lookup!$A:$A,1,FALSE)</f>
        <v>J514</v>
      </c>
    </row>
    <row r="17" spans="1:8" x14ac:dyDescent="0.35">
      <c r="A17" t="s">
        <v>32</v>
      </c>
      <c r="B17">
        <v>2019</v>
      </c>
      <c r="C17" t="s">
        <v>33</v>
      </c>
      <c r="D17" t="s">
        <v>129</v>
      </c>
      <c r="E17" s="4" t="s">
        <v>112</v>
      </c>
      <c r="F17" s="5" t="s">
        <v>256</v>
      </c>
      <c r="G17" t="b">
        <f t="shared" si="0"/>
        <v>1</v>
      </c>
      <c r="H17" t="str">
        <f>VLOOKUP(A17,ID_Lookup!$A:$A,1,FALSE)</f>
        <v>J515</v>
      </c>
    </row>
    <row r="18" spans="1:8" hidden="1" x14ac:dyDescent="0.35">
      <c r="A18" t="s">
        <v>34</v>
      </c>
      <c r="B18">
        <v>2019</v>
      </c>
      <c r="C18" t="s">
        <v>35</v>
      </c>
      <c r="D18" t="s">
        <v>130</v>
      </c>
      <c r="E18" s="4" t="s">
        <v>112</v>
      </c>
      <c r="F18" s="5" t="s">
        <v>256</v>
      </c>
      <c r="G18" t="b">
        <f t="shared" si="0"/>
        <v>1</v>
      </c>
      <c r="H18" t="e">
        <f>VLOOKUP(A18,ID_Lookup!$A:$A,1,FALSE)</f>
        <v>#N/A</v>
      </c>
    </row>
    <row r="19" spans="1:8" s="2" customFormat="1" hidden="1" x14ac:dyDescent="0.35">
      <c r="A19" t="s">
        <v>36</v>
      </c>
      <c r="B19">
        <v>2019</v>
      </c>
      <c r="C19" t="s">
        <v>37</v>
      </c>
      <c r="D19" t="s">
        <v>131</v>
      </c>
      <c r="E19" s="4" t="s">
        <v>112</v>
      </c>
      <c r="F19" s="5" t="s">
        <v>256</v>
      </c>
      <c r="G19" s="2" t="b">
        <f t="shared" si="0"/>
        <v>1</v>
      </c>
      <c r="H19" t="e">
        <f>VLOOKUP(A19,ID_Lookup!$A:$A,1,FALSE)</f>
        <v>#N/A</v>
      </c>
    </row>
    <row r="20" spans="1:8" hidden="1" x14ac:dyDescent="0.35">
      <c r="A20" t="s">
        <v>38</v>
      </c>
      <c r="B20">
        <v>2019</v>
      </c>
      <c r="C20" t="s">
        <v>39</v>
      </c>
      <c r="D20" t="s">
        <v>132</v>
      </c>
      <c r="E20" s="4" t="s">
        <v>112</v>
      </c>
      <c r="F20" s="5" t="s">
        <v>257</v>
      </c>
      <c r="G20" t="b">
        <f t="shared" si="0"/>
        <v>1</v>
      </c>
      <c r="H20" t="e">
        <f>VLOOKUP(A20,ID_Lookup!$A:$A,1,FALSE)</f>
        <v>#N/A</v>
      </c>
    </row>
    <row r="21" spans="1:8" hidden="1" x14ac:dyDescent="0.35">
      <c r="A21" t="s">
        <v>40</v>
      </c>
      <c r="B21">
        <v>2019</v>
      </c>
      <c r="C21" t="s">
        <v>41</v>
      </c>
      <c r="D21" t="s">
        <v>133</v>
      </c>
      <c r="E21" s="4" t="s">
        <v>112</v>
      </c>
      <c r="F21" s="5" t="s">
        <v>256</v>
      </c>
      <c r="G21" t="b">
        <f t="shared" si="0"/>
        <v>1</v>
      </c>
      <c r="H21" t="e">
        <f>VLOOKUP(A21,ID_Lookup!$A:$A,1,FALSE)</f>
        <v>#N/A</v>
      </c>
    </row>
    <row r="22" spans="1:8" x14ac:dyDescent="0.35">
      <c r="A22" t="s">
        <v>42</v>
      </c>
      <c r="B22">
        <v>2019</v>
      </c>
      <c r="C22" t="s">
        <v>43</v>
      </c>
      <c r="D22" t="s">
        <v>44</v>
      </c>
      <c r="E22" s="4" t="s">
        <v>112</v>
      </c>
      <c r="F22" s="5" t="s">
        <v>256</v>
      </c>
      <c r="G22" t="b">
        <f t="shared" si="0"/>
        <v>1</v>
      </c>
      <c r="H22" t="str">
        <f>VLOOKUP(A22,ID_Lookup!$A:$A,1,FALSE)</f>
        <v>J520</v>
      </c>
    </row>
    <row r="23" spans="1:8" x14ac:dyDescent="0.35">
      <c r="A23" t="s">
        <v>45</v>
      </c>
      <c r="B23">
        <v>2019</v>
      </c>
      <c r="C23" t="s">
        <v>46</v>
      </c>
      <c r="D23" t="s">
        <v>134</v>
      </c>
      <c r="E23" s="4" t="s">
        <v>112</v>
      </c>
      <c r="F23" s="5" t="s">
        <v>256</v>
      </c>
      <c r="G23" t="b">
        <f t="shared" si="0"/>
        <v>1</v>
      </c>
      <c r="H23" t="str">
        <f>VLOOKUP(A23,ID_Lookup!$A:$A,1,FALSE)</f>
        <v>J521</v>
      </c>
    </row>
    <row r="24" spans="1:8" x14ac:dyDescent="0.35">
      <c r="A24" t="s">
        <v>47</v>
      </c>
      <c r="B24">
        <v>2019</v>
      </c>
      <c r="C24" t="s">
        <v>48</v>
      </c>
      <c r="D24" t="s">
        <v>135</v>
      </c>
      <c r="E24" s="4" t="s">
        <v>112</v>
      </c>
      <c r="F24" s="5" t="s">
        <v>256</v>
      </c>
      <c r="G24" t="b">
        <f t="shared" si="0"/>
        <v>1</v>
      </c>
      <c r="H24" t="str">
        <f>VLOOKUP(A24,ID_Lookup!$A:$A,1,FALSE)</f>
        <v>J522</v>
      </c>
    </row>
    <row r="25" spans="1:8" x14ac:dyDescent="0.35">
      <c r="A25" t="s">
        <v>49</v>
      </c>
      <c r="B25">
        <v>2019</v>
      </c>
      <c r="C25" t="s">
        <v>136</v>
      </c>
      <c r="D25" t="s">
        <v>137</v>
      </c>
      <c r="E25" s="4" t="s">
        <v>112</v>
      </c>
      <c r="F25" s="5" t="s">
        <v>261</v>
      </c>
      <c r="G25" t="b">
        <f t="shared" si="0"/>
        <v>1</v>
      </c>
      <c r="H25" t="str">
        <f>VLOOKUP(A25,ID_Lookup!$A:$A,1,FALSE)</f>
        <v>J523</v>
      </c>
    </row>
    <row r="26" spans="1:8" x14ac:dyDescent="0.35">
      <c r="A26" t="s">
        <v>50</v>
      </c>
      <c r="B26">
        <v>2019</v>
      </c>
      <c r="C26" t="s">
        <v>138</v>
      </c>
      <c r="D26" t="s">
        <v>139</v>
      </c>
      <c r="E26" s="4" t="s">
        <v>112</v>
      </c>
      <c r="F26" s="5" t="s">
        <v>258</v>
      </c>
      <c r="G26" t="b">
        <f t="shared" si="0"/>
        <v>1</v>
      </c>
      <c r="H26" t="str">
        <f>VLOOKUP(A26,ID_Lookup!$A:$A,1,FALSE)</f>
        <v>J524</v>
      </c>
    </row>
    <row r="27" spans="1:8" hidden="1" x14ac:dyDescent="0.35">
      <c r="A27" t="s">
        <v>51</v>
      </c>
      <c r="B27">
        <v>2019</v>
      </c>
      <c r="C27" t="s">
        <v>52</v>
      </c>
      <c r="D27" t="s">
        <v>53</v>
      </c>
      <c r="E27" s="7" t="s">
        <v>173</v>
      </c>
      <c r="F27" s="5" t="s">
        <v>262</v>
      </c>
      <c r="G27" t="b">
        <f t="shared" si="0"/>
        <v>0</v>
      </c>
      <c r="H27" t="e">
        <f>VLOOKUP(A27,ID_Lookup!$A:$A,1,FALSE)</f>
        <v>#N/A</v>
      </c>
    </row>
    <row r="28" spans="1:8" hidden="1" x14ac:dyDescent="0.35">
      <c r="A28" t="s">
        <v>54</v>
      </c>
      <c r="B28">
        <v>2019</v>
      </c>
      <c r="C28" t="s">
        <v>55</v>
      </c>
      <c r="D28" t="s">
        <v>56</v>
      </c>
      <c r="E28" s="7" t="s">
        <v>173</v>
      </c>
      <c r="F28" s="5" t="s">
        <v>263</v>
      </c>
      <c r="G28" t="b">
        <f t="shared" si="0"/>
        <v>0</v>
      </c>
      <c r="H28" t="e">
        <f>VLOOKUP(A28,ID_Lookup!$A:$A,1,FALSE)</f>
        <v>#N/A</v>
      </c>
    </row>
    <row r="29" spans="1:8" x14ac:dyDescent="0.35">
      <c r="A29" t="s">
        <v>57</v>
      </c>
      <c r="B29">
        <v>2019</v>
      </c>
      <c r="C29" t="s">
        <v>58</v>
      </c>
      <c r="D29" t="s">
        <v>140</v>
      </c>
      <c r="E29" s="4" t="s">
        <v>112</v>
      </c>
      <c r="F29" s="5" t="s">
        <v>258</v>
      </c>
      <c r="G29" t="b">
        <f t="shared" si="0"/>
        <v>1</v>
      </c>
      <c r="H29" t="str">
        <f>VLOOKUP(A29,ID_Lookup!$A:$A,1,FALSE)</f>
        <v>J527</v>
      </c>
    </row>
    <row r="30" spans="1:8" hidden="1" x14ac:dyDescent="0.35">
      <c r="A30" t="s">
        <v>59</v>
      </c>
      <c r="B30">
        <v>2019</v>
      </c>
      <c r="C30" t="s">
        <v>141</v>
      </c>
      <c r="D30" t="s">
        <v>142</v>
      </c>
      <c r="E30" s="4" t="s">
        <v>112</v>
      </c>
      <c r="F30" s="5" t="s">
        <v>256</v>
      </c>
      <c r="G30" t="b">
        <f t="shared" si="0"/>
        <v>1</v>
      </c>
      <c r="H30" t="e">
        <f>VLOOKUP(A30,ID_Lookup!$A:$A,1,FALSE)</f>
        <v>#N/A</v>
      </c>
    </row>
    <row r="31" spans="1:8" x14ac:dyDescent="0.35">
      <c r="A31" t="s">
        <v>60</v>
      </c>
      <c r="B31">
        <v>2019</v>
      </c>
      <c r="C31" t="s">
        <v>61</v>
      </c>
      <c r="D31" t="s">
        <v>143</v>
      </c>
      <c r="E31" s="4" t="s">
        <v>112</v>
      </c>
      <c r="F31" s="5" t="s">
        <v>256</v>
      </c>
      <c r="G31" t="b">
        <f t="shared" si="0"/>
        <v>1</v>
      </c>
      <c r="H31" t="str">
        <f>VLOOKUP(A31,ID_Lookup!$A:$A,1,FALSE)</f>
        <v>J529</v>
      </c>
    </row>
    <row r="32" spans="1:8" x14ac:dyDescent="0.35">
      <c r="A32" t="s">
        <v>62</v>
      </c>
      <c r="B32">
        <v>2019</v>
      </c>
      <c r="C32" t="s">
        <v>63</v>
      </c>
      <c r="D32" t="s">
        <v>144</v>
      </c>
      <c r="E32" s="4" t="s">
        <v>112</v>
      </c>
      <c r="F32" s="5" t="s">
        <v>258</v>
      </c>
      <c r="G32" t="b">
        <f t="shared" si="0"/>
        <v>1</v>
      </c>
      <c r="H32" t="str">
        <f>VLOOKUP(A32,ID_Lookup!$A:$A,1,FALSE)</f>
        <v>J530</v>
      </c>
    </row>
    <row r="33" spans="1:8" hidden="1" x14ac:dyDescent="0.35">
      <c r="A33" t="s">
        <v>64</v>
      </c>
      <c r="B33">
        <v>2019</v>
      </c>
      <c r="C33" t="s">
        <v>65</v>
      </c>
      <c r="D33" t="s">
        <v>145</v>
      </c>
      <c r="E33" s="7" t="s">
        <v>173</v>
      </c>
      <c r="F33" s="5" t="s">
        <v>262</v>
      </c>
      <c r="G33" t="b">
        <f t="shared" si="0"/>
        <v>0</v>
      </c>
      <c r="H33" t="e">
        <f>VLOOKUP(A33,ID_Lookup!$A:$A,1,FALSE)</f>
        <v>#N/A</v>
      </c>
    </row>
    <row r="34" spans="1:8" hidden="1" x14ac:dyDescent="0.35">
      <c r="A34" t="s">
        <v>66</v>
      </c>
      <c r="B34">
        <v>2019</v>
      </c>
      <c r="C34" t="s">
        <v>67</v>
      </c>
      <c r="D34" t="s">
        <v>68</v>
      </c>
      <c r="E34" s="7" t="s">
        <v>173</v>
      </c>
      <c r="F34" s="5" t="s">
        <v>264</v>
      </c>
      <c r="G34" t="b">
        <f t="shared" si="0"/>
        <v>0</v>
      </c>
      <c r="H34" t="e">
        <f>VLOOKUP(A34,ID_Lookup!$A:$A,1,FALSE)</f>
        <v>#N/A</v>
      </c>
    </row>
    <row r="35" spans="1:8" hidden="1" x14ac:dyDescent="0.35">
      <c r="A35" t="s">
        <v>69</v>
      </c>
      <c r="B35">
        <v>2019</v>
      </c>
      <c r="C35" t="s">
        <v>70</v>
      </c>
      <c r="D35" t="s">
        <v>146</v>
      </c>
      <c r="E35" s="7" t="s">
        <v>173</v>
      </c>
      <c r="F35" s="5" t="s">
        <v>254</v>
      </c>
      <c r="G35" t="b">
        <f t="shared" si="0"/>
        <v>0</v>
      </c>
      <c r="H35" t="e">
        <f>VLOOKUP(A35,ID_Lookup!$A:$A,1,FALSE)</f>
        <v>#N/A</v>
      </c>
    </row>
    <row r="36" spans="1:8" ht="409.5" x14ac:dyDescent="0.35">
      <c r="A36" t="s">
        <v>71</v>
      </c>
      <c r="B36">
        <v>2019</v>
      </c>
      <c r="C36" t="s">
        <v>72</v>
      </c>
      <c r="D36" s="1" t="s">
        <v>73</v>
      </c>
      <c r="E36" s="4" t="s">
        <v>112</v>
      </c>
      <c r="F36" s="5" t="s">
        <v>258</v>
      </c>
      <c r="G36" t="b">
        <f t="shared" si="0"/>
        <v>1</v>
      </c>
      <c r="H36" t="str">
        <f>VLOOKUP(A36,ID_Lookup!$A:$A,1,FALSE)</f>
        <v>J534</v>
      </c>
    </row>
    <row r="37" spans="1:8" x14ac:dyDescent="0.35">
      <c r="A37" t="s">
        <v>74</v>
      </c>
      <c r="B37">
        <v>2019</v>
      </c>
      <c r="C37" t="s">
        <v>75</v>
      </c>
      <c r="D37" t="s">
        <v>147</v>
      </c>
      <c r="E37" s="4" t="s">
        <v>112</v>
      </c>
      <c r="F37" s="5" t="s">
        <v>258</v>
      </c>
      <c r="G37" t="b">
        <f t="shared" si="0"/>
        <v>1</v>
      </c>
      <c r="H37" t="str">
        <f>VLOOKUP(A37,ID_Lookup!$A:$A,1,FALSE)</f>
        <v>J535</v>
      </c>
    </row>
    <row r="38" spans="1:8" x14ac:dyDescent="0.35">
      <c r="A38" t="s">
        <v>76</v>
      </c>
      <c r="B38">
        <v>2019</v>
      </c>
      <c r="C38" t="s">
        <v>77</v>
      </c>
      <c r="D38" t="s">
        <v>148</v>
      </c>
      <c r="E38" s="4" t="s">
        <v>112</v>
      </c>
      <c r="F38" s="5" t="s">
        <v>256</v>
      </c>
      <c r="G38" t="b">
        <f t="shared" si="0"/>
        <v>1</v>
      </c>
      <c r="H38" t="str">
        <f>VLOOKUP(A38,ID_Lookup!$A:$A,1,FALSE)</f>
        <v>J536</v>
      </c>
    </row>
    <row r="39" spans="1:8" x14ac:dyDescent="0.35">
      <c r="A39" t="s">
        <v>78</v>
      </c>
      <c r="B39">
        <v>2019</v>
      </c>
      <c r="C39" t="s">
        <v>79</v>
      </c>
      <c r="D39" t="s">
        <v>149</v>
      </c>
      <c r="E39" s="4" t="s">
        <v>112</v>
      </c>
      <c r="F39" s="5" t="s">
        <v>256</v>
      </c>
      <c r="G39" t="b">
        <f t="shared" si="0"/>
        <v>1</v>
      </c>
      <c r="H39" t="str">
        <f>VLOOKUP(A39,ID_Lookup!$A:$A,1,FALSE)</f>
        <v>J537</v>
      </c>
    </row>
    <row r="40" spans="1:8" hidden="1" x14ac:dyDescent="0.35">
      <c r="A40" t="s">
        <v>80</v>
      </c>
      <c r="B40">
        <v>2019</v>
      </c>
      <c r="C40" t="s">
        <v>81</v>
      </c>
      <c r="D40" t="s">
        <v>150</v>
      </c>
      <c r="E40" s="7" t="s">
        <v>173</v>
      </c>
      <c r="F40" s="5" t="s">
        <v>265</v>
      </c>
      <c r="G40" t="b">
        <f t="shared" si="0"/>
        <v>0</v>
      </c>
      <c r="H40" t="e">
        <f>VLOOKUP(A40,ID_Lookup!$A:$A,1,FALSE)</f>
        <v>#N/A</v>
      </c>
    </row>
    <row r="41" spans="1:8" hidden="1" x14ac:dyDescent="0.35">
      <c r="A41" t="s">
        <v>82</v>
      </c>
      <c r="B41">
        <v>2019</v>
      </c>
      <c r="C41" t="s">
        <v>151</v>
      </c>
      <c r="D41" t="s">
        <v>152</v>
      </c>
      <c r="E41" s="7" t="s">
        <v>173</v>
      </c>
      <c r="F41" s="5" t="s">
        <v>265</v>
      </c>
      <c r="G41" t="b">
        <f t="shared" si="0"/>
        <v>0</v>
      </c>
      <c r="H41" t="e">
        <f>VLOOKUP(A41,ID_Lookup!$A:$A,1,FALSE)</f>
        <v>#N/A</v>
      </c>
    </row>
    <row r="42" spans="1:8" x14ac:dyDescent="0.35">
      <c r="A42" t="s">
        <v>83</v>
      </c>
      <c r="B42">
        <v>2019</v>
      </c>
      <c r="C42" t="s">
        <v>84</v>
      </c>
      <c r="D42" t="s">
        <v>153</v>
      </c>
      <c r="E42" s="7" t="s">
        <v>173</v>
      </c>
      <c r="F42" s="5" t="s">
        <v>265</v>
      </c>
      <c r="G42" t="b">
        <f t="shared" si="0"/>
        <v>0</v>
      </c>
      <c r="H42" t="str">
        <f>VLOOKUP(A42,ID_Lookup!$A:$A,1,FALSE)</f>
        <v>J540</v>
      </c>
    </row>
    <row r="43" spans="1:8" ht="409.5" x14ac:dyDescent="0.35">
      <c r="A43" t="s">
        <v>85</v>
      </c>
      <c r="B43">
        <v>2019</v>
      </c>
      <c r="C43" t="s">
        <v>86</v>
      </c>
      <c r="D43" s="1" t="s">
        <v>87</v>
      </c>
      <c r="E43" s="4" t="s">
        <v>112</v>
      </c>
      <c r="F43" s="5" t="s">
        <v>256</v>
      </c>
      <c r="G43" t="b">
        <f t="shared" si="0"/>
        <v>1</v>
      </c>
      <c r="H43" t="str">
        <f>VLOOKUP(A43,ID_Lookup!$A:$A,1,FALSE)</f>
        <v>J541</v>
      </c>
    </row>
    <row r="44" spans="1:8" hidden="1" x14ac:dyDescent="0.35">
      <c r="A44" t="s">
        <v>88</v>
      </c>
      <c r="B44">
        <v>2019</v>
      </c>
      <c r="C44" t="s">
        <v>154</v>
      </c>
      <c r="D44" t="s">
        <v>155</v>
      </c>
      <c r="E44" s="4" t="s">
        <v>112</v>
      </c>
      <c r="F44" s="5" t="s">
        <v>258</v>
      </c>
      <c r="G44" t="b">
        <f t="shared" si="0"/>
        <v>1</v>
      </c>
      <c r="H44" t="e">
        <f>VLOOKUP(A44,ID_Lookup!$A:$A,1,FALSE)</f>
        <v>#N/A</v>
      </c>
    </row>
    <row r="45" spans="1:8" hidden="1" x14ac:dyDescent="0.35">
      <c r="A45" t="s">
        <v>89</v>
      </c>
      <c r="B45">
        <v>2019</v>
      </c>
      <c r="C45" t="s">
        <v>90</v>
      </c>
      <c r="D45" t="s">
        <v>156</v>
      </c>
      <c r="E45" s="7" t="s">
        <v>173</v>
      </c>
      <c r="F45" s="5" t="s">
        <v>266</v>
      </c>
      <c r="G45" t="b">
        <f t="shared" si="0"/>
        <v>0</v>
      </c>
      <c r="H45" t="e">
        <f>VLOOKUP(A45,ID_Lookup!$A:$A,1,FALSE)</f>
        <v>#N/A</v>
      </c>
    </row>
    <row r="46" spans="1:8" x14ac:dyDescent="0.35">
      <c r="A46" t="s">
        <v>91</v>
      </c>
      <c r="B46">
        <v>2019</v>
      </c>
      <c r="C46" t="s">
        <v>92</v>
      </c>
      <c r="D46" t="s">
        <v>93</v>
      </c>
      <c r="E46" s="7" t="s">
        <v>173</v>
      </c>
      <c r="F46" s="5" t="s">
        <v>267</v>
      </c>
      <c r="G46" t="b">
        <f t="shared" si="0"/>
        <v>0</v>
      </c>
      <c r="H46" t="str">
        <f>VLOOKUP(A46,ID_Lookup!$A:$A,1,FALSE)</f>
        <v>J544</v>
      </c>
    </row>
    <row r="47" spans="1:8" x14ac:dyDescent="0.35">
      <c r="A47" t="s">
        <v>94</v>
      </c>
      <c r="B47">
        <v>2019</v>
      </c>
      <c r="C47" t="s">
        <v>95</v>
      </c>
      <c r="D47" t="s">
        <v>96</v>
      </c>
      <c r="E47" s="4" t="s">
        <v>112</v>
      </c>
      <c r="F47" s="4" t="s">
        <v>255</v>
      </c>
      <c r="G47" t="b">
        <f t="shared" si="0"/>
        <v>1</v>
      </c>
      <c r="H47" t="str">
        <f>VLOOKUP(A47,ID_Lookup!$A:$A,1,FALSE)</f>
        <v>J545</v>
      </c>
    </row>
    <row r="48" spans="1:8" hidden="1" x14ac:dyDescent="0.35">
      <c r="A48" t="s">
        <v>97</v>
      </c>
      <c r="B48">
        <v>2019</v>
      </c>
      <c r="C48" t="s">
        <v>98</v>
      </c>
      <c r="D48" t="s">
        <v>157</v>
      </c>
      <c r="E48" s="7" t="s">
        <v>173</v>
      </c>
      <c r="F48" s="5" t="s">
        <v>266</v>
      </c>
      <c r="G48" t="b">
        <f t="shared" si="0"/>
        <v>0</v>
      </c>
      <c r="H48" t="e">
        <f>VLOOKUP(A48,ID_Lookup!$A:$A,1,FALSE)</f>
        <v>#N/A</v>
      </c>
    </row>
    <row r="49" spans="1:8" x14ac:dyDescent="0.35">
      <c r="A49" t="s">
        <v>99</v>
      </c>
      <c r="B49">
        <v>2019</v>
      </c>
      <c r="C49" t="s">
        <v>100</v>
      </c>
      <c r="D49" t="s">
        <v>101</v>
      </c>
      <c r="E49" s="4" t="s">
        <v>112</v>
      </c>
      <c r="F49" s="5" t="s">
        <v>256</v>
      </c>
      <c r="G49" t="b">
        <f t="shared" si="0"/>
        <v>1</v>
      </c>
      <c r="H49" t="str">
        <f>VLOOKUP(A49,ID_Lookup!$A:$A,1,FALSE)</f>
        <v>J547</v>
      </c>
    </row>
    <row r="50" spans="1:8" hidden="1" x14ac:dyDescent="0.35">
      <c r="A50" t="s">
        <v>102</v>
      </c>
      <c r="B50">
        <v>2019</v>
      </c>
      <c r="C50" t="s">
        <v>158</v>
      </c>
      <c r="D50" t="s">
        <v>159</v>
      </c>
      <c r="E50" s="7" t="s">
        <v>173</v>
      </c>
      <c r="F50" s="5" t="s">
        <v>265</v>
      </c>
      <c r="G50" t="b">
        <f t="shared" si="0"/>
        <v>0</v>
      </c>
      <c r="H50" t="e">
        <f>VLOOKUP(A50,ID_Lookup!$A:$A,1,FALSE)</f>
        <v>#N/A</v>
      </c>
    </row>
    <row r="51" spans="1:8" x14ac:dyDescent="0.35">
      <c r="A51" t="s">
        <v>103</v>
      </c>
      <c r="B51">
        <v>2019</v>
      </c>
      <c r="C51" t="s">
        <v>104</v>
      </c>
      <c r="D51" t="s">
        <v>105</v>
      </c>
      <c r="E51" s="4" t="s">
        <v>112</v>
      </c>
      <c r="F51" s="5" t="s">
        <v>256</v>
      </c>
      <c r="G51" t="b">
        <f t="shared" si="0"/>
        <v>1</v>
      </c>
      <c r="H51" t="str">
        <f>VLOOKUP(A51,ID_Lookup!$A:$A,1,FALSE)</f>
        <v>J549</v>
      </c>
    </row>
    <row r="52" spans="1:8" x14ac:dyDescent="0.35">
      <c r="A52" t="s">
        <v>106</v>
      </c>
      <c r="B52">
        <v>2019</v>
      </c>
      <c r="C52" t="s">
        <v>107</v>
      </c>
      <c r="D52" t="s">
        <v>160</v>
      </c>
      <c r="E52" s="4" t="s">
        <v>112</v>
      </c>
      <c r="F52" s="5" t="s">
        <v>268</v>
      </c>
      <c r="G52" t="b">
        <f t="shared" si="0"/>
        <v>1</v>
      </c>
      <c r="H52" t="str">
        <f>VLOOKUP(A52,ID_Lookup!$A:$A,1,FALSE)</f>
        <v>J550</v>
      </c>
    </row>
  </sheetData>
  <autoFilter ref="A1:H52" xr:uid="{5D3E4052-2545-45A0-857B-B79114EE9774}">
    <filterColumn colId="7">
      <filters>
        <filter val="J502"/>
        <filter val="J503"/>
        <filter val="J504"/>
        <filter val="J505"/>
        <filter val="J508"/>
        <filter val="J509"/>
        <filter val="J510"/>
        <filter val="J511"/>
        <filter val="J512"/>
        <filter val="J514"/>
        <filter val="J515"/>
        <filter val="J520"/>
        <filter val="J521"/>
        <filter val="J522"/>
        <filter val="J523"/>
        <filter val="J524"/>
        <filter val="J527"/>
        <filter val="J529"/>
        <filter val="J530"/>
        <filter val="J534"/>
        <filter val="J535"/>
        <filter val="J536"/>
        <filter val="J537"/>
        <filter val="J540"/>
        <filter val="J541"/>
        <filter val="J544"/>
        <filter val="J545"/>
        <filter val="J547"/>
        <filter val="J549"/>
        <filter val="J550"/>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N31"/>
  <sheetViews>
    <sheetView workbookViewId="0">
      <selection activeCell="A7" sqref="A1:N31"/>
    </sheetView>
  </sheetViews>
  <sheetFormatPr defaultRowHeight="14.5" x14ac:dyDescent="0.35"/>
  <sheetData>
    <row r="1" spans="1:14" ht="15" thickBot="1" x14ac:dyDescent="0.4">
      <c r="A1" t="s">
        <v>0</v>
      </c>
      <c r="B1" t="s">
        <v>1</v>
      </c>
      <c r="C1" t="s">
        <v>2</v>
      </c>
      <c r="D1" t="s">
        <v>3</v>
      </c>
      <c r="E1" t="s">
        <v>201</v>
      </c>
      <c r="F1" t="s">
        <v>202</v>
      </c>
      <c r="G1" t="s">
        <v>203</v>
      </c>
      <c r="H1" t="s">
        <v>204</v>
      </c>
      <c r="I1" t="s">
        <v>205</v>
      </c>
      <c r="J1" t="s">
        <v>206</v>
      </c>
      <c r="K1" t="s">
        <v>207</v>
      </c>
      <c r="L1" s="8" t="s">
        <v>109</v>
      </c>
      <c r="M1" s="9" t="s">
        <v>110</v>
      </c>
      <c r="N1" t="s">
        <v>270</v>
      </c>
    </row>
    <row r="2" spans="1:14" hidden="1" x14ac:dyDescent="0.35">
      <c r="A2" t="s">
        <v>8</v>
      </c>
      <c r="B2">
        <v>2019</v>
      </c>
      <c r="C2" t="s">
        <v>9</v>
      </c>
      <c r="D2" t="s">
        <v>175</v>
      </c>
      <c r="E2" t="b">
        <v>1</v>
      </c>
      <c r="F2" t="s">
        <v>208</v>
      </c>
      <c r="G2" t="b">
        <v>1</v>
      </c>
      <c r="H2" t="s">
        <v>209</v>
      </c>
      <c r="I2" t="b">
        <v>1</v>
      </c>
      <c r="J2" t="s">
        <v>210</v>
      </c>
      <c r="K2">
        <v>1</v>
      </c>
      <c r="L2" s="4" t="s">
        <v>112</v>
      </c>
      <c r="M2" s="5" t="s">
        <v>256</v>
      </c>
      <c r="N2" t="b">
        <v>1</v>
      </c>
    </row>
    <row r="3" spans="1:14" hidden="1" x14ac:dyDescent="0.35">
      <c r="A3" t="s">
        <v>10</v>
      </c>
      <c r="B3">
        <v>2019</v>
      </c>
      <c r="C3" t="s">
        <v>11</v>
      </c>
      <c r="D3" t="s">
        <v>186</v>
      </c>
      <c r="E3" t="b">
        <v>1</v>
      </c>
      <c r="F3" t="s">
        <v>211</v>
      </c>
      <c r="G3" t="b">
        <v>1</v>
      </c>
      <c r="H3" t="s">
        <v>212</v>
      </c>
      <c r="I3" t="b">
        <v>1</v>
      </c>
      <c r="J3" t="s">
        <v>213</v>
      </c>
      <c r="K3">
        <v>0.9</v>
      </c>
      <c r="L3" s="4" t="s">
        <v>112</v>
      </c>
      <c r="M3" s="5" t="s">
        <v>256</v>
      </c>
      <c r="N3" t="b">
        <v>1</v>
      </c>
    </row>
    <row r="4" spans="1:14" hidden="1" x14ac:dyDescent="0.35">
      <c r="A4" t="s">
        <v>12</v>
      </c>
      <c r="B4">
        <v>2019</v>
      </c>
      <c r="C4" t="s">
        <v>13</v>
      </c>
      <c r="D4" t="s">
        <v>176</v>
      </c>
      <c r="E4" t="b">
        <v>1</v>
      </c>
      <c r="F4" t="s">
        <v>214</v>
      </c>
      <c r="G4" t="b">
        <v>1</v>
      </c>
      <c r="H4" t="s">
        <v>215</v>
      </c>
      <c r="I4" t="b">
        <v>1</v>
      </c>
      <c r="J4" t="s">
        <v>216</v>
      </c>
      <c r="K4">
        <v>0.9</v>
      </c>
      <c r="L4" s="4" t="s">
        <v>112</v>
      </c>
      <c r="M4" s="5" t="s">
        <v>256</v>
      </c>
      <c r="N4" t="b">
        <v>1</v>
      </c>
    </row>
    <row r="5" spans="1:14" hidden="1" x14ac:dyDescent="0.35">
      <c r="A5" t="s">
        <v>14</v>
      </c>
      <c r="B5">
        <v>2019</v>
      </c>
      <c r="C5" t="s">
        <v>15</v>
      </c>
      <c r="D5" t="s">
        <v>187</v>
      </c>
      <c r="E5" t="b">
        <v>1</v>
      </c>
      <c r="F5" t="s">
        <v>217</v>
      </c>
      <c r="G5" t="b">
        <v>1</v>
      </c>
      <c r="H5" t="s">
        <v>218</v>
      </c>
      <c r="I5" t="b">
        <v>1</v>
      </c>
      <c r="J5" t="s">
        <v>219</v>
      </c>
      <c r="K5">
        <v>0.9</v>
      </c>
      <c r="L5" s="4" t="s">
        <v>112</v>
      </c>
      <c r="M5" s="5" t="s">
        <v>256</v>
      </c>
      <c r="N5" t="b">
        <v>1</v>
      </c>
    </row>
    <row r="6" spans="1:14" hidden="1" x14ac:dyDescent="0.35">
      <c r="A6" t="s">
        <v>19</v>
      </c>
      <c r="B6">
        <v>2019</v>
      </c>
      <c r="C6" t="s">
        <v>20</v>
      </c>
      <c r="D6" t="s">
        <v>177</v>
      </c>
      <c r="E6" t="b">
        <v>1</v>
      </c>
      <c r="F6" t="s">
        <v>220</v>
      </c>
      <c r="G6" t="b">
        <v>1</v>
      </c>
      <c r="H6" t="s">
        <v>212</v>
      </c>
      <c r="I6" t="b">
        <v>1</v>
      </c>
      <c r="J6" t="s">
        <v>210</v>
      </c>
      <c r="K6">
        <v>1</v>
      </c>
      <c r="L6" s="4" t="s">
        <v>112</v>
      </c>
      <c r="M6" s="5" t="s">
        <v>256</v>
      </c>
      <c r="N6" t="b">
        <v>1</v>
      </c>
    </row>
    <row r="7" spans="1:14" x14ac:dyDescent="0.35">
      <c r="A7" t="s">
        <v>21</v>
      </c>
      <c r="B7">
        <v>2019</v>
      </c>
      <c r="C7" t="s">
        <v>22</v>
      </c>
      <c r="D7" t="s">
        <v>178</v>
      </c>
      <c r="E7" t="b">
        <v>0</v>
      </c>
      <c r="F7" t="s">
        <v>221</v>
      </c>
      <c r="G7" t="b">
        <v>0</v>
      </c>
      <c r="H7" t="s">
        <v>188</v>
      </c>
      <c r="I7" t="b">
        <v>1</v>
      </c>
      <c r="J7" t="s">
        <v>222</v>
      </c>
      <c r="K7">
        <v>0.9</v>
      </c>
      <c r="L7" s="4" t="s">
        <v>112</v>
      </c>
      <c r="M7" s="5" t="s">
        <v>256</v>
      </c>
      <c r="N7" t="b">
        <v>1</v>
      </c>
    </row>
    <row r="8" spans="1:14" hidden="1" x14ac:dyDescent="0.35">
      <c r="A8" t="s">
        <v>23</v>
      </c>
      <c r="B8">
        <v>2019</v>
      </c>
      <c r="C8" t="s">
        <v>189</v>
      </c>
      <c r="D8" t="s">
        <v>190</v>
      </c>
      <c r="E8" t="b">
        <v>1</v>
      </c>
      <c r="F8" t="s">
        <v>223</v>
      </c>
      <c r="G8" t="b">
        <v>1</v>
      </c>
      <c r="H8" t="s">
        <v>215</v>
      </c>
      <c r="I8" t="b">
        <v>1</v>
      </c>
      <c r="J8" t="s">
        <v>224</v>
      </c>
      <c r="K8">
        <v>0.9</v>
      </c>
      <c r="L8" s="4" t="s">
        <v>112</v>
      </c>
      <c r="M8" s="5" t="s">
        <v>259</v>
      </c>
      <c r="N8" t="b">
        <v>1</v>
      </c>
    </row>
    <row r="9" spans="1:14" x14ac:dyDescent="0.35">
      <c r="A9" t="s">
        <v>24</v>
      </c>
      <c r="B9">
        <v>2019</v>
      </c>
      <c r="C9" t="s">
        <v>25</v>
      </c>
      <c r="D9" t="s">
        <v>26</v>
      </c>
      <c r="E9" t="b">
        <v>0</v>
      </c>
      <c r="F9" t="s">
        <v>225</v>
      </c>
      <c r="G9" t="b">
        <v>0</v>
      </c>
      <c r="H9" t="s">
        <v>188</v>
      </c>
      <c r="I9" t="b">
        <v>1</v>
      </c>
      <c r="J9" t="s">
        <v>224</v>
      </c>
      <c r="K9">
        <v>0.9</v>
      </c>
      <c r="L9" s="4" t="s">
        <v>112</v>
      </c>
      <c r="M9" s="5" t="s">
        <v>256</v>
      </c>
      <c r="N9" t="b">
        <v>1</v>
      </c>
    </row>
    <row r="10" spans="1:14" hidden="1" x14ac:dyDescent="0.35">
      <c r="A10" t="s">
        <v>27</v>
      </c>
      <c r="B10">
        <v>2019</v>
      </c>
      <c r="C10" t="s">
        <v>28</v>
      </c>
      <c r="D10" t="s">
        <v>29</v>
      </c>
      <c r="E10" t="b">
        <v>0</v>
      </c>
      <c r="F10" t="s">
        <v>225</v>
      </c>
      <c r="G10" t="b">
        <v>0</v>
      </c>
      <c r="H10" t="s">
        <v>188</v>
      </c>
      <c r="I10" t="b">
        <v>1</v>
      </c>
      <c r="J10" t="s">
        <v>226</v>
      </c>
      <c r="K10">
        <v>0.9</v>
      </c>
      <c r="L10" s="5"/>
      <c r="M10" s="6"/>
      <c r="N10" t="b">
        <v>0</v>
      </c>
    </row>
    <row r="11" spans="1:14" hidden="1" x14ac:dyDescent="0.35">
      <c r="A11" t="s">
        <v>31</v>
      </c>
      <c r="B11">
        <v>2019</v>
      </c>
      <c r="C11" t="s">
        <v>179</v>
      </c>
      <c r="D11" t="s">
        <v>180</v>
      </c>
      <c r="E11" t="b">
        <v>0</v>
      </c>
      <c r="F11" t="s">
        <v>227</v>
      </c>
      <c r="G11" t="b">
        <v>1</v>
      </c>
      <c r="H11" t="s">
        <v>218</v>
      </c>
      <c r="I11" t="b">
        <v>0</v>
      </c>
      <c r="J11" t="s">
        <v>213</v>
      </c>
      <c r="K11">
        <v>0.9</v>
      </c>
      <c r="L11" s="7" t="s">
        <v>173</v>
      </c>
      <c r="M11" s="5" t="s">
        <v>260</v>
      </c>
      <c r="N11" t="b">
        <v>0</v>
      </c>
    </row>
    <row r="12" spans="1:14" x14ac:dyDescent="0.35">
      <c r="A12" t="s">
        <v>32</v>
      </c>
      <c r="B12">
        <v>2019</v>
      </c>
      <c r="C12" t="s">
        <v>33</v>
      </c>
      <c r="D12" t="s">
        <v>181</v>
      </c>
      <c r="E12" t="b">
        <v>0</v>
      </c>
      <c r="F12" t="s">
        <v>228</v>
      </c>
      <c r="G12" t="b">
        <v>0</v>
      </c>
      <c r="H12" t="s">
        <v>188</v>
      </c>
      <c r="I12" t="b">
        <v>1</v>
      </c>
      <c r="J12" t="s">
        <v>222</v>
      </c>
      <c r="K12">
        <v>0.8</v>
      </c>
      <c r="L12" s="4" t="s">
        <v>112</v>
      </c>
      <c r="M12" s="5" t="s">
        <v>256</v>
      </c>
      <c r="N12" t="b">
        <v>1</v>
      </c>
    </row>
    <row r="13" spans="1:14" hidden="1" x14ac:dyDescent="0.35">
      <c r="A13" t="s">
        <v>42</v>
      </c>
      <c r="B13">
        <v>2019</v>
      </c>
      <c r="C13" t="s">
        <v>43</v>
      </c>
      <c r="D13" t="s">
        <v>44</v>
      </c>
      <c r="E13" t="b">
        <v>1</v>
      </c>
      <c r="F13" t="s">
        <v>229</v>
      </c>
      <c r="G13" t="b">
        <v>1</v>
      </c>
      <c r="H13" t="s">
        <v>215</v>
      </c>
      <c r="I13" t="b">
        <v>1</v>
      </c>
      <c r="J13" t="s">
        <v>222</v>
      </c>
      <c r="K13">
        <v>0.9</v>
      </c>
      <c r="L13" s="4" t="s">
        <v>112</v>
      </c>
      <c r="M13" s="5" t="s">
        <v>256</v>
      </c>
      <c r="N13" t="b">
        <v>1</v>
      </c>
    </row>
    <row r="14" spans="1:14" x14ac:dyDescent="0.35">
      <c r="A14" t="s">
        <v>45</v>
      </c>
      <c r="B14">
        <v>2019</v>
      </c>
      <c r="C14" t="s">
        <v>46</v>
      </c>
      <c r="D14" t="s">
        <v>182</v>
      </c>
      <c r="E14" t="b">
        <v>0</v>
      </c>
      <c r="F14" t="s">
        <v>230</v>
      </c>
      <c r="G14" t="b">
        <v>0</v>
      </c>
      <c r="H14" t="s">
        <v>188</v>
      </c>
      <c r="I14" t="b">
        <v>1</v>
      </c>
      <c r="J14" t="s">
        <v>222</v>
      </c>
      <c r="K14">
        <v>0.9</v>
      </c>
      <c r="L14" s="4" t="s">
        <v>112</v>
      </c>
      <c r="M14" s="5" t="s">
        <v>256</v>
      </c>
      <c r="N14" t="b">
        <v>1</v>
      </c>
    </row>
    <row r="15" spans="1:14" hidden="1" x14ac:dyDescent="0.35">
      <c r="A15" t="s">
        <v>47</v>
      </c>
      <c r="B15">
        <v>2019</v>
      </c>
      <c r="C15" t="s">
        <v>48</v>
      </c>
      <c r="D15" t="s">
        <v>183</v>
      </c>
      <c r="E15" t="b">
        <v>1</v>
      </c>
      <c r="F15" t="s">
        <v>231</v>
      </c>
      <c r="G15" t="b">
        <v>1</v>
      </c>
      <c r="H15" t="s">
        <v>215</v>
      </c>
      <c r="I15" t="b">
        <v>1</v>
      </c>
      <c r="J15" t="s">
        <v>232</v>
      </c>
      <c r="K15">
        <v>1</v>
      </c>
      <c r="L15" s="4" t="s">
        <v>112</v>
      </c>
      <c r="M15" s="5" t="s">
        <v>256</v>
      </c>
      <c r="N15" t="b">
        <v>1</v>
      </c>
    </row>
    <row r="16" spans="1:14" hidden="1" x14ac:dyDescent="0.35">
      <c r="A16" t="s">
        <v>49</v>
      </c>
      <c r="B16">
        <v>2019</v>
      </c>
      <c r="C16" t="s">
        <v>191</v>
      </c>
      <c r="D16" t="s">
        <v>192</v>
      </c>
      <c r="E16" t="b">
        <v>1</v>
      </c>
      <c r="F16" t="s">
        <v>233</v>
      </c>
      <c r="G16" t="b">
        <v>1</v>
      </c>
      <c r="H16" t="s">
        <v>212</v>
      </c>
      <c r="I16" t="b">
        <v>1</v>
      </c>
      <c r="J16" t="s">
        <v>213</v>
      </c>
      <c r="K16">
        <v>0.9</v>
      </c>
      <c r="L16" s="4" t="s">
        <v>112</v>
      </c>
      <c r="M16" s="5" t="s">
        <v>261</v>
      </c>
      <c r="N16" t="b">
        <v>1</v>
      </c>
    </row>
    <row r="17" spans="1:14" hidden="1" x14ac:dyDescent="0.35">
      <c r="A17" t="s">
        <v>50</v>
      </c>
      <c r="B17">
        <v>2019</v>
      </c>
      <c r="C17" t="s">
        <v>193</v>
      </c>
      <c r="D17" t="s">
        <v>194</v>
      </c>
      <c r="E17" t="b">
        <v>1</v>
      </c>
      <c r="F17" t="s">
        <v>234</v>
      </c>
      <c r="G17" t="b">
        <v>1</v>
      </c>
      <c r="H17" t="s">
        <v>212</v>
      </c>
      <c r="I17" t="b">
        <v>1</v>
      </c>
      <c r="J17" t="s">
        <v>213</v>
      </c>
      <c r="K17">
        <v>0.9</v>
      </c>
      <c r="L17" s="4" t="s">
        <v>112</v>
      </c>
      <c r="M17" s="5" t="s">
        <v>258</v>
      </c>
      <c r="N17" t="b">
        <v>1</v>
      </c>
    </row>
    <row r="18" spans="1:14" hidden="1" x14ac:dyDescent="0.35">
      <c r="A18" t="s">
        <v>57</v>
      </c>
      <c r="B18">
        <v>2019</v>
      </c>
      <c r="C18" t="s">
        <v>58</v>
      </c>
      <c r="D18" t="s">
        <v>195</v>
      </c>
      <c r="E18" t="b">
        <v>1</v>
      </c>
      <c r="F18" t="s">
        <v>235</v>
      </c>
      <c r="G18" t="b">
        <v>1</v>
      </c>
      <c r="H18" t="s">
        <v>209</v>
      </c>
      <c r="I18" t="b">
        <v>1</v>
      </c>
      <c r="J18" t="s">
        <v>224</v>
      </c>
      <c r="K18">
        <v>0.9</v>
      </c>
      <c r="L18" s="4" t="s">
        <v>112</v>
      </c>
      <c r="M18" s="5" t="s">
        <v>258</v>
      </c>
      <c r="N18" t="b">
        <v>1</v>
      </c>
    </row>
    <row r="19" spans="1:14" x14ac:dyDescent="0.35">
      <c r="A19" t="s">
        <v>60</v>
      </c>
      <c r="B19">
        <v>2019</v>
      </c>
      <c r="C19" t="s">
        <v>61</v>
      </c>
      <c r="D19" t="s">
        <v>196</v>
      </c>
      <c r="E19" t="b">
        <v>0</v>
      </c>
      <c r="F19" t="s">
        <v>236</v>
      </c>
      <c r="G19" t="b">
        <v>0</v>
      </c>
      <c r="H19" t="s">
        <v>188</v>
      </c>
      <c r="I19" t="b">
        <v>1</v>
      </c>
      <c r="J19" t="s">
        <v>219</v>
      </c>
      <c r="K19">
        <v>0.8</v>
      </c>
      <c r="L19" s="4" t="s">
        <v>112</v>
      </c>
      <c r="M19" s="5" t="s">
        <v>256</v>
      </c>
      <c r="N19" t="b">
        <v>1</v>
      </c>
    </row>
    <row r="20" spans="1:14" hidden="1" x14ac:dyDescent="0.35">
      <c r="A20" t="s">
        <v>62</v>
      </c>
      <c r="B20">
        <v>2019</v>
      </c>
      <c r="C20" t="s">
        <v>63</v>
      </c>
      <c r="D20" t="s">
        <v>197</v>
      </c>
      <c r="E20" t="b">
        <v>1</v>
      </c>
      <c r="F20" t="s">
        <v>237</v>
      </c>
      <c r="G20" t="b">
        <v>1</v>
      </c>
      <c r="H20" t="s">
        <v>215</v>
      </c>
      <c r="I20" t="b">
        <v>1</v>
      </c>
      <c r="J20" t="s">
        <v>238</v>
      </c>
      <c r="K20">
        <v>0.9</v>
      </c>
      <c r="L20" s="4" t="s">
        <v>112</v>
      </c>
      <c r="M20" s="5" t="s">
        <v>258</v>
      </c>
      <c r="N20" t="b">
        <v>1</v>
      </c>
    </row>
    <row r="21" spans="1:14" ht="409.5" x14ac:dyDescent="0.35">
      <c r="A21" t="s">
        <v>71</v>
      </c>
      <c r="B21">
        <v>2019</v>
      </c>
      <c r="C21" t="s">
        <v>72</v>
      </c>
      <c r="D21" s="1" t="s">
        <v>73</v>
      </c>
      <c r="E21" t="b">
        <v>0</v>
      </c>
      <c r="F21" t="s">
        <v>239</v>
      </c>
      <c r="G21" t="b">
        <v>0</v>
      </c>
      <c r="H21" t="s">
        <v>188</v>
      </c>
      <c r="I21" t="b">
        <v>0</v>
      </c>
      <c r="J21" t="s">
        <v>240</v>
      </c>
      <c r="K21">
        <v>0.6</v>
      </c>
      <c r="L21" s="4" t="s">
        <v>112</v>
      </c>
      <c r="M21" s="5" t="s">
        <v>258</v>
      </c>
      <c r="N21" t="b">
        <v>1</v>
      </c>
    </row>
    <row r="22" spans="1:14" hidden="1" x14ac:dyDescent="0.35">
      <c r="A22" t="s">
        <v>74</v>
      </c>
      <c r="B22">
        <v>2019</v>
      </c>
      <c r="C22" t="s">
        <v>75</v>
      </c>
      <c r="D22" t="s">
        <v>198</v>
      </c>
      <c r="E22" t="b">
        <v>1</v>
      </c>
      <c r="F22" t="s">
        <v>241</v>
      </c>
      <c r="G22" t="b">
        <v>1</v>
      </c>
      <c r="H22" t="s">
        <v>212</v>
      </c>
      <c r="I22" t="b">
        <v>1</v>
      </c>
      <c r="J22" t="s">
        <v>219</v>
      </c>
      <c r="K22">
        <v>0.9</v>
      </c>
      <c r="L22" s="4" t="s">
        <v>112</v>
      </c>
      <c r="M22" s="5" t="s">
        <v>258</v>
      </c>
      <c r="N22" t="b">
        <v>1</v>
      </c>
    </row>
    <row r="23" spans="1:14" x14ac:dyDescent="0.35">
      <c r="A23" t="s">
        <v>76</v>
      </c>
      <c r="B23">
        <v>2019</v>
      </c>
      <c r="C23" t="s">
        <v>77</v>
      </c>
      <c r="D23" t="s">
        <v>184</v>
      </c>
      <c r="E23" t="b">
        <v>0</v>
      </c>
      <c r="F23" t="s">
        <v>228</v>
      </c>
      <c r="G23" t="b">
        <v>0</v>
      </c>
      <c r="H23" t="s">
        <v>188</v>
      </c>
      <c r="I23" t="b">
        <v>1</v>
      </c>
      <c r="J23" t="s">
        <v>242</v>
      </c>
      <c r="K23">
        <v>0.8</v>
      </c>
      <c r="L23" s="4" t="s">
        <v>112</v>
      </c>
      <c r="M23" s="5" t="s">
        <v>256</v>
      </c>
      <c r="N23" t="b">
        <v>1</v>
      </c>
    </row>
    <row r="24" spans="1:14" hidden="1" x14ac:dyDescent="0.35">
      <c r="A24" t="s">
        <v>78</v>
      </c>
      <c r="B24">
        <v>2019</v>
      </c>
      <c r="C24" t="s">
        <v>79</v>
      </c>
      <c r="D24" t="s">
        <v>185</v>
      </c>
      <c r="E24" t="b">
        <v>1</v>
      </c>
      <c r="F24" t="s">
        <v>214</v>
      </c>
      <c r="G24" t="b">
        <v>1</v>
      </c>
      <c r="H24" t="s">
        <v>215</v>
      </c>
      <c r="I24" t="b">
        <v>1</v>
      </c>
      <c r="J24" t="s">
        <v>210</v>
      </c>
      <c r="K24">
        <v>0.9</v>
      </c>
      <c r="L24" s="4" t="s">
        <v>112</v>
      </c>
      <c r="M24" s="5" t="s">
        <v>256</v>
      </c>
      <c r="N24" t="b">
        <v>1</v>
      </c>
    </row>
    <row r="25" spans="1:14" hidden="1" x14ac:dyDescent="0.35">
      <c r="A25" t="s">
        <v>83</v>
      </c>
      <c r="B25">
        <v>2019</v>
      </c>
      <c r="C25" t="s">
        <v>84</v>
      </c>
      <c r="D25" t="s">
        <v>199</v>
      </c>
      <c r="E25" t="b">
        <v>1</v>
      </c>
      <c r="F25" t="s">
        <v>243</v>
      </c>
      <c r="G25" t="b">
        <v>1</v>
      </c>
      <c r="H25" t="s">
        <v>215</v>
      </c>
      <c r="I25" t="b">
        <v>1</v>
      </c>
      <c r="J25" t="s">
        <v>244</v>
      </c>
      <c r="K25">
        <v>0.9</v>
      </c>
      <c r="L25" s="7" t="s">
        <v>173</v>
      </c>
      <c r="M25" s="5" t="s">
        <v>265</v>
      </c>
      <c r="N25" t="b">
        <v>0</v>
      </c>
    </row>
    <row r="26" spans="1:14" ht="409.5" hidden="1" x14ac:dyDescent="0.35">
      <c r="A26" t="s">
        <v>85</v>
      </c>
      <c r="B26">
        <v>2019</v>
      </c>
      <c r="C26" t="s">
        <v>86</v>
      </c>
      <c r="D26" s="1" t="s">
        <v>87</v>
      </c>
      <c r="E26" t="b">
        <v>1</v>
      </c>
      <c r="F26" t="s">
        <v>245</v>
      </c>
      <c r="G26" t="b">
        <v>1</v>
      </c>
      <c r="H26" t="s">
        <v>215</v>
      </c>
      <c r="I26" t="b">
        <v>1</v>
      </c>
      <c r="J26" t="s">
        <v>246</v>
      </c>
      <c r="K26">
        <v>0.9</v>
      </c>
      <c r="L26" s="4" t="s">
        <v>112</v>
      </c>
      <c r="M26" s="5" t="s">
        <v>256</v>
      </c>
      <c r="N26" t="b">
        <v>1</v>
      </c>
    </row>
    <row r="27" spans="1:14" hidden="1" x14ac:dyDescent="0.35">
      <c r="A27" t="s">
        <v>91</v>
      </c>
      <c r="B27">
        <v>2019</v>
      </c>
      <c r="C27" t="s">
        <v>92</v>
      </c>
      <c r="D27" t="s">
        <v>93</v>
      </c>
      <c r="E27" t="b">
        <v>0</v>
      </c>
      <c r="F27" t="s">
        <v>228</v>
      </c>
      <c r="G27" t="b">
        <v>0</v>
      </c>
      <c r="H27" t="s">
        <v>188</v>
      </c>
      <c r="I27" t="b">
        <v>1</v>
      </c>
      <c r="J27" t="s">
        <v>247</v>
      </c>
      <c r="K27">
        <v>0.8</v>
      </c>
      <c r="L27" s="7" t="s">
        <v>173</v>
      </c>
      <c r="M27" s="5" t="s">
        <v>267</v>
      </c>
      <c r="N27" t="b">
        <v>0</v>
      </c>
    </row>
    <row r="28" spans="1:14" hidden="1" x14ac:dyDescent="0.35">
      <c r="A28" t="s">
        <v>94</v>
      </c>
      <c r="B28">
        <v>2019</v>
      </c>
      <c r="C28" t="s">
        <v>95</v>
      </c>
      <c r="D28" t="s">
        <v>96</v>
      </c>
      <c r="E28" t="b">
        <v>1</v>
      </c>
      <c r="F28" t="s">
        <v>248</v>
      </c>
      <c r="G28" t="b">
        <v>1</v>
      </c>
      <c r="H28" t="s">
        <v>218</v>
      </c>
      <c r="I28" t="b">
        <v>1</v>
      </c>
      <c r="J28" t="s">
        <v>216</v>
      </c>
      <c r="K28">
        <v>1</v>
      </c>
      <c r="L28" s="4" t="s">
        <v>112</v>
      </c>
      <c r="M28" s="4" t="s">
        <v>255</v>
      </c>
      <c r="N28" t="b">
        <v>1</v>
      </c>
    </row>
    <row r="29" spans="1:14" hidden="1" x14ac:dyDescent="0.35">
      <c r="A29" t="s">
        <v>99</v>
      </c>
      <c r="B29">
        <v>2019</v>
      </c>
      <c r="C29" t="s">
        <v>100</v>
      </c>
      <c r="D29" t="s">
        <v>101</v>
      </c>
      <c r="E29" t="b">
        <v>1</v>
      </c>
      <c r="F29" t="s">
        <v>249</v>
      </c>
      <c r="G29" t="b">
        <v>1</v>
      </c>
      <c r="H29" t="s">
        <v>209</v>
      </c>
      <c r="I29" t="b">
        <v>1</v>
      </c>
      <c r="J29" t="s">
        <v>250</v>
      </c>
      <c r="K29">
        <v>1</v>
      </c>
      <c r="L29" s="4" t="s">
        <v>112</v>
      </c>
      <c r="M29" s="5" t="s">
        <v>256</v>
      </c>
      <c r="N29" t="b">
        <v>1</v>
      </c>
    </row>
    <row r="30" spans="1:14" x14ac:dyDescent="0.35">
      <c r="A30" t="s">
        <v>103</v>
      </c>
      <c r="B30">
        <v>2019</v>
      </c>
      <c r="C30" t="s">
        <v>104</v>
      </c>
      <c r="D30" t="s">
        <v>105</v>
      </c>
      <c r="E30" t="b">
        <v>0</v>
      </c>
      <c r="F30" t="s">
        <v>251</v>
      </c>
      <c r="G30" t="b">
        <v>0</v>
      </c>
      <c r="H30" t="s">
        <v>188</v>
      </c>
      <c r="I30" t="b">
        <v>1</v>
      </c>
      <c r="J30" t="s">
        <v>222</v>
      </c>
      <c r="K30">
        <v>0.8</v>
      </c>
      <c r="L30" s="4" t="s">
        <v>112</v>
      </c>
      <c r="M30" s="5" t="s">
        <v>256</v>
      </c>
      <c r="N30" t="b">
        <v>1</v>
      </c>
    </row>
    <row r="31" spans="1:14" x14ac:dyDescent="0.35">
      <c r="A31" t="s">
        <v>106</v>
      </c>
      <c r="B31">
        <v>2019</v>
      </c>
      <c r="C31" t="s">
        <v>107</v>
      </c>
      <c r="D31" t="s">
        <v>200</v>
      </c>
      <c r="E31" t="b">
        <v>0</v>
      </c>
      <c r="F31" t="s">
        <v>252</v>
      </c>
      <c r="G31" t="b">
        <v>0</v>
      </c>
      <c r="H31" t="s">
        <v>188</v>
      </c>
      <c r="I31" t="b">
        <v>1</v>
      </c>
      <c r="J31" t="s">
        <v>253</v>
      </c>
      <c r="K31">
        <v>0.7</v>
      </c>
      <c r="L31" s="4" t="s">
        <v>112</v>
      </c>
      <c r="M31" s="5" t="s">
        <v>268</v>
      </c>
      <c r="N31" t="b">
        <v>1</v>
      </c>
    </row>
  </sheetData>
  <autoFilter ref="A1:N31" xr:uid="{1235A4A9-643F-403F-8F39-91437DA8F632}">
    <filterColumn colId="4">
      <filters>
        <filter val="FALSE"/>
      </filters>
    </filterColumn>
    <filterColumn colId="13">
      <filters>
        <filter val="TRU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N30"/>
  <sheetViews>
    <sheetView tabSelected="1" workbookViewId="0">
      <selection activeCell="P21" sqref="P21"/>
    </sheetView>
  </sheetViews>
  <sheetFormatPr defaultRowHeight="14.5" x14ac:dyDescent="0.35"/>
  <cols>
    <col min="1" max="1" width="16.26953125" bestFit="1" customWidth="1"/>
  </cols>
  <sheetData>
    <row r="1" spans="1:3" x14ac:dyDescent="0.35">
      <c r="A1" t="s">
        <v>165</v>
      </c>
    </row>
    <row r="2" spans="1:3" x14ac:dyDescent="0.35">
      <c r="B2" t="s">
        <v>163</v>
      </c>
      <c r="C2" t="s">
        <v>164</v>
      </c>
    </row>
    <row r="3" spans="1:3" x14ac:dyDescent="0.35">
      <c r="A3" t="s">
        <v>161</v>
      </c>
      <c r="B3">
        <f>COUNTIFS('Merged results table'!$E:$E,TRUE,'Merged results table'!$N:$N,TRUE)</f>
        <v>17</v>
      </c>
      <c r="C3">
        <f>COUNTIFS('Merged results table'!$E:$E,TRUE,'Merged results table'!$N:$N,FALSE)</f>
        <v>1</v>
      </c>
    </row>
    <row r="4" spans="1:3" x14ac:dyDescent="0.35">
      <c r="A4" t="s">
        <v>162</v>
      </c>
      <c r="B4">
        <f>COUNTIFS('Merged results table'!$E:$E,FALSE,'Merged results table'!$N:$N,TRUE)</f>
        <v>9</v>
      </c>
      <c r="C4">
        <f>COUNTIFS('Merged results table'!$E:$E,FALSE,'Merged results table'!$N:$N,FALSE)</f>
        <v>3</v>
      </c>
    </row>
    <row r="6" spans="1:3" x14ac:dyDescent="0.35">
      <c r="A6" t="s">
        <v>168</v>
      </c>
      <c r="B6">
        <f>B3</f>
        <v>17</v>
      </c>
    </row>
    <row r="7" spans="1:3" x14ac:dyDescent="0.35">
      <c r="A7" t="s">
        <v>169</v>
      </c>
      <c r="B7">
        <f>C4</f>
        <v>3</v>
      </c>
    </row>
    <row r="8" spans="1:3" x14ac:dyDescent="0.35">
      <c r="A8" t="s">
        <v>170</v>
      </c>
      <c r="B8">
        <f>C3</f>
        <v>1</v>
      </c>
    </row>
    <row r="9" spans="1:3" x14ac:dyDescent="0.35">
      <c r="A9" t="s">
        <v>171</v>
      </c>
      <c r="B9">
        <f>B4</f>
        <v>9</v>
      </c>
    </row>
    <row r="11" spans="1:3" x14ac:dyDescent="0.35">
      <c r="A11" t="s">
        <v>166</v>
      </c>
      <c r="B11">
        <f>(B3+C4)/(B3+B4+C3+C4)</f>
        <v>0.66666666666666663</v>
      </c>
    </row>
    <row r="12" spans="1:3" x14ac:dyDescent="0.35">
      <c r="A12" t="s">
        <v>167</v>
      </c>
      <c r="B12">
        <f>B3/(B3+B4)</f>
        <v>0.65384615384615385</v>
      </c>
    </row>
    <row r="14" spans="1:3" x14ac:dyDescent="0.35">
      <c r="A14" s="3" t="s">
        <v>172</v>
      </c>
    </row>
    <row r="15" spans="1:3" x14ac:dyDescent="0.35">
      <c r="A15" t="s">
        <v>269</v>
      </c>
    </row>
    <row r="17" spans="1:14" ht="15" thickBot="1" x14ac:dyDescent="0.4">
      <c r="A17" t="s">
        <v>0</v>
      </c>
      <c r="B17" t="s">
        <v>1</v>
      </c>
      <c r="C17" t="s">
        <v>2</v>
      </c>
      <c r="D17" t="s">
        <v>3</v>
      </c>
      <c r="E17" t="s">
        <v>201</v>
      </c>
      <c r="F17" t="s">
        <v>202</v>
      </c>
      <c r="G17" t="s">
        <v>203</v>
      </c>
      <c r="H17" t="s">
        <v>204</v>
      </c>
      <c r="I17" t="s">
        <v>205</v>
      </c>
      <c r="J17" t="s">
        <v>206</v>
      </c>
      <c r="K17" t="s">
        <v>207</v>
      </c>
      <c r="L17" s="8" t="s">
        <v>109</v>
      </c>
      <c r="M17" s="9" t="s">
        <v>110</v>
      </c>
      <c r="N17" t="s">
        <v>270</v>
      </c>
    </row>
    <row r="18" spans="1:14" x14ac:dyDescent="0.35">
      <c r="A18" t="s">
        <v>83</v>
      </c>
      <c r="B18">
        <v>2019</v>
      </c>
      <c r="C18" t="s">
        <v>84</v>
      </c>
      <c r="D18" t="s">
        <v>199</v>
      </c>
      <c r="E18" t="b">
        <v>1</v>
      </c>
      <c r="F18" t="s">
        <v>243</v>
      </c>
      <c r="G18" t="b">
        <v>1</v>
      </c>
      <c r="H18" t="s">
        <v>215</v>
      </c>
      <c r="I18" t="b">
        <v>1</v>
      </c>
      <c r="J18" t="s">
        <v>244</v>
      </c>
      <c r="K18">
        <v>0.9</v>
      </c>
      <c r="L18" s="7" t="s">
        <v>173</v>
      </c>
      <c r="M18" s="5" t="s">
        <v>265</v>
      </c>
      <c r="N18" t="b">
        <v>0</v>
      </c>
    </row>
    <row r="20" spans="1:14" x14ac:dyDescent="0.35">
      <c r="A20" t="s">
        <v>271</v>
      </c>
    </row>
    <row r="21" spans="1:14" ht="15" thickBot="1" x14ac:dyDescent="0.4">
      <c r="A21" t="s">
        <v>0</v>
      </c>
      <c r="B21" t="s">
        <v>1</v>
      </c>
      <c r="C21" t="s">
        <v>2</v>
      </c>
      <c r="D21" t="s">
        <v>3</v>
      </c>
      <c r="E21" t="s">
        <v>201</v>
      </c>
      <c r="F21" t="s">
        <v>202</v>
      </c>
      <c r="G21" t="s">
        <v>203</v>
      </c>
      <c r="H21" t="s">
        <v>204</v>
      </c>
      <c r="I21" t="s">
        <v>205</v>
      </c>
      <c r="J21" t="s">
        <v>206</v>
      </c>
      <c r="K21" t="s">
        <v>207</v>
      </c>
      <c r="L21" s="8" t="s">
        <v>109</v>
      </c>
      <c r="M21" s="9" t="s">
        <v>110</v>
      </c>
      <c r="N21" t="s">
        <v>270</v>
      </c>
    </row>
    <row r="22" spans="1:14" x14ac:dyDescent="0.35">
      <c r="A22" t="s">
        <v>21</v>
      </c>
      <c r="B22">
        <v>2019</v>
      </c>
      <c r="C22" t="s">
        <v>22</v>
      </c>
      <c r="D22" t="s">
        <v>178</v>
      </c>
      <c r="E22" t="b">
        <v>0</v>
      </c>
      <c r="F22" t="s">
        <v>221</v>
      </c>
      <c r="G22" t="b">
        <v>0</v>
      </c>
      <c r="H22" t="s">
        <v>188</v>
      </c>
      <c r="I22" t="b">
        <v>1</v>
      </c>
      <c r="J22" t="s">
        <v>222</v>
      </c>
      <c r="K22">
        <v>0.9</v>
      </c>
      <c r="L22" s="4" t="s">
        <v>112</v>
      </c>
      <c r="M22" s="5" t="s">
        <v>256</v>
      </c>
      <c r="N22" t="b">
        <v>1</v>
      </c>
    </row>
    <row r="23" spans="1:14" x14ac:dyDescent="0.35">
      <c r="A23" t="s">
        <v>24</v>
      </c>
      <c r="B23">
        <v>2019</v>
      </c>
      <c r="C23" t="s">
        <v>25</v>
      </c>
      <c r="D23" t="s">
        <v>26</v>
      </c>
      <c r="E23" t="b">
        <v>0</v>
      </c>
      <c r="F23" t="s">
        <v>225</v>
      </c>
      <c r="G23" t="b">
        <v>0</v>
      </c>
      <c r="H23" t="s">
        <v>188</v>
      </c>
      <c r="I23" t="b">
        <v>1</v>
      </c>
      <c r="J23" t="s">
        <v>224</v>
      </c>
      <c r="K23">
        <v>0.9</v>
      </c>
      <c r="L23" s="4" t="s">
        <v>112</v>
      </c>
      <c r="M23" s="5" t="s">
        <v>256</v>
      </c>
      <c r="N23" t="b">
        <v>1</v>
      </c>
    </row>
    <row r="24" spans="1:14" x14ac:dyDescent="0.35">
      <c r="A24" t="s">
        <v>32</v>
      </c>
      <c r="B24">
        <v>2019</v>
      </c>
      <c r="C24" t="s">
        <v>33</v>
      </c>
      <c r="D24" t="s">
        <v>181</v>
      </c>
      <c r="E24" t="b">
        <v>0</v>
      </c>
      <c r="F24" t="s">
        <v>228</v>
      </c>
      <c r="G24" t="b">
        <v>0</v>
      </c>
      <c r="H24" t="s">
        <v>188</v>
      </c>
      <c r="I24" t="b">
        <v>1</v>
      </c>
      <c r="J24" t="s">
        <v>222</v>
      </c>
      <c r="K24">
        <v>0.8</v>
      </c>
      <c r="L24" s="4" t="s">
        <v>112</v>
      </c>
      <c r="M24" s="5" t="s">
        <v>256</v>
      </c>
      <c r="N24" t="b">
        <v>1</v>
      </c>
    </row>
    <row r="25" spans="1:14" x14ac:dyDescent="0.35">
      <c r="A25" t="s">
        <v>45</v>
      </c>
      <c r="B25">
        <v>2019</v>
      </c>
      <c r="C25" t="s">
        <v>46</v>
      </c>
      <c r="D25" t="s">
        <v>182</v>
      </c>
      <c r="E25" t="b">
        <v>0</v>
      </c>
      <c r="F25" t="s">
        <v>230</v>
      </c>
      <c r="G25" t="b">
        <v>0</v>
      </c>
      <c r="H25" t="s">
        <v>188</v>
      </c>
      <c r="I25" t="b">
        <v>1</v>
      </c>
      <c r="J25" t="s">
        <v>222</v>
      </c>
      <c r="K25">
        <v>0.9</v>
      </c>
      <c r="L25" s="4" t="s">
        <v>112</v>
      </c>
      <c r="M25" s="5" t="s">
        <v>256</v>
      </c>
      <c r="N25" t="b">
        <v>1</v>
      </c>
    </row>
    <row r="26" spans="1:14" x14ac:dyDescent="0.35">
      <c r="A26" t="s">
        <v>60</v>
      </c>
      <c r="B26">
        <v>2019</v>
      </c>
      <c r="C26" t="s">
        <v>61</v>
      </c>
      <c r="D26" t="s">
        <v>196</v>
      </c>
      <c r="E26" t="b">
        <v>0</v>
      </c>
      <c r="F26" t="s">
        <v>236</v>
      </c>
      <c r="G26" t="b">
        <v>0</v>
      </c>
      <c r="H26" t="s">
        <v>188</v>
      </c>
      <c r="I26" t="b">
        <v>1</v>
      </c>
      <c r="J26" t="s">
        <v>219</v>
      </c>
      <c r="K26">
        <v>0.8</v>
      </c>
      <c r="L26" s="4" t="s">
        <v>112</v>
      </c>
      <c r="M26" s="5" t="s">
        <v>256</v>
      </c>
      <c r="N26" t="b">
        <v>1</v>
      </c>
    </row>
    <row r="27" spans="1:14" ht="17.5" customHeight="1" x14ac:dyDescent="0.35">
      <c r="A27" t="s">
        <v>71</v>
      </c>
      <c r="B27">
        <v>2019</v>
      </c>
      <c r="C27" t="s">
        <v>72</v>
      </c>
      <c r="D27" s="1" t="s">
        <v>73</v>
      </c>
      <c r="E27" t="b">
        <v>0</v>
      </c>
      <c r="F27" t="s">
        <v>239</v>
      </c>
      <c r="G27" t="b">
        <v>0</v>
      </c>
      <c r="H27" t="s">
        <v>188</v>
      </c>
      <c r="I27" t="b">
        <v>0</v>
      </c>
      <c r="J27" t="s">
        <v>240</v>
      </c>
      <c r="K27">
        <v>0.6</v>
      </c>
      <c r="L27" s="4" t="s">
        <v>112</v>
      </c>
      <c r="M27" s="5" t="s">
        <v>258</v>
      </c>
      <c r="N27" t="b">
        <v>1</v>
      </c>
    </row>
    <row r="28" spans="1:14" x14ac:dyDescent="0.35">
      <c r="A28" t="s">
        <v>76</v>
      </c>
      <c r="B28">
        <v>2019</v>
      </c>
      <c r="C28" t="s">
        <v>77</v>
      </c>
      <c r="D28" t="s">
        <v>184</v>
      </c>
      <c r="E28" t="b">
        <v>0</v>
      </c>
      <c r="F28" t="s">
        <v>228</v>
      </c>
      <c r="G28" t="b">
        <v>0</v>
      </c>
      <c r="H28" t="s">
        <v>188</v>
      </c>
      <c r="I28" t="b">
        <v>1</v>
      </c>
      <c r="J28" t="s">
        <v>242</v>
      </c>
      <c r="K28">
        <v>0.8</v>
      </c>
      <c r="L28" s="4" t="s">
        <v>112</v>
      </c>
      <c r="M28" s="5" t="s">
        <v>256</v>
      </c>
      <c r="N28" t="b">
        <v>1</v>
      </c>
    </row>
    <row r="29" spans="1:14" x14ac:dyDescent="0.35">
      <c r="A29" t="s">
        <v>103</v>
      </c>
      <c r="B29">
        <v>2019</v>
      </c>
      <c r="C29" t="s">
        <v>104</v>
      </c>
      <c r="D29" t="s">
        <v>105</v>
      </c>
      <c r="E29" t="b">
        <v>0</v>
      </c>
      <c r="F29" t="s">
        <v>251</v>
      </c>
      <c r="G29" t="b">
        <v>0</v>
      </c>
      <c r="H29" t="s">
        <v>188</v>
      </c>
      <c r="I29" t="b">
        <v>1</v>
      </c>
      <c r="J29" t="s">
        <v>222</v>
      </c>
      <c r="K29">
        <v>0.8</v>
      </c>
      <c r="L29" s="4" t="s">
        <v>112</v>
      </c>
      <c r="M29" s="5" t="s">
        <v>256</v>
      </c>
      <c r="N29" t="b">
        <v>1</v>
      </c>
    </row>
    <row r="30" spans="1:14" x14ac:dyDescent="0.35">
      <c r="A30" t="s">
        <v>106</v>
      </c>
      <c r="B30">
        <v>2019</v>
      </c>
      <c r="C30" t="s">
        <v>107</v>
      </c>
      <c r="D30" t="s">
        <v>200</v>
      </c>
      <c r="E30" t="b">
        <v>0</v>
      </c>
      <c r="F30" t="s">
        <v>252</v>
      </c>
      <c r="G30" t="b">
        <v>0</v>
      </c>
      <c r="H30" t="s">
        <v>188</v>
      </c>
      <c r="I30" t="b">
        <v>1</v>
      </c>
      <c r="J30" t="s">
        <v>253</v>
      </c>
      <c r="K30">
        <v>0.7</v>
      </c>
      <c r="L30" s="4" t="s">
        <v>112</v>
      </c>
      <c r="M30" s="5" t="s">
        <v>268</v>
      </c>
      <c r="N30" t="b">
        <v>1</v>
      </c>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Stage_5_API_50</vt:lpstr>
      <vt:lpstr>ID_Lookup</vt:lpstr>
      <vt:lpstr>Stage_5_FF_50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2025-09-05T11:52:50Z</dcterms:modified>
</cp:coreProperties>
</file>