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https://nhs-my.sharepoint.com/personal/oliver_carey1_nhs_net/Documents/Documents/Projects/NHSCRB/Screen_5_Comparator_And_Outcomes/validation_data/"/>
    </mc:Choice>
  </mc:AlternateContent>
  <xr:revisionPtr revIDLastSave="19" documentId="8_{B2E5CAB7-67EA-484C-948F-954D20D8B167}" xr6:coauthVersionLast="47" xr6:coauthVersionMax="47" xr10:uidLastSave="{0735AD81-215C-462F-B996-B305AB6E1BCD}"/>
  <bookViews>
    <workbookView xWindow="-110" yWindow="-110" windowWidth="19420" windowHeight="10300" activeTab="4" xr2:uid="{66513E08-89B8-4D61-A86D-819C01466699}"/>
  </bookViews>
  <sheets>
    <sheet name="Stage_5_API_50" sheetId="1" r:id="rId1"/>
    <sheet name="ID_Lookup" sheetId="5" r:id="rId2"/>
    <sheet name="Stage_5_FF_50" sheetId="2" r:id="rId3"/>
    <sheet name="Merged results table" sheetId="3" r:id="rId4"/>
    <sheet name="Evaluating Results" sheetId="4" r:id="rId5"/>
  </sheets>
  <definedNames>
    <definedName name="_xlnm._FilterDatabase" localSheetId="3" hidden="1">'Merged results table'!$A$1:$N$31</definedName>
    <definedName name="_xlnm._FilterDatabase" localSheetId="2" hidden="1">Stage_5_FF_50!$A$1:$H$52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 i="2" l="1"/>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2" i="2"/>
  <c r="C4" i="4"/>
  <c r="C3" i="4"/>
  <c r="B4" i="4"/>
  <c r="B3" i="4"/>
  <c r="G2" i="2"/>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B8" i="4" l="1"/>
  <c r="B7" i="4"/>
  <c r="B9" i="4"/>
  <c r="B12" i="4" l="1"/>
  <c r="B6" i="4"/>
  <c r="B11" i="4"/>
</calcChain>
</file>

<file path=xl/sharedStrings.xml><?xml version="1.0" encoding="utf-8"?>
<sst xmlns="http://schemas.openxmlformats.org/spreadsheetml/2006/main" count="821" uniqueCount="283">
  <si>
    <t>id</t>
  </si>
  <si>
    <t>Year</t>
  </si>
  <si>
    <t>Title</t>
  </si>
  <si>
    <t>Abstract</t>
  </si>
  <si>
    <t>J500</t>
  </si>
  <si>
    <t>The lifetime costs of pediatric abusive head trauma and a cost-effectiveness analysis of the Period of Purple crying program in British Columbia, Canada</t>
  </si>
  <si>
    <t>J501</t>
  </si>
  <si>
    <t>Impact of Weekend Treatment on Short-term and Long-term Survival Following Urgent Repair of Ruptured Aortic Aneurysms in Germany</t>
  </si>
  <si>
    <t>J502</t>
  </si>
  <si>
    <t>Pdb16 Assessment of Cost-Effectiveness of a 0.2 Mcg/Day Fluocinolone Acetonide (Fac) Implant in Patients with Chronic Diabetic Macular Oedema (Dmo) in an Eye with Cataract</t>
  </si>
  <si>
    <t>J503</t>
  </si>
  <si>
    <t>Fluorides for preventing early tooth decay (demineralised lesions) during fixed brace treatment</t>
  </si>
  <si>
    <t>J504</t>
  </si>
  <si>
    <t>Pmh28 Assessing the Life-Cycle Value Added of Second-Generation Antipsychotics in Sweden and the Uk: The Case of Risperidone</t>
  </si>
  <si>
    <t>J505</t>
  </si>
  <si>
    <t>Fetal fibronectin testing for reducing the risk of preterm birth</t>
  </si>
  <si>
    <t>J506</t>
  </si>
  <si>
    <t>Cervical assessment by ultrasound for preventing preterm delivery</t>
  </si>
  <si>
    <t>J507</t>
  </si>
  <si>
    <t>J508</t>
  </si>
  <si>
    <t>Adalimumab for non-infectious uveitis: Is it cost-effective?</t>
  </si>
  <si>
    <t>J509</t>
  </si>
  <si>
    <t>Burden of varicella complications in secondary care, England, 2004 to 2017</t>
  </si>
  <si>
    <t>J510</t>
  </si>
  <si>
    <t>J511</t>
  </si>
  <si>
    <t>Switching from originator infliximab to CT-P13: Single-centre experience from the UK</t>
  </si>
  <si>
    <t>Background: The infliximab biosimilar (CT-P13) received market authorisation for inflammatory bowel disease in late 2016 with the aim of reducing cost and increasing access to therapy. The prospect of 'switching' patients from originator to CT-P13 has concerned clinicians. #8232;We present an experience of 'switching' from originator infliximab (IFX-O) to CT-P13 and present efficacy, safety, and immunogenicity data from our cohort. Method(s): We performed a retrospective review of patients switched from IFX-O to CT-P13. Disease demographics, clinical course and outcomes were analysed from electronic case records at a median of 8 months and at last follow-up at 13 months. Result(s): Ninety-six patients (35 females) were 'switched' from IFX-O to CT-P13. Of these 44 had Ulcerative colitis (UC) and 52 had Crohn's disease (CD) with a mean age at diagnosis of 34.7 years (median = 33, IQR = 24.5). Montreal phenotype for UC was E1 = 1, E2 = 16, E3 = 27 and for CD (L1 = 10, L2 = 12 , L3 = 29, L4 = 1) and (B1 = 27, #8232;B2 = 14 , B3 = 11), 9 patients had perianal disease. Mean duration of IFX-O treatment was 49. 8 months (median = 44, IQR = 52) and on CT-P13 11.5 months (median 13). At switch, 76 patients had a normal CRP (UC = 33, CD = 43), and in 15 patients it was elevated (UC = 10, CD = 5). At 8 months, 80 patients remained in biochemical remission (UC = 35, CD = 45 ) and in 14 patients (UC = 8, CD = 6 ) CRP increased. Seventy-two patients (UC = 34, CD = 38 ) were in clinical remission (pMayo &lt; 2 and HBI &lt; 5). Of 51 patients (UC = 21, CD = 30) undergoing endoscopic assessment, 31 achieved mucosal healing (UC = 13, CD = 18). At 13 months, 69 patients remained on CT-P13. Twenty-seven discontinued the drug due to immunogenicity (n = 10), loss of response (n = 5), surgery (n = 5), remission (n = 5) , side effects (n = 2 ), and 1 patient died of hospital acquired pneumonia. 39 out of 96 patients had therapeutic drug levels checked within 13 months of switch, of whom 27 had sub-therapeutic levels (below 4 mug/ml). Antibodies to Infliximab were seen in 15 of 39 patients (38.5%), of whom 8 were switched to an alternative biologic, 2 had dose escalation (10 mg/kg IFX), 4 patients stopped IFX with no other intervention, and 1 person continued treatment at same dose with low antibody titre of 6. Conclusion(s): Biosimilar IFX (CT-P13) was well tolerated. Clinical efficacy and loss of response rates with CT-P13 appears to be similar to IFX-O. This holds promise for a wider adoption of 'switching' to fulfil the purported aims of wider access to treatment at a lower cost.</t>
  </si>
  <si>
    <t>J512</t>
  </si>
  <si>
    <t>Switching from originator infliximab to CT-P13: A UK single centre experience</t>
  </si>
  <si>
    <t>Introduction and Aims The infliximab biosimilar (CT-P13) received market authorization for inflammatory bowel disease in late 2016 with the aim of reducing cost and increasing access to therapy. The prospect of 'switching' patients from originator to CT-P13 has concerned clinicians.We present an experience of 'switching' from originator infliximab (IFX-O) to CT-P13 and present efficacy, safety and immunogenicity data from our cohort. Methods We performed a retrospective review of patients switched from IFX-O to CT-P13 at our center. Disease demographics, clinical course and outcomes were analysed from electronic case records at 8 months and at last follow-up at 13 months. Results Ninety-six patients (35 female) were 'switched' from IFX-O to CT-P13. Of these 44 had Ulcerative colitis (UC) and 52 had Crohn's disease (CD) with a mean age at diagnosis of 34.7 years (median= 33, IQR = 24.5). Montreal phenotype for UC was Proctitis( E1) = 1, Left sided(E2) = 16,Pancolitis ( E3) = 27 and for CD (L1 = 10,L2 = 12, L3 = 29, L4 = 1) and ( B1 = 27,B2 = 14, B3 = 11), 9 patients had perianal disease. Mean duration of IFX-O treatment before switching was 49.8 months (median = 44, IQR = 52) and on CT-P13 11.5 months (median 13). At switch, 76 patients had a normal CRP (UC = 33, CD = 43), and in 15 patients it was elevated (UC= 10, CD= 5). At 8 months, 72 patients (UC = 34, CD = 38) were in clinical remission (pMayo &lt; 2 and HBI &lt; 5) and 80 patients remained in biochemical remission (UC= 35,CD= 45). In 14 patients (UC= 8,CD= 6 ) CRP increased. Of 51 patients (UC= 21, CD= 30) undergoing endoscopic assessment, 31 achieved mucosal healing (UC =13, CD= 18). At 13 months 69 patients remained on CT-P13. 28% discontinued the drug due to immunogenicity(n=10), loss of response(n=5), surgery(n=5), remission (n=5), side effects (n=2) and 1 patient died of hospital acquired pneumonia. 39 out of 96 patients had therapeutic drug levels checked within a median of 13 months from switch. 27 had sub-therapeutic levels (below 4ug/ml ),11 of which were switched to another biologic, 5 referred for surgery, 4 had dose escalated to 10 mg/kg, 5 continued CT-P13( 4 with no antibodies seen and 1 with antibodies of 127),one had immunomodulator added and another stopped CT-P13 being in remission. Antibodies to Infliximab were seen in 15 of 39 patients (38.5%), of whom 8 were switched to an alternative biologic, 2 had dose escalation (10 mg/kg IFX),4 patients stopped IFX with no other intervention and 1 person continued treatment with low antibody titre of 6. Discussion Biosimilar IFX (CT-P13) was well tolerated. Clinical efficacy and loss of response rates with CT-P13 appears to be similar to IFX-O. This holds promise for a wider adoption of 'switching' to fulfil the purported aims of wider access to treatment at a lower cost.</t>
  </si>
  <si>
    <t>J513</t>
  </si>
  <si>
    <t>J514</t>
  </si>
  <si>
    <t>J515</t>
  </si>
  <si>
    <t>What evidence is available to support the development of a regional specialist neurorehabilitation outreach service</t>
  </si>
  <si>
    <t>J516</t>
  </si>
  <si>
    <t>Mixed exercise training for adults with fibromyalgia</t>
  </si>
  <si>
    <t>J517</t>
  </si>
  <si>
    <t>The health economics of ankle and foot sprains and fractures: A systematic review of English-language published papers. Part 2: The direct and indirect costs of injury</t>
  </si>
  <si>
    <t>J518</t>
  </si>
  <si>
    <t>143. Chiropractors treating patients with acute lower back pain in a spine treatment pathway model: a five-year prospective cohort study</t>
  </si>
  <si>
    <t>J519</t>
  </si>
  <si>
    <t>Lateral flow urine lipoarabinomannan assay for detecting active tuberculosis in people living with HIV</t>
  </si>
  <si>
    <t>J520</t>
  </si>
  <si>
    <t>The budget impact of early dose optimisation with golimumab in ulcerative colitis in the UK</t>
  </si>
  <si>
    <t>Background: The PURSUIT study found that ulcerative colitis patients who were non-responders (based on full Mayo score) to subcutaneous golimumab treatment at Week 6 may benefit from receiving a dose of 100 mg golimumab from Week 6 onwards, with 28% of non-responders at Week 6 becoming responders by Week 14. The aim of this study was to assess the budget implications of optimising a patient's dose at Week 6 compared with other first-line therapies as per current clinical practice Methods: A decision tree model was designed to follow a patient's response to first-line treatment and to track a patient's progression through subsequent line of therapy. The budget impact model only considered drug costs from the perspective of the UK NHS. In total three lines of therapy were covered by the decision tree over a 1 year time horizon. Patients could have first-line treatment with one of the three treatment strategies; golimumab (current treatment practice), golimumab (dose optimisation based on the PURSUIT trial) and adalimumab. Within each of the comparator treatments dose escalation was considered, based on the median time to escalation and proportion of patients receiving dose escalation. Subsequent therapy for golimumab patients was adalimumab and patients who received adalimumab as a first-line therapy received golimumab as a second-line therapy. Response rates, time to loss of response and treatment costs were taken from published data sources. The cost of golimumab was equal between 50 mg pack and 100 mg pack. The model used assumption for second-line response rates; this has been tested in sensitivity analysis. Result(s): The use of dose optimisation for golimumab does not increase expenditure of drug costs compared with golimumab (single dose) with a cost saving of 42 per patient per year. When comparing dose optimisation for golimumab to adalimumab, golimumab was cost saving over 1 year of treatment with cost saving of 2138 per patient. The number of patients in a response health state was similar across all three treatments (47.7%, 47.6% and 45% for golimumab (single dose), golimumab (dose optimisation) and adalimumab, respectively. Conclusion(s): The implementation of dose optimisation at Week 6 for golimumab was cost saving compared with golimumab (current treatment practice) or adalimumab. The analysis highlights the need for immediate implementation of the updated GLM label in clinical practice for potentially more cost savings.</t>
  </si>
  <si>
    <t>J521</t>
  </si>
  <si>
    <t>Pcv98 Pcsk9 Inhibitors: An Analysis of Current Uptake and Potential Opportunities in England</t>
  </si>
  <si>
    <t>J522</t>
  </si>
  <si>
    <t>Continuous subcutaneous insulin infusion versus multiple daily injection regimens in children and young people at diagnosis of type 1 diabetes: Pragmatic randomised controlled trial and economic evaluation</t>
  </si>
  <si>
    <t>J523</t>
  </si>
  <si>
    <t>J524</t>
  </si>
  <si>
    <t>J525</t>
  </si>
  <si>
    <t>Should Balance Screening for Fall Risk Begin Earlier in Life? Evidence from a British Cohort Study</t>
  </si>
  <si>
    <t>Background Falls in older adults precipitate hospitalisation, frailty and premature mortality and are a growing health concern. The standing balance test is a simple, cost effective tool used to screen for fall risk in adults aged 65+, however the association between standing balance and fall risk has not been examined in individuals younger than 65. To assess whether balance tests could be utilised to screen for fall risk at younger ages, we investigated if balance at ages 53 and 60-64 was associated with prevalence and frequency of subsequent falls. Methods Data from the MRC National Survey of Health and Development, a British birth cohort study, were utilised (n=2571). Standing balance time (eyes closed) was assessed at ages 53 and 60-64 (max: 30 seconds). Fall history within the last year was self-reported at ages 60-64 and 68 and categorised to indicate fall prevalence (yes, no) and frequency (0, 1- 2, 3+). Binary and multinomial logistic regressions were used to assess associations of balance time (per 1 second increase) with fall prevalence and frequency, respectively. Adjustments were made for sex, height, BMI, socioeconomic position, physical activity, smoking, knee pain, diabetes, cardiovascular events and respiratory and depressive symptoms. Results Women reported higher prevalence of falls than men at ages 60-64 (23% vs 14%) and 68 (26% vs 18%). Longer balance time at age 53 was associated with reduced odds of falling at age 60-64 [OR: 0.98 (95% CI: 0.97,1.00)]; similar associations were found between balance at age 60-64 and falls at age 68 [0.96 (0.93,0.99)]. Better balance at age 53 was associated with lower risk of 3 or more falls (vs no falls) at ages 60-64 [RRR: 0.88 (0.80,0.98)] and 68 [0.93 (0.88,0.97)]. Better balance at age 60-64 was also associated with lower risk of 3+ falls at age 68 [RRR: 0.92 (0.85,0.98)] and in addition was associated with lower risk of 1-2 falls [0.97 (0.94,1.00)]. These associations remained after adjustments. Discussion Poorer balance at ages 53 and 60-64 was associated with subsequent fall risk. Balance at age 53 was most strongly associated with 3 or more falls, while balance at age 60-64 was associated with both 1-2 and 3+ falls. Whether this is due to stronger associations at age 60-64 or a shorter time between balance and falls assessments requires further investigation. Balance tests in middle age may help identify high risk individuals who would benefit from earlier interventions to prevent future recurrent falls.</t>
  </si>
  <si>
    <t>J526</t>
  </si>
  <si>
    <t>Limitations in health-economic guidance for medical devices</t>
  </si>
  <si>
    <t>Introduction. Health technology assessment (HTA) includes consideration of health and economic factors, playing a key role in optimizing healthcare provision in Europe. Medical devices are an important contributor to both health outcomes and the cost of healthcare provision, yet they are rarely addressed in current guidance for health-economic evaluation. Our aim is to help improve assessment of medical devices via review of European health-economic guidelines and recent research. Methods. Searches for European HTA guidelines were performed and where available were reviewed by two researchers working independently. Additionally, a systematic review of published literature focused on assessment of medical devices was conducted. English, German, or French literature published between 2000 and 2017 was analyzed. The status of HTA guidance to date was subsequently reviewed in light of current research findings and suggestions made to help improve standardization. Results. Of the 41 investigated European countries, 22 had official HTA guidance. Only four of 22 (18 percent) dedicated documentation to guidance specific to medical devices. Where differences between pharmaceuticals and medical devices were highlighted, specifics for health-economic assessment of medical devices were generally absent. The systematic review yielded 472 unique articles, 28 of which underwent full-text review. Issues surrounding medical device value assessment that commonly emerged were: limited evidence base, learning curve effects, organizational impact, incremental innovation, diversity of devices, dynamic pricing, and transferability. While identification of issues was ubiquitous, actionable suggestions on how to overcome them were less common. The most frequent recommendations were use of Bayesian methods, inclusion of realworld data, and modelling the learning curve. Key to implementation is determination of the medical device type and its impact duration. Conclusions. Current guidelines rarely address the needs of medical devices. Practical recommendations for improvements exist and provide opportunity to start discussion on how best to serve the medical devices field and improve the HTA process.</t>
  </si>
  <si>
    <t>J527</t>
  </si>
  <si>
    <t>Botulinum toxin type A in the treatment of lower limb spasticity in children with cerebral palsy</t>
  </si>
  <si>
    <t>J528</t>
  </si>
  <si>
    <t>J529</t>
  </si>
  <si>
    <t>Endometrial resection and ablation techniques for heavy menstrual bleeding</t>
  </si>
  <si>
    <t>J530</t>
  </si>
  <si>
    <t>Cyclical progestogens for heavy menstrual bleeding</t>
  </si>
  <si>
    <t>J531</t>
  </si>
  <si>
    <t>SAT-017 End Stage Renal Disease in Ghana</t>
  </si>
  <si>
    <t>J532</t>
  </si>
  <si>
    <t>'Forming, Storming, Norming and Performing' - Experiences in Clinical Policy (Specialised Commissioning)</t>
  </si>
  <si>
    <t>Specialised Services provide people suffering from a variety of complex and rare conditions with a range of medical and surgical treatments that are directly commissioned by NHS England. The National Clinical Policy Team was a new team set up within Specialised Commissioning in August 2018. Our new team was mandated with improving the efficiency of the policy development, whilst in parallel developing new policies and contributing to the development of our team and its establishment within the wider department. This was a novel opportunity for a junior doctor undertaking an out-of-programme experience to develop leadership and management skills early on in their career. Alongside managing a range of policies across various programmes of care, the role required coordination of policy working groups, chairing teleconferences, attending meetings and contributing to the commissioning of evidence reviews and the writing of policy and commissioning documents. Through becoming increasingly conscious of behaviour and its impact on others to managing conflict and politics between various stakeholders to drive the production of higher quality and more robust work, this opportunity provided a springboard for personal development away from direct clinical contract. Two-way communication, a critical aspect of the doctor-patient relationship, is also required at a system-based level to achieve better patient care. Such experiences should be welcomed amongst the junior doctor community and help contribute to the development of future medical leaders.</t>
  </si>
  <si>
    <t>J533</t>
  </si>
  <si>
    <t>EFFICHRONIC study protocol: A non-controlled, multicentre European prospective study to measure the efficiency of a chronic disease self-management programme in socioeconomically vulnerable populations</t>
  </si>
  <si>
    <t>J534</t>
  </si>
  <si>
    <t>Interventions to manage use of the emergency and urgent care system by people from vulnerable groups: a mapping review</t>
  </si>
  <si>
    <t>&lt;b&gt;BACKGROUND&lt;/b&gt;: The NHS currently faces increasing demands on accident and emergency departments. Concern has been expressed regarding whether the needs of vulnerable groups are being handled appropriately or whether alternative methods of service delivery may provide more appropriate emergency and urgent care services for particular groups._x000D_
&lt;b&gt;OBJECTIVE&lt;/b&gt;: Our objective was to identify what interventions exist to manage use of the emergency and urgent care system by people from a prespecified list of vulnerable groups. We aimed to describe the characteristics of these interventions and examine service delivery outcomes (for patients and the health service) resulting from these interventions._x000D_
&lt;b&gt;REVIEW METHODS&lt;/b&gt;: We conducted an initial mapping review to assess the quantity and nature of the published research evidence relating to seven vulnerable groups (socioeconomically deprived people and families, migrants, ethnic minority groups, the long-term unemployed/inactive, people with unstable housing situations, people living in rural/isolated areas and people with substance abuse disorders). Databases, including MEDLINE and the Cumulative Index to Nursing and Allied Health Literature, and other sources were searched between 2008 and 2018. Quantitative and qualitative systematic reviews and primary studies of any design were eligible for inclusion. In addition, we searched for UK interventions and initiatives by examining press reports, commissioning plans and casebooks of 'good practice'. We carried out a detailed intervention analysis, using an adapted version of the TIDieR (Template for Intervention Description and Replication) framework for describing interventions, and an analysis of current NHS practice initiatives._x000D_
&lt;b&gt;RESULTS&lt;/b&gt;: We identified nine different types of interventions: care navigators [three studies - moderate GRADE (Grading of Recommendations, Assessment, Development and Evaluations)], care planning (three studies - high), case finding (five studies - moderate), case management (four studies - high), front of accident and emergency general practice/front-door streaming model (one study - low), migrant support programme (one study - low), outreach services and teams (two studies - moderate), rapid access doctor/paramedic/urgent visiting services (one study - low) and urgent care clinics (one systematic review - moderate). Few interventions had been targeted at vulnerable populations; instead, they represented general population interventions or were targeted at frequent attenders (who may or may not be from vulnerable groups). Interventions supported by robust evidence (care navigators, care planning, case finding, case management, outreach services and teams, and urgent care clinics) demonstrated an effect on the general population, rather than specific population effects. Many programmes mixed intervention components (e.g. case finding, case management and care navigators), making it difficult to isolate the effect of any single component. Promising UK initiatives (front of accident and emergency general practice/front-door streaming model, migrant support programmes and rapid access doctor/paramedic/urgent visiting services) lacked rigorous evaluation. Evaluation should therefore focus on the clinical effectiveness and cost-effectiveness of these initiatives._x000D_
&lt;b&gt;CONCLUSIONS&lt;/b&gt;: The review identified a limited number of intervention types that may be useful in addressing the needs of specific vulnerable populations, with little evidence specifically relating to these groups. The evidence highlights that vulnerable populations encompass different subgroups with potentially differing needs, and also that interventions seem particularly context sensitive. This indicates a need for a greater understanding of potential drivers for varying groups in specific localities._x000D_
&lt;b&gt;LIMITATIONS&lt;/b&gt;: Resources did not allow exhaustive identification of all UK initiatives; the examples cited are indicative._x000D_
&lt;b&gt;FUTURE WORK&lt;/b&gt;: Research is required to examine how specific vulnerable populations differentially benefit from specific types of alternative service provision. Further exploration, using primary mixed-methods data and potentially realist evaluation, is required to explore what works for whom under what circumstances. Rigorous evaluation of UK initiatives is required, including a specific need for economic evaluations and for studies that incorporate effects on the wider emergency and urgent care system._x000D_
&lt;b&gt;FUNDING&lt;/b&gt;: The National Institute for Health Research Health Services and Delivery Research programme.</t>
  </si>
  <si>
    <t>J535</t>
  </si>
  <si>
    <t>Interventions for prodromal stage of psychosis</t>
  </si>
  <si>
    <t>J536</t>
  </si>
  <si>
    <t>Context-Specific Economic Evaluation for Molecular Pathology Tests: An Application in Colorectal Cancer in the West of Scotland</t>
  </si>
  <si>
    <t>J537</t>
  </si>
  <si>
    <t>Screening Women for Abdominal Aortic Aneurysms: Clinical and Economic Effectiveness Results from a Discrete Event Simulation Model</t>
  </si>
  <si>
    <t>J538</t>
  </si>
  <si>
    <t>Herbal medicinal products or preparations for neuropathic pain</t>
  </si>
  <si>
    <t>J539</t>
  </si>
  <si>
    <t>J540</t>
  </si>
  <si>
    <t>Conservative management following closed reduction of traumatic anterior dislocation of the shoulder</t>
  </si>
  <si>
    <t>J541</t>
  </si>
  <si>
    <t>Surgical treatments for women with stress urinary incontinence: the ESTER systematic review and economic evaluation</t>
  </si>
  <si>
    <t>&lt;b&gt;BACKGROUND&lt;/b&gt;: Urinary incontinence in women is a distressing condition that restricts quality of life and results in a large economic burden to both the NHS and women themselves._x000D_
&lt;b&gt;OBJECTIVE&lt;/b&gt;: To evaluate the clinical effectiveness, safety and cost-effectiveness of surgical treatment for stress urinary incontinence (SUI) in women and explore women's preferences._x000D_
&lt;b&gt;DESIGN&lt;/b&gt;: An evidence synthesis, a discrete choice experiment (DCE) and an economic decision model, with a value-of-information (VOI) analysis. Nine surgical interventions were compared. Previous Cochrane reviews for each were identified and updated to include additional studies. Systematic review methods were applied. The outcomes of interest were 'cure' and 'improvement'. Both a pairwise and a network meta-analysis (NMA) were conducted for all available surgical comparisons. A DCE was undertaken to assess the preferences of women for treatment outcomes. An economic model assessed the cost-effectiveness of alternative surgeries and a VOI analysis was undertaken._x000D_
&lt;b&gt;RESULTS&lt;/b&gt;: Data from 175 studies were included in the effectiveness review. The majority of included studies were rated as being at high or unclear risk of bias across all risk-of-bias domains. The NMA, which included 120 studies that reported data on 'cure' or 'improvement', showed that retropubic mid-urethral sling (MUS), transobturator MUS, traditional sling and open colposuspension were more effective than other surgical procedures for both primary outcomes. The results for other interventions were variable. In general, rate of tape and mesh exposure was higher after transobturator MUS than after retropubic MUS or single-incision sling, whereas the rate of tape or mesh erosion/extrusion was similar between transobturator MUS and retropubic MUS. The results of the DCE, in which 789 women completed an anonymous online questionnaire, indicate that women tend to prefer surgical treatments associated with no pain or mild chronic pain and shorter length of hospital stay as well as those treatments that have a smaller risk for urinary symptoms to reoccur after surgery. The cost-effectiveness results suggest that, over a lifetime, retropubic MUS is, on average, the least costly and most effective surgery. However, the high level of uncertainty makes robust estimates difficult to ascertain. The VOI analysis highlighted that further research around the incidence rates of complications would be of most value._x000D_
&lt;b&gt;LIMITATIONS&lt;/b&gt;: Overall, the quality of the clinical evidence was low, with limited data available for the assessment of complications. Furthermore, there is a lack of robust evidence and significant uncertainty around some parameters in the economic modelling._x000D_
&lt;b&gt;CONCLUSIONS&lt;/b&gt;: To our knowledge, this is the most comprehensive assessment of published evidence for the treatment of SUI. There is some evidence that retropubic MUS, transobturator MUS and traditional sling are effective in the short to medium term and that retropubic MUS is cost-effective in the medium to long term. The VOI analysis highlights the value of further research to reduce the uncertainty around the incidence rates of complications. There is a need to obtain robust clinical data in future work, particularly around long-term complication rates._x000D_
&lt;b&gt;STUDY REGISTRATION&lt;/b&gt;: This study is registered as PROSPERO CRD42016049339._x000D_
&lt;b&gt;FUNDING&lt;/b&gt;: The National Institute for Health Research Health Technology Assessment programme.</t>
  </si>
  <si>
    <t>J542</t>
  </si>
  <si>
    <t>J543</t>
  </si>
  <si>
    <t>Laparoscopically assisted versus open oesophagectomy for patients with oesophageal cancer - The Randomised Oesophagectomy: Minimally Invasive or Open (ROMIO) study: Protocol for a randomised controlled trial (RCT)</t>
  </si>
  <si>
    <t>J544</t>
  </si>
  <si>
    <t>PRIMEtime CE: a multistate life table model for estimating the cost-effectiveness of interventions affecting diet and physical activity</t>
  </si>
  <si>
    <t>BACKGROUND: Non-communicable diseases are the leading cause of death in England, and poor diet and physical inactivity are two of the principle behavioural risk factors. In the context of increasingly constrained financial resources, decision makers in England need to be able to compare the potential costs and health outcomes of different public health policies aimed at improving these risk factors in order to know where to invest so that they can maximise population health. This paper describes PRIMEtime CE, a multistate life table cost-effectiveness model that can directly compare interventions affecting multiple disease outcomes. METHOD(S): The multistate life table model, PRIMEtime Cost Effectiveness (PRIMEtime CE), is developed from the Preventable Risk Integrated ModEl (PRIME) and the PRIMEtime model. PRIMEtime CE uses routinely available data to estimate how changing diet and physical activity in England affects morbidity and mortality from heart disease, stroke, diabetes, liver disease, and cancers either directly or via raised blood pressure, cholesterol, and body weight. RESULT(S): Model outcomes are change in quality adjusted life years, and change in English National Health Service and social care costs. CONCLUSION(S): This paper describes PRIMEtime CE and highlights its main strengths and limitations. The model can be used to compare any number of public policies affecting diet and physical activity, allowing decision makers to understand how they can maximise population health with limited financial resources.</t>
  </si>
  <si>
    <t>J545</t>
  </si>
  <si>
    <t>Estimating the cost-effectiveness of salt reformulation and increasing access to leisure centres in England, with PRIMEtime CE model validation using the AdViSHE tool</t>
  </si>
  <si>
    <t>BACKGROUND: PRIMEtime CE is a multistate life table model that can directly compare the cost effectiveness of public health interventions affecting diet and physical activity levels, helping to inform decisions about how to spend finite resources. This paper estimates the costs and health outcomes in England of two scenarios: reformulating salt and expanding subsidised access to leisure centres. The results are used to help validate PRIMEtime CE, following the steps outlined in the Assessment of the Validation Status of Health-Economic decision models (AdViSHE) tool. METHOD(S): The PRIMEtime CE model estimates the difference in quality adjusted life years (QALYs) and difference in NHS and social care costs of modelled interventions compared with doing nothing. The salt reformulation scenario models how salt consumption would change if food producers met the 2017 UK Food Standards Agency salt reformulation targets. The leisure centre scenario models change in physical activity levels if the Birmingham Be Active scheme (where swimming pools and gym access is free to residents during defined periods) was rolled out across England. The AdViSHE tool was developed by health economic modellers and divides model validation into five parts: validation of the conceptual model, input data validation, validation of computerised model, operational validation, and other validation techniques. PRIMEtime CE is discussed in relation to each part. RESULT(S): Salt reformulation was dominant compared with doing nothing, and had a 10-year return on investment of 1.44 (0.50 to 2.94) for every 1 spent. By contrast, over 10 years the Be Active expansion would cost 727,000 (514,000 to 1,064,000) per QALY. PRIMEtime CE has good face validity of its conceptual model and has robust input data. Cross-validation produces mixed results and shows the impact of model scope, input parameters, and model structure on cost-per-QALY estimates. CONCLUSION(S): This paper illustrates how PRIMEtime CE can be used to compare the cost-effectiveness of two different public health measures affecting diet and physical activity levels. The AdViSHE tool helps to validate PRIMEtime CE, identifies some of the key drivers of model estimates, and highlights the challenges of externally validating public health economic models against independent data.</t>
  </si>
  <si>
    <t>J546</t>
  </si>
  <si>
    <t>Individualised screening for diabetic retinopathy: The ISDR study - Rationale, design and methodology for a randomised controlled trial comparing annual and individualised risk-based variable-interval screening</t>
  </si>
  <si>
    <t>J547</t>
  </si>
  <si>
    <t>Individualised screening for diabetic retinopathy: The ISDR study-a randomised controlled trial of safety, efficacy, and cost-effectiveness</t>
  </si>
  <si>
    <t>Background: Varying the intervals in retinopathy screening informed by personal risk offers reallocation of resources to better target high risk groups and address the increasing prevalence of diabetes. However, safety data especially on extended intervals is minimal. Aim(s): To evaluate the safety, efficacy and cost effectiveness (CE) of individualized variable-interval risk-based screening in a population setting compared to usual care. Method(s): Masked 2 arm, parallel assignment, equivalence RCT (largest to date in screening) with independent trials unit monitoring in people with diabetes aged &gt;=12 years attending screening in a single English program. Randomization was 1:1 to individualized screening (active group; 6, 12 or 24 months for high, medium and low risk) determined by a risk calculation engine using real-time local demographic, retinal and clinical data, compared with annual screening (control). CE analysis measuring NHS and societal costs took a 2-year time horizon. Finding(s): 4534 participants entered the study-after withdrawals/loss to follow-up: active 2097; control 2224. Attendance rates at first follow-up visit (primary outcome, safety) were equivalent (per protocol analysis, 5% margin): active 83.6% control 84.7% (difference 1.0, 90% CI-0.8, 2.9). STDR detection rates were non-inferior (1.5% margin): active 1.43% control 1.71% (difference-0.28, CI-0.93, 0.36). Quality of life (EQ5D5L, HUI3) was not significantly different between the groups. Incremental cost saving per person was 18.75 (NHS cost) rising to 49.96 with societal costs. A 39.3% reduction in number of appointments was seen. Conclusion(s): All parties involved in diabetes care can be reassured that extended and personalized screening intervals can safely be introduced in established screening program. Scale-up with further validation outside a research setting is recommended. Views expressed are solely those of the authors.</t>
  </si>
  <si>
    <t>J548</t>
  </si>
  <si>
    <t>J549</t>
  </si>
  <si>
    <t>Assessing the early impact of enhanced NHS england (NHSE) funding on footcare services</t>
  </si>
  <si>
    <t>Background: A key aim of the National Diabetes Treatment and Care Programme is to improve footcare services. In Sheffield, this investment was used primarily to expand the foot protection team (FPT) and in prevention strategies. Aim(s): To assess if there has been a benefit for patients and if the spending has been cost-effective. Method(s): Ulcer severity in patients presenting to the Multi-Disciplinary Foot Team (MDFT) (SINBAD score &gt;3 = severe, &lt;3 = mild) was tracked between 2013 and 2018, to determine whether the proportion of severe ulcers had declined. Cost calculations were based on the 'Economic Case for Change' paper (Marion Kerr, 2017); weekly cost of a mild ulcer-77, severe ulcer-359. Result(s): The percentage of ulcers presenting as severe from 2013-2017 (prior to additional investment) was 27%, 32%, 43%, 47% and 46% respectively. In 2018, to date, this has fallen to 36%. Our mean healing time for a mild ulcer is 12.6 weeks (974) vs a severe ulcer at 16.3 weeks (5,847). This represents an approximate reduction in the costs of managing foot ulcers from 326,000/100 patients (pre-investment) to 273,000/100 patients (post-investment), a saving of 53,000/100 patients. Approximately 500 patients with new ulcers are seen by our MDFT each year, giving a total estimated saving of 268,000. If the percentage of severe ulcers returned to the baseline of 2013 (27%), savings would total around 487,000/100 patients. Conclusion(s): These data show that, within a very short timescale, the enhanced NHSE funding and added investment in prevention strategies reduced severe ulcers, giving patients' better quality of life, shorter healing times, and is cost-effective.</t>
  </si>
  <si>
    <t>J550</t>
  </si>
  <si>
    <t>Characteristics of successful interventions to reduce turnover and increase retention of early career nurses: A systematic review</t>
  </si>
  <si>
    <t>Unique ID</t>
  </si>
  <si>
    <t>FF screen</t>
  </si>
  <si>
    <t>FF reason</t>
  </si>
  <si>
    <t>Background: Abusive head trauma (AHT) is a severe form of child abuse causing devastating outcomes for children and families, but its economic costs in Canada has yet to be determined. The Period of PURPLE crying program (PURPLE) is an AHT prevention program implemented in British Columbia for which success in reducing AHT events was recently reported. Objective(s): This study estimated the lifetime costs to society of incidental AHT events and compared the benefits and associated costs of AHT before and after the implementation of the PURPLE program. Participants and Setting: Children aged 0-24 months old with a definite diagnosis of AHT between 2002 and 2014 in British Columbia were included in this study. Method(s): An incidence-based cost-of-illness analysis, using the human capital approach was used to quantify the lifetime costs of AHT events according to their severity (least severe, severe and fatal). A cost-effectiveness analysis of the PURPLE program was conducted from both a societal and a health services' perspectives using decision tree models. Result(s): There were sixty-four AHT events between 2002-2014, resulting in a total cost of $354,359,080 to society. The costs associated with fatal, severe and least severe AHT averaged $7,147,548, $6,057,761 and $1,675,099, respectively. The investment of $5 per newborn through the PURPLE program resulted in a $273.52 and $14.49 per child cost avoidance by society and by the healthcare system. Conclusion(s): This study provides evidence to policymakers and health practitioners that investing upstream in well-developed AHT prevention programs, such as PURPLE, not only promote child safety and health, but also translates into avoided costs to society. Copyright © 2019 Elsevier Ltd</t>
  </si>
  <si>
    <t>Include</t>
  </si>
  <si>
    <t>Introduction - There is some evidence that weekend admission to hospital is associated with worse outcomes compared to weekday admission. However only a few studies focused on weekend versus weekday surgery. This study aims to determine if there is a weekend effect in the treatment of ruptured aortic aneurysms in Germany. Methods - Health insurance claims of Germany's third largest insurance provider, DAK-Gesundheit, was used to investigate short-term and long-term mortality after weekend versus weekday treatment for ruptured aortic aneurysm (rAA). Patients undergoing endovascular (ER) or open-surgical (OR) repair between January 2008 and December 2016 were included in the study. A one-to-one propensity score matching was used to address selection bias. Results - There were 1,477 patients in the cohort of which 517 (35.0%) underwent ER and 960 (65.0%) OR. Overall, 987 (66.8%) patients were operated on weekdays (Monday to Thursday) and 490 (33.2%) patients were operated on a weekend (Friday to Sunday). In multivariable models, patients operated on weekend were at higher risk of in-hospital death within both ER (Odds Ratio 1.62, p=0.038) and OR (Odds Ratio 1.68, p=0.001) groups. Furthermore, OR conducted on weekends was associated with lower long-term survival (Hazard Ratio 1.23, p=0.014). Finally, OR of thoracic or abdominal aorta was associated with significantly lower in-hospital mortality and higher long-term survival when compared to thoracic-abdominal aortic repair. Conclusion - Weekend repairs of ruptured aortic aneurysms are associated with worse in-hospital and long-term survival when compared to weekday surgery. Negative effect of weekend surgery was strongest for thoracic-abdominal aneurysms. References 1. Wise J. The weekend effect-how strong is the evidence? BMJ 2016;353:i2781. 2. Metcalfe D, Perry DC, Bouamra O, Salim A, Lecky FE, Woodford M, et al. Is there a 'weekend effect' in major trauma? Emergency medicine journal. Emerg Med J 2016;33:836-842. 3. Groves EM, Khoshchehreh M, Le C, Malik S. Effects of weekend admission on the outcomes and management of ruptured aortic aneurysms. J Vasc Surg 2014;60:318-24. 4. Glance LG, Osler T, Li Y, Lustik SJ, Eaton MP, Dutton RP, et al. Outcomes are Worse in US Patients Undergoing Surgery on Weekends Compared With Weekdays. Med Care 2016;54:608-15. 5. Gallerani M, Volpato S, Boari B, Pala M, De Giorgi A, Fabbian F, et al. Outcomes of weekend versus weekday admission for acute aortic dissection or rupture: a retrospective study on the Italian National Hospital Database. Int J Cardiol 2013;168:3117-9. 6. Kumar N, Venkatraman A, Pandey A, Khera R, Garg N. Weekend hospitalizations for acute aortic dissection have a higher risk of in-hospital mortality compared to weekday hospitalizations. Int J Cardiol 2016;214:448-50. 7. Kostis WJ, Demissie K, Marcella SW, Shao YH, Wilson AC, Moreyra AE, et al. Weekend versus weekday admission and mortality from myocardial infarction. N Engl J Med 2007;356:1099-109. 8. Orandi BJ, Selvarajah S, Orion KC, Lum YW, Perler BA, Abularrage CJ. Outcomes of nonelective weekend admissions for lower extremity ischemia. J Vasc Surg 2014;60:1572-9 e1. 9. Aujesky D, Jimenez D, Mor MK, Geng M, Fine MJ, Ibrahim SA. Weekend versus weekday admission and mortality after acute pulmonary embolism. Circulation 2009;119:962-8. 10. Nanchal R, Kumar G, Taneja A, Patel J, Deshmukh A, Tarima S, et al. Pulmonary embolism: the weekend effect. Chest 2012;142:690-6. 11. Bell CM, Redelmeier DA. Mortality among Patients Admitted to Hospitals on Weekends as Compared with Weekdays. N Engl J Med 2001;345:663-668. 12. Mohammed MA, Sidhu KS, Rudge G, Stevens AJ. Weekend admission to hospital has a higher risk of death in the elective setting than in the emergency setting: a retrospective database study of national health service hospitals in England. BMC Health Serv Res 2012;12:87. 13. Zhou Y, Li W, Herath C, Xia J, Hu B, Song F, et al. Off-Hour Admission and Mortality Risk for 28 Specific Diseases: A Systematic Review and Meta-Analysis of 251 Cohorts. J Am Heart Assoc 2 16;5:e003102. 14. Ozdemir BA, Sinha S, Karthikesalingam A, Poloniecki JD, Pearse RM, Grocott MP, Thompson MM, Holt PJ. Mortality of emergency general surgical patients and associations with hospital structures and processes. Br J Anaesth 2016;116:54-62. 15. Behrendt CA, Sedrakyan A, Riess HC, Heidemann F, Kolbel T, Petersen J, et al. Short-term and long-term results of endovascular and open repair of abdominal aortic aneurysms in Germany. J Vasc Surg 2017;66:1704-1711.e3. 16. Muller I, Freitag MH, Poggensee G, Scharnetzky E, Straube E, Schoerner C, et al. Evaluating Frequency, Diagnostic Quality, and Cost of Lyme Borreliosis Testing in Germany: A Retrospective Model Analysis. Clin Dev Immunol 2012;2012:1-13. 17. Augustin M, Anastasiadou Z, Schaarschmidt ML, Krensel M, Schafer I, Reusch M. Versorgung des Hautkrebses in Deutschland. Hautarzt 2016;67:544-548. 18. Fischer F, Hoffmann K, Monter N, Walle M, Beneke R, Negenborn S, et al. Kostenevaluation eines Modells der Integrierten Versorgung fur schwer psychisch Kranke. Gesundheitswesen 2013;76:86-95. 19. Debus ES, Nullen H, Torsello G, Lang W, Flessenkamper I, Hupp T, et al. Zur Behandlung des abdominellen Aortenaneurysmas in Deutschland. Gefasschirurgie 2014;19:412-421. 20. Grundmann RT. Versorgung des abdominellen Aortenaneurysmas (AAA) 2014. Gefasschirurgie 2015;20:376-384. 21. Debus ES, Torsello G, Behrendt CA, Petersen J, Grundmann RT. [Perioperative mortality following repair for abdominal aortic aneurysm in Germany : Comparison of administrative data of the DAK health insurance and clinical registry data of the German Vascular Society]. Chirurg 2015;86:1041-50. 22. Elixhauser A, Steiner C, Harris DR, Coffey RM. Comorbidity measures for use with administrative data. Med Care 1998;36:8-27. 23. Quan H, Sundararajan V, Halfon P, Fong A, Burnand B, Luthi JC, et al. Coding algorithms for defining comorbidities in ICD-9-CM and ICD-10 administrative data. Med Care 2005;43:1130-9. 24. van Walraven C, Austin PC, Jennings A, Quan H, Forster AJ. A modification of the Elixhauser comorbidity measures into a point system for hospital death using administrative data. Med Care 2009;47:626-33. 25. Rosenbaum PR, Rubin DB. The central role of the propensity score in observational studies for causal effects. Biometrika 1983;70:41-55. 26. Gallerani M, Imberti D, Bossone E, Eagle KA, Manfredini R. Higher mortality in patients hospitalized for acute aortic rupture or dissection during weekends. J Vasc Surg 2012;55:1247-54. 27. Cram P, Hillis SL, Barnett M, Rosenthal GE. Effects of weekend admission and hospital teaching status on in-hospital mortality. Am J Med 2004;117:151-7. 28. Investigators IT. Comparative clinical effectiveness and cost effectiveness of endovascular strategy v open repair for ruptured abdominal aortic aneurysm: three year results of the IMPROVE randomised trial. BMJ 2017;359:j4859. 29. Patel R, Sweeting MJ, Powell JT, Greenhalgh RM. Endovascular versus open repair of abdominal aortic aneurysm in 15-years' follow-up of the UK endovascular aneurysm repair trial 1 (EVAR trial 1): a randomised controlled trial. Lancet 2016;388:2366-2374. 30. Thorpe KE. House Staff Supervision and Working Hours. JAMA 1990;263:3177. 31. McKee M, Black N. Does the current use of junior doctors in the United Kingdom affect the quality of medical care? Soc Sci Med 1992;34:549-58. 32. Tarnow-Mordi WO, Hau C, Warden A, Shearer AJ. Hospital mortality in relation to staff workload: a 4-year study in an adult intensive-care unit. Lancet 2000;356:185-9. 33. Beck AW, Sedrakyan A, Mao J, Venermo M, Faizer R, Debus S, et al. Variations in Abdominal Aortic Aneurysm Care: A Report From the International Consortium of Vascular Registries. Circulation 2016;134:1948-1958. 34. Budtz-Lilly J, Bjorck M, Venermo M, Debus S, Behrendt C-A, Altreuther M, et al. The Impact of Centralisation and Endovascular Aneurysm Repair on Treatment of Ruptured Abdominal Aortic Aneurysms Based on International Registries. Eur J Vasc Endovasc Surg. Article in Press. Doi: 10.1016/j.ejvs.2018.01.014. 35. Behrendt CA, Heidemann F, R ess HC, Stoberock K, Debus SE. Registry and health insurance claims data in vascular research and quality improvement. Vasa 2017;46:11-15. Copyright © 2019</t>
  </si>
  <si>
    <t>Objectives: The fluocinolone acetonide 0.2 mug/day implant (FAc) is effective in improving visual acuity in patients with chronic diabetic macular oedema (cDMO) but is associated with worsening of cataract. A model previously suggested that FAc is cost-effective in patients with cDMO, who have undergone cataract surgery or not. The aim of this study was to update this model and assess the cost-effectiveness of FAc in the subgroup of patients with symptomatic cataract. Method(s): The existing Markov model was designed to assess costs and QALYs over lifetime in patients treated with FAc implant, compared to usual care (UC), consisting of laser photocoagulation and anti-VEGFs from the UK NHS perspective. Unit costs and health state utility values (HSUVs) were updated. The FAc price was NHS list price. HSUVs were obtained from the FAME trial using the VFQ-UI utility index. Best-Corrected Visual Acuity (BCVA) with UC was supposed to be stable. Additional scenarios were considered, with BCVA decreasing over time in UC arm, according to real-world data, and with possibility of administering FAc after cataract surgery in the UC arm. Result(s): New HSUVs ranged from 0.48 for blind patients to 0.91 for patients with perfect vision in both eyes. The FAc strategy was more expensive compared to usual care, by 3,445 per patients over lifetime, and produced more QALYs (+0.247). The incremental cost-effectiveness ratio (ICER) was estimated at 13,932 per QALY gained. The ICER was sensitive to the baseline visual acuity, patients' age and the probability of cataract surgery. The probability of FAc being cost-effective was 66.1% at a threshold of 20,000 per QALY gained. Scenario analyses showed that the efficacy of UC had a strong influence on results, and ICER decreased to 1,686 per QALY gained when BCVA decreased under UC Conclusion(s): The FAc implant is a cost-effective treatment for cDMO in patients with symptomatic cataract. Copyright © 2019</t>
  </si>
  <si>
    <t>- Background Early dental decay or demineralised lesions (DLs, also known as white spot lesions) can appear on teeth during fixed orthodontic (brace) treatment. Fluoride reduces decay in susceptible individuals, including orthodontic patients. This review compared various forms of topical fluoride to prevent the development of DLs during orthodontic treatment. This is the second update of the Cochrane Review first published in 2004 and previously updated in 2013. Objectives The primary objective was to evaluate whether topical fluoride reduces the proportion of orthodontic patients with new DLs after fixed appliances. The secondary objectives were to examine the effectiveness of different modes of topical fluoride delivery in reducing the proportions of orthodontic patients with new DLs, as well as the severity of lesions, in terms of number, size and colour. Participant‐assessed outcomes, such as perception of DLs, and oral health‐related quality of life data were to be included, as would reports of adverse effects. Search methods Cochrane Oral Health's Information Specialist searched the following databases: Cochrane Oral Health's Trials Register (to 1 February 2019), the Cochrane Central Register of Controlled Trials (CENTRAL; 2019, Issue 1) in the Cochrane Library (searched 1 February 2019), MEDLINE Ovid (1946 to 1 February 2019), and Embase Ovid (1980 to 1 February 2019). The US National Institutes of Health Ongoing Trials Register (ClinicalTrials.gov) and the World Health Organization International Clinical Trials Registry Platform were searched for ongoing trials. No restrictions were placed on the language or date of publication when searching the electronic databases. Selection criteria Parallel‐group, randomised controlled trials comparing the use of a fluoride‐containing product versus a placebo, no treatment or a different type of fluoride treatment, in which the outcome of enamel demineralisation was assessed at the start and at the end of orthodontic treatment. Data collection and analysis At least two review authors independently, in duplicate, conducted risk of bias assessments and extracted data. Authors of trials were contacted to obtain missing data or to ask for clarification of aspects of trial methodology. Cochrane's statistical guidelines were followed. Main results This update includes 10 studies and contains data from nine studies, comparing eight interventions, involving 1798 randomised participants (1580 analysed). One report contained insufficient information and the authors have been contacted. We assessed two studies as at low risk of bias, six at unclear risk of bias, and two at high risk of bias. Two placebo (non‐fluoride) controlled studies, at low risk of bias, investigated the professional application of varnish (7700 or 10,000 parts per million (ppm) fluoride (F)), every six weeks and found insufficient evidence of a difference regarding its effectiveness in preventing new DLs (risk ratio (RR) 0.52, 95% confidence interval (CI) 0.14 to 1.93; 405 participants; low‐certainty evidence). One placebo (non‐fluoride) controlled study, at unclear risk of bias, provides a low level of certainty that fluoride foam (12,300 ppm F), professionally applied every two months, may reduce the incidence of new DLs (12% versus 49%) after fixed orthodontic treatment (RR 0.26, 95% CI 0.11 to 0.57; 95 participants). One study, at unclear risk of bias, also provides a low level of certainty that use of a high‐concentration fluoride toothpaste (5000 ppm F) by patients may reduce the incidence of new DLs (18% versus 27%) compared with a conventional fluoride toothpaste (1450 ppm F) (RR 0.68, 95% CI 0.46 to 1.00; 380 participants). There was no evidence for a difference in the proportions of orthodontic patients with new DLs on the teeth after treatment with fixed orthodontic appliances for the following comparisons:  ‐ an amine fluoride and stannous fluoride toothpaste/mouthrinse combination versus a sodium fluoride toothpaste/mouthrinse,  ‐ an amine fluoride gel versus a non‐fluoride placebo applied by participants at home once a week and by professional application every three months,  ‐ resin‐modified glass ionomer cement versus light‐cured composite resin for bonding orthodontic brackets,  ‐ a 250 ppm F mouthrinse versus 0 ppm F placebo mouthrinse,  ‐ the use of an intraoral fluoride‐releasing glass bead device attached to the brace versus a daily fluoride mouthrinse. The last two comparisons involved studies that were assessed at high risk of bias, because a substantial number of participants were lost to follow‐up. Unfortunately, although the internal validity and hence the quality of the studies has improved since the first version of the review, they have compared different interventions; therefore, the findings are only considered to provide low level of certainty, because none has been replicated by follow‐up studies, in different settings, to confirm external validity. A patient‐reported outcome, such as concern about the aesthetics of any DLs, was still not included as an outcome in any study. Reports of adverse effects from topical fluoride applications were rare and unlikely to be significant. One study involving fluoride‐containing glass beads reported numerous breakages. Authors' conclusions This review found a low level of certainty that 12,300 ppm F foam applied by a professional every 6 to 8 weeks throughout fixed orthodontic treatment, might be effective in reducing the proportion of orthodontic patients with new DLs. In addition, there is a low level of certainty that the patient use of a high fluoride toothpaste (5000 ppm F) throughout orthodontic treatment, might be more effective than a conventional fluoride toothpaste. These two comparisons were based on single studies. There was insufficient evidence of a difference regarding the professional application of fluoride varnish (7700 or 10,000 ppm F). Further adequately powered, randomised controlled trials are required to increase the certainty of these findings and to determine the best means of preventing DLs in patients undergoing fixed orthodontic treatment. The most accurate means of assessing adherence with the use of fluoride products by patients and any possible adverse effects also need to be considered. Future studies should follow up participants beyond the end of orthodontic treatment to determine the effect of DLs on patient satisfaction with treatment. Plain language summary Fluorides for preventing early tooth decay (demineralised lesions) during fixed brace treatment Review question   Ugly white or brown marks sometimes appear on the teeth during treatment with braces to straighten teeth. These are due to early tooth decay and usually occur with fixed, glued‐on 'train track', braces, which make it more difficult to clean the teeth. We know that fluoride in toothpaste helps to prevent tooth decay and think that if extra fluoride is given to people wearing fixed braces, it will protect them from getting these marks. The aim of this Cochrane Oral Health's review was to look at how well fluorides help to prevent early tooth decay during fixed brace treatment and to find out the best way to get fluoride to the teeth. Background   Wearing a fixed brace makes it harder for people to keep their teeth clean and may also cause pain. Pain can make it more difficult for people to brush their teeth. This can lead to a build‐up of dental plaque around the brackets that attach the fixed brace to the teeth, and if the plaque stays on the tooth for long enough, it will cause early tooth decay, which looks like white or brown marks (demineralised lesions, also known as white spot lesions). People often wear braces for 18 months or longer and if the decay is left to progress, it can cause holes, which are sometimes bad enough to need fillings to be done in the teeth. Fluoride helps the tooth to heal, reducing tooth decay in people who are at risk of developing it. People receiving fixed brace treatment may be given different forms of fluoride treatment. It is important to think about how the fluoride gets to the teeth. Does the fluoride need to be placed by a dentist or dental nurse, or can people having treatment with braces apply the fluoride to their own teeth? Study characteristics   This review is up‐to‐date as of 1 February 2019. The review includes 10 studies but we could only use the information from nine studies involving 1798 randomised people. We have asked for more information about one study. The review looks at eight different ways of applying fluoride to the teeth. People taking part in the studies were all having treatment with fixed braces. The number of people with new decay on the teeth at end of fixed brace treatment, as well as the amount of decay in each person, were measured and counted. We compared the following treatments:  ‐ dentist or nurse‐applied fluoride e.g. varnish, gel or foam,  ‐ patient‐applied/used fluoride e.g. toothpaste, mouthwash, gel or foam, and  ‐ materials that release fluoride over time e.g. glues, elastic bands. Key results   One study showed that when the dentist applies a foam with a high level of fluoride in it onto the teeth every time the patient is seen, this might reduce the risk of new decay. Another study found that if patients use a toothpaste with a higher level of fluoride than normal, then this might also reduce the risk of new marks on their teeth. No studies have shown that other ways of giving the teeth extra fluoride reduced the number and/or size of new decay on teeth in people wearing fixed braces. Harmful effects of the different ways of giving the teeth more fluoride were not reported in any of the included studies. Certainty of the evidence   The level of belief we have in these findings is low, due to the lack of studies testing the same fluorides and showing the same results. We suggest that more, well‐conducted studies should be done in this area.</t>
  </si>
  <si>
    <t>To estimate the life-cycle value of risperidone - representative of Second-Generation Antipsychotics- relative to First Generation Antipsychotics to balance the view that cost per Quality-Adjusted Life Year (QALY) at launch are enough to guide access decisions. Study aims to drive the discussion on access and price, through recognition of the dynamic nature of value added by pharmaceutical innovation over the long-run. We estimated the number of patients with schizophrenia treated with risperidone in Sweden and the UK (1994-2017). We collected cost-effectiveness data from the literature of risperidone and haloperidol - representative of First-Generation Antipsychotics. We modelled the life-cycle uptake of risperidone to estimate the life-cycle incremental cost, incremental QALYs and Net monetary Benefit (NMB). We also assessed the life-cycle distribution of the consumer (the payer) and the producer (innovator) surpluses. For the UK, the producer surplus represents around 28% of the total surplus before patent expiration and around 5% after patent expiration. Life-cycle NMB for the health system is estimated at 1,116m. During the life-cycle, the NMB significantly increased in response to two events: (i) the launch of Risperidone Long-Acting Injectable (RLAI); and (ii) generic entry. The ICER was negative (dominant) for the whole period. For Sweden, the producer surplus represents around 6% of the total surplus before patent expiration and around 1% after generic competition. Life-cycle NMB is estimated at 803m, and both NMB and ICER follow the same pattern as in the UK. Analysis shows that health systems appropriated most of the life-cycle value (surplus) generated. This suggests that, considering the entire life-cycle, the value added by SGAs to the system is higher than the value estimated using cost-effectiveness analysis at launch. Pricing and reimbursement decisions should take into account the dynamic nature of pharmaceutical markets and the value added by innovative medicines over the long-run. Copyright © 2019</t>
  </si>
  <si>
    <t>- Background Fetal fibronectin (FFN) is an extracellular matrix glycoprotein localized at the maternal‐fetal interface of the amniotic membranes, between chorion and decidua, where it is concentrated in this area between decidua and trophoblast. In normal conditions, FFN is found at very low levels in cervicovaginal secretions. Levels greater than or equal to 50 ng/mL at or after 22 weeks have been associated with an increased risk of spontaneous preterm birth. In fact, FFN is one of the best predictors of preterm birth in all populations studied so far, and can help in selecting which women are at significant risk for preterm birth. This is an update of a review first published in 2008. Objectives To assess the effectiveness of management based on knowledge of FFN testing results for preventing preterm birth. Search methods For this update, we searched Cochrane Pregnancy and Childbirth’s Trials Register (7 September 2018), ClinicalTrials.gov , the WHO International Clinical Trials Registry Platform ( ICTRP ) (7 September 2018), and reference lists of retrieved studies. Selection criteria Randomized controlled trials of pregnant women screened with FFN for risk of preterm birth. Studies included are based exclusively on knowledge of FFN results versus no such knowledge, and we have excluded studies including women with only positive or only negative FFN results. Data collection and analysis Two review authors independently assessed trials for inclusion and risk of bias, extracted data, and checked them for accuracy. The quality of the evidence was assessed using the GRADE approach. Main results We identified 16 trials, of which six were eligible for inclusion. The six included studies randomized 546 women with singleton gestations and threatened preterm labor (PTL) at 23 0/7 to 34 6/7 weeks. A total of 277 women were randomized to knowledge and 269 to no knowledge of FFN. No trials were identified on asymptomatic women or multiple gestations. The risk of bias of included studies was mixed. For selected important outcomes, preterm birth before 37, 34, and 32 weeks, and maternal hospitalization, we graded the quality of the evidence and created a 'Summary of findings' table. For these outcomes, the evidence was graded as mainly low quality due to the imprecision of effect estimates. Management based on knowledge of FFN results may reduce preterm birth before 37 weeks (20.7%) versus controls without such knowledge (29.2%) (risk ratio (RR) 0.72, 95% confidence interval (CI) 0.52 to 1.01; 5 trials; 434 women; low‐quality evidence). However, management based on knowledge of FFN results may make little or no difference to preterm birth before 34 (RR 1.09, 95% CI 0.54 to 2.18; 4 trials; 357 women; low‐quality evidence) or maternal hospitalization (RR 1.06, 95% CI 0.79 to 1.43; 5 trials; 441 women; low‐quality evidence). The evidence for preterm birth before 32 weeks is uncertain because the quality was found to be very low (average RR 0.79, 95% CI 0.16 to 3.96; 4 trials; 357 women; very low‐quality evidence). For all other outcomes, for which there were available data (preterm birth less than 28 weeks; gestational age at delivery (weeks); birthweight less than 2500 g; perinatal death; tocolysis; steroids for fetal lung maturity; time to evaluate; respiratory distress syndrome; neonatal intensive care unit (NICU) admission; and NICU days), knowledge of FFN results may make little or no difference to the outcomes. Authors' conclusions The evidence from this review suggests that management based on knowledge of FFN results may reduce preterm birth before 37 weeks. However, our confidence in this result is limited as the evidence was found to be of low quality. Effects on other substantive outcomes are uncertain due to serious concerns in study design, inconsistency, and imprecision of effect estimates. No trials were identified on asymptomatic women, or multiple gestations. Future studies are needed that include specific populations (e.g. singleton gestations with symptoms of preterm labor), a study gro p managed with a protocol based on the FFN results, and that report not only maternal but also important perinatal outcomes. Cost‐effectiveness analyses are also needed. Plain language summary Fetal fibronectin testing for reducing the risk of preterm birth What is the issue? To assess the effectiveness of management of pregnant women based on a knowledge of fetal fibronectin test results for preventing preterm birth, compared with not having that knowledge. Fetal fibronectin (FFN) acts as a ‘glue’ between the pregnancy and the uterus. Normally very low levels of FFN can be found in secretions of the vagina and cervix. Raised levels at or after 22 weeks have been associated with an increased risk of spontaneous preterm birth. Why is this important? Preterm birth before 37 weeks is the main cause of sickness and death for newborn infants. Most women who give birth preterm have preterm labor symptoms such as contractions but many of the women with symptoms go on to deliver at term (37 weeks or more). Fetal fibronectin (FFN) is a test that can identify the women with symptoms of preterm labor who are most at risk for preterm birth. The level of FFN is measured in secretions from the vagina or cervix. What evidence did we find? We found six randomised controlled studies involving 546 women who were pregnant with one baby and were showing signs of preterm labor at between 23 to 34 weeks' gestation. We graded the following evidence as mainly low quality because of the low number of women in the studies and a wide variation in findings. We found that the number of births before 37 weeks may be slightly reduced when women and their doctors know the results of the FFN test (20.7% versus 29.2%; 5 trials; 434 women). However, knowledge of FFN results may make little or no difference for the other outcomes with available data, including: maternal hospitalization (5 trials; 441 women); use of uterine relaxants (tocolysis) to try to prevent labor; earlier preterm births; women’s gestational age at delivery; babies with a birthweight less than 2500 g; newborn deaths; the number of babies with respiratory distress syndrome; giving steroids to mature the unborn babies’ lungs; and number of days in a neonatal intensive care unit (NICU). What does this mean? This review of six studies did not find enough evidence to say whether or not the FFN test should be used in the management of women showing signs of preterm labor. A screening test such as FFN can only be considered effective if interventions based on the screening results, such as giving drugs to relax the uterus, reduce the number of preterm births. Further research should be encouraged.</t>
  </si>
  <si>
    <t>- Background Measurement of cervical length by ultrasound is predictive of preterm birth (PTB). There are three methods of ultrasound cervical assessment: transvaginal (TVU), transabdominal (TAU), and transperineal (TPU, also called translabial). Cervical length measured by TVU is a relatively new screening test, and has been associated with better prediction of PTB than previously available tests. It is unclear if cervical length measured by ultrasound is effective for preventing PTB. This is an update of a review last published in 2013. Objectives To assess the effectiveness of antenatal management based on transvaginal, transabdominal, and transperineal (also called translabial) ultrasound screening of cervical length for preventing preterm birth. Search methods For this update, we searched the Cochrane Pregnancy and Childbirth’s Trials Register, ClinicalTrials.gov , and the WHO International Clinical Trials Registry Platform ( ICTRP ) to 30 August 2018; reviewed the reference lists of all articles, and contacted experts in the field for additional and ongoing trials. Selection criteria We included published and unpublished randomised controlled trials (RCT) including pregnant women between the gestational ages of 14 to 32 weeks, for whom the cervical length was screened for risk of PTB with TVU, TAU, or TPU. This review focused on studies based on knowledge versus no knowledge of cervical length results, or ultrasound versus no ultrasound for cervical length. We excluded studies based on interventions (e.g. progesterone, cerclage) for short cervical length. Data collection and analysis We followed standard Cochrane methods. Main results We included seven RCTs (N = 923): one examined asymptomatic women with twin pregnancies; four included women with singleton pregnancies and symptoms of preterm labour (PTL); one included women with singleton pregnancies and symptoms of preterm premature rupture of membranes (PPROM); and one included asymptomatic singletons. All trials used TVU for screening. We assessed the risk of bias of the included studies as mixed, and the quality of the evidence for primary outcomes as very low for all populations. For asymptomatic women with twin pregnancies, it is uncertain whether knowledge of TVU‐measured cervical length compared to no knowledge reduces PTB at less than 34 weeks (risk ratio (RR) 0.62, 95% confidence intervals (CI) 0.30 to 1.25; 1 study, 125 participants) because the quality of the evidence is very low. The results were also inconclusive for preterm birth at 36, 32, or 30 weeks; gestational age at birth, and other maternal and perinatal outcomes. Four trials examined knowledge of TVU‐measured cervical length of singletons with symptoms of PTL versus no knowledge. We are uncertain of the effects because of inconclusive results and very low‐quality evidence for: preterm births at less than 37 weeks (average RR 0.59, 95% CI 0.26 to 1.32; 2 studies, 242 participants; I² = 66%; Tau² = 0.23). Birth occurred about four days later in the knowledge groups (mean difference (MD) 0.64 weeks, 95% CI 0.03 to 1.25; 3 trials, 290 women). The results were inconclusive for the other outcomes for which there were available data: PTB at less than 34 or 28 weeks; birthweight less than 2500 g; perinatal death; maternal hospitalisation; tocolysis; and steroids for fetal lung maturity. The trial of singletons with PPROM (N = 92) evaluated safety of using TVU to measure cervical length in this population as its primary outcome, not its effect on management. The results were inconclusive for incidence of maternal and neonatal infections between the TVU and no ultrasound groups. In the trial of asymptomatic singletons (N = 296), in which women either received TVU or not, the results were inconclusive for preterm birth at less than 37 weeks (RR 1.27, 95% CI 0.61 to 2.61; I² = 0%), gestational age at birth, and other perinatal and maternal outcomes. We downgraded evidence for limitations in study design, inconsistency between the trials, and imprecision, due to small sample si e and wide confidence intervals crossing the line of no effect. No trial compared the effect of knowledge of the CL with no knowledge of CL in other populations, such as asymptomatic women with singleton pregnancies, or symptomatic women with twin pregnancies. Authors' conclusions There are limited data on the effects of knowing the cervical length, measured by ultrasound, for preventing preterm births, which preclude us from drawing any conclusions for women with asymptomatic twin or singleton pregnancies, singleton pregnancies with PPROM, or other populations and clinical scenarios. Limited evidence suggests that knowledge of transvaginal ultrasound‐measured cervical length, used to inform the management of women with singleton pregnancies and symptoms of preterm labour, appears to prolong pregnancy by about four days over women in the no knowledge groups. Future studies could look at specific populations separately (e.g. singleton versus twins; symptoms versus no symptoms of PTL), report on all pertinent maternal and perinatal outcomes, and include cost‐effectiveness analyses. Most importantly, future studies should include a clear protocol for management of women based on TVU‐measured cervical length. Plain language summary Cervical assessment by ultrasound for preventing preterm delivery We set out to assess the effectiveness of knowing the cervical length, measured with ultrasound, for preventing preterm birth compared with not knowing the cervical length. What is the issue? The cervix is the lower part of the uterus that connects to the vagina. When women are not pregnant, it is normally at least 3 cm long. During pregnancy, a short cervical length is associated with a risk of spontaneous preterm birth. The shorter the cervical length, the greater the risk. Therefore, measuring cervical length by ultrasound can help predict spontaneous preterm birth. The cervical length is measured by an ultrasound scan through the vagina (transvaginal or TVU), abdomen (transabdominal), or the perineum (transperineal). The most common causes of spontaneous preterm birth are preterm labour or preterm premature rupture of the membranes. Many of the interventions used to prevent preterm birth are used once symptoms develop. Why is this important? Preterm birth before 37 weeks is the main cause of a newborn baby being sick and disabled, or dying. The cervix is the opening or passage through which the baby must pass before being born vaginally. Ultrasound can detect early changes of the cervix, such as shortening of the cervical length, to predict preterm birth. On identifying a short cervical length, interventions can be applied to prevent preterm birth. These interventions include giving the expectant mother progesterone to relax the uterus, or applying a stitch, known as a cerclage, to tighten the opening of the cervix. What evidence did we find? This review assessed if knowing the cervical length can prevent preterm birth. We included seven randomised controlled studies, which involved 923 pregnant women at 14 to 32 weeks' gestation. One study included expectant mothers with twins, without any symptoms of preterm birth or labour, and looked at the number of babies born prematurely before 36 weeks. Four studies included expectant mothers of single babies with threatened preterm labour, and one study involving women with premature rupture of the membranes looked at the safety of transvaginal ultrasound. One trial included expectant mothers with singleton pregnancies who did not have any symptoms of preterm birth or labour to look at the efficacy of transvaginal ultrasound cervical length screening. All studies used transvaginal ultrasound to assess cervical length. For women with twin pregnancies and not showing symptoms of preterm birth, we are unclear of the impact of knowing the cervical length on whether babies are born before 34 weeks' gestation, or their gestational age at birth (1 study, 125 women), because we assessed the quality of the evidence to be very low. For women with a single baby and threatened preterm labour, knowledge of their cervical length may have led to a longer pregnancy by about four days (4 studies, 410 women), but the evidence on the number of babies born before 37 weeks was unclear (2 studies, 242 women). For women whose waters had broken, it is unclear whether healthcare provider knowledge makes any difference to whether the women gave birth preterm, or on the number of infections, again because we judged the quality of evidence as very low. For women with singleton pregnancies not showing symptoms of preterm birth, it is unclear whether an ultrasound to measure cervical length made any difference to whether their babies were born before 37 weeks' gestation (1 study, 296 women; very low‐quality evidence). What does this mean? We found a limited number of studies including small numbers of women. The studies varied in their design and had a broad spread of results. Women were not blinded to whether they had an ultrasound or not. Currently, there is not enough high quality research to show if knowledge of cervical length in women with twin or singleton pregnancies has any effect. Future studies could include ways of managing women as a result of the cervical length results, and it would be useful to look at specific populations separately, such as single babies versus twins and women with and without symptoms of preterm labour. They could also report on all important maternal and perinatal outcomes, and include cost‐effectiveness analyses.</t>
  </si>
  <si>
    <t>Comparison of different human papillomavirus (HPV) vaccine types and dose schedules for prevention of HPV‐related disease in females and males</t>
  </si>
  <si>
    <t>- Background Uptake of human papillomavirus (HPV) vaccine remains low in many countries, although the bivalent and quadrivalent HPV vaccines given as a three‐dose schedule are effective in the prevention of precancerous lesions of the cervix in women. Simpler immunisation schedules, such as those with fewer doses, might reduce barriers to vaccination, as may programmes that include males. Objectives To evaluate the efficacy, immunogenicity, and harms of different dose schedules and different types of HPV vaccines in females and males. Search methods We conducted electronic searches on 27 September 2018 in Ovid MEDLINE, the Cochrane Central Register of Controlled Trials (CENTRAL) (in the Cochrane Library), and Ovid Embase. We also searched the WHO International Clinical Trials Registry Platform, and ClinicalTrials.gov (both 27 September 2018), vaccine manufacturer websites, and checked reference lists from an index of HPV studies and other relevant systematic reviews. Selection criteria We included randomised controlled trials (RCTs) with no language restriction. We considered studies if they enrolled HIV‐negative males or females aged 9 to 26 years, or HIV‐positive males or females of any age. Data collection and analysis We used methods recommended by Cochrane. We use the term 'control' to refer to comparator products containing an adjuvant or active vaccine and 'placebo' to refer to products that contain no adjuvant or active vaccine. Most primary outcomes in this review were clinical outcomes. However, for comparisons comparing dose schedules, the included RCTs were designed to measure antibody responses (i.e. immunogenicity) as the primary outcome, rather than clinical outcomes, since it is unethical to collect cervical samples from girls under 16 years of age. We analysed immunogenicity outcomes (i.e. geometric mean titres) with ratios of means, clinical outcomes (e.g. cancer and intraepithelial neoplasia) with risk ratios or rate ratios and, for serious adverse events and deaths, we calculated odds ratios. We rated the certainty of evidence with GRADE. Main results We included 20 RCTs with 31,940 participants. The length of follow‐up in the included studies ranged from seven months to five years. Two doses versus three doses of HPV vaccine in 9‐ to 15‐year‐old females Antibody responses after two‐dose and three‐dose HPV vaccine schedules were similar after up to five years of follow‐up (4 RCTs, moderate‐ to high‐certainty evidence). No RCTs collected clinical outcome data. Evidence about serious adverse events in studies comparing dose schedules was of very low‐certainty owing to imprecision and indirectness (three doses 35/1159; two doses 36/1158; 4 RCTs). One death was reported in the three‐dose group (1/898) and none in the two‐dose group (0/899) (low‐certainty evidence). Interval between doses of HPV vaccine in 9‐ to 14‐year‐old females and males Antibody responses were stronger with a longer interval (6 or 12 months) between the first two doses of HPV vaccine than a shorter interval (2 or 6 months) at up to three years of follow‐up (4 RCTs, moderate‐ to high‐certainty evidence). No RCTs collected data about clinical outcomes. Evidence about serious adverse events in studies comparing intervals was of very low‐certainty, owing to imprecision and indirectness. No deaths were reported in any of the studies (0/1898, 3 RCTs, low‐certainty evidence). HPV vaccination of 10‐ to 26‐year‐old males In one RCT there was moderate‐certainty evidence that quadrivalent HPV vaccine, compared with control, reduced the incidence of external genital lesions (control 36 per 3081 person‐years; quadrivalent 6 per 3173 person‐years; rate ratio 0.16, 95% CI 0.07 to 0.38; 6254 person‐years) and anogenital warts (control 28 per 2814 person‐years; quadrivalent 3 per 2831 person‐years; rate ratio 0.11, 95% CI 0.03 to 0.38; 5645 person‐years). The quadrivalent vaccine resulted in more injection‐site adverse events, such as pain or redness, than control (5 7 versus 601 per 1000; risk ratio (RR) 1.12, 95% CI 1.06 to 1.18, 3895 participants, high‐certainty evidence). There was very low‐certainty evidence from two RCTs about serious adverse events with quadrivalent vaccine (control 12/2588; quadrivalent 8/2574), and about deaths (control 11/2591; quadrivalent 3/2582), owing to imprecision and indirectness. Nonavalent versus quadrivalent vaccine in 9‐ to 26‐year‐old females and males Three RCTs were included; one in females aged 9‐ to 15‐years (n = 600), one in females aged 16‐ to 26‐years (n = 14,215), and one in males aged 16‐ to 26‐years (n = 500). The RCT in 16‐ to 26‐year‐old females reported clinical outcomes. There was little to no difference in the incidence of the combined outcome of high‐grade cervical epithelial neoplasia, adenocarcinoma in situ, or cervical cancer between the HPV vaccines (quadrivalent 325/6882, nonavalent 326/6871; OR 1.00, 95% CI 0.85 to 1.16; 13,753 participants; high‐certainty evidence). The other two RCTs did not collect data about clinical outcomes. There were slightly more local adverse events with the nonavalent vaccine (905 per 1000) than the quadrivalent vaccine (846 per 1000) (RR 1.07, 95% CI 1.05 to 1.08; 3 RCTs, 15,863 participants; high‐certainty evidence). Comparative evidence about serious adverse events in the three RCTs (nonavalent 243/8234, quadrivalent 192/7629; OR 0.60, 95% CI 0.14 to 2.61) was of low certainty, owing to imprecision and indirectness. HPV vaccination for people living with HIV Seven RCTs reported on HPV vaccines in people with HIV, with two small trials that collected data about clinical outcomes. Antibody responses were higher following vaccination with either bivalent or quadrivalent HPV vaccine than with control, and these responses could be demonstrated to have been maintained for up to 24 months in children living with HIV (low‐certainty evidence). The evidence about clinical outcomes and harms for HPV vaccines in people with HIV is very uncertain (low‐ to very low‐certainty evidence), owing to imprecision and indirectness. Authors' conclusions The immunogenicity of two‐dose and three‐dose HPV vaccine schedules, measured using antibody responses in young females, is comparable. The quadrivalent vaccine probably reduces external genital lesions and anogenital warts in males compared with control. The nonavalent and quadrivalent vaccines offer similar protection against a combined outcome of cervical, vaginal, and vulval precancer lesions or cancer. In people living with HIV, both the bivalent and quadrivalent HPV vaccines result in high antibody responses. For all comparisons of alternative HPV vaccine schedules, the certainty of the body of evidence about serious adverse events reported during the study periods was low or very low, either because the number of events was low, or the evidence was indirect, or both. Post‐marketing surveillance is needed to continue monitoring harms that might be associated with HPV vaccines in the population, and this evidence will be incorporated in future updates of this review. Long‐term observational studies are needed to determine the effectiveness of reduced‐dose schedules against HPV‐related cancer endpoints, and whether adopting these schedules improves vaccine coverage rates. Plain language summary Comparison of different human papillomavirus (HPV) vaccines and the number of doses administered to prevent HPV‐related disease in females and males Human papillomaviruses (HPV) are a group of viruses that infect the skin and mucous membranes. Some types of HPV are sexually transmitted and are common in young people. Most infections will be cleared by the immune system, but some people will experience persistent infection with certain HPV types that go on to cause abnormalities in infected cells. These changes are called 'precancerous' because they can develop into cancers of the cervix, vagina, vulva, anal canal, penis, and head and neck. Infection with other HPV types causes warts in the genital area or around the anu . Vaccination aims to prevent future HPV infections. Three HPV vaccines are in use – a bivalent one (protects against two HPV types), a quadrivalent one (protects against four HPV types), and a nonavalent one (protects against nine HPV types). In women, three doses of the bivalent or the quadrivalent HPV vaccines protect against precancer of the cervix caused by the HPV types contained in the vaccine. Evidence about the nonavalent vaccine, about the effects of the quadrivalent vaccine in males, and about the effects of HPV vaccines in people with HIV infection, has not yet been reviewed thoroughly. Uptake of HPV vaccines remains low in many countries. Simpler vaccine schedules, or giving the vaccine to both girls and boys, could increase the number of people being vaccinated. Trials of HPV vaccines are not always designed to collect data about precancer and cancer, for several reasons. Firstly, HPV vaccine is routinely given before girls become sexually active, and it is not ethical to take specimens from the cervix of girls who have not had sex. Secondly, HPV‐related precancer and cancer are rare and do not develop until years after HPV infection has occurred. Thirdly, participants in a trial will be offered treatment if precancer develops, so progression to cervical cancer would be even rarer, even without vaccination. An international committee of experts states that, in some circumstances, antibody levels (i.e. showing a strong immune system response), can be used to demonstrate protection against cervical and anal cancer. The antibody levels following vaccination in a trial should not be lower than those found in other studies on adults in whom the vaccine has been shown to protect against severe HPV‐related cervical or anal disease. Review question(s) How effective or harmful are different HPV vaccine schedules (i.e. number and timing of doses) and different HPV vaccines in females and males? Main results These results are based on research evidence to 27 September 2018. We analysed 20 studies involving 31,940 people. Studies comparing two doses of HPV vaccine to three doses, or comparing the time interval between doses, focus on immune system responses rather than infection or disease outcomes. Two doses of HPV vaccine result in similar immune system responses to three doses, and a longer interval (up to 12 months) between doses gives a stronger immune system response than a shorter interval. There is insufficient evidence to determine whether there was a difference between the vaccine schedules for serious adverse events and death. In 16‐ to 26‐year‐old men, one study showed evidence of moderate certainty that a quadrivalent HPV vaccine provides better protection against external genital lesions and genital warts than a dummy treatment (control). In 16‐ to 26‐year‐old women, one study showed that the nonavalent and quadrivalent vaccines provide the same levels of protection against cervical, vaginal, and vulval precancer lesions and cancer (high‐certainty evidence). There was evidence that the quadrivalent vaccine resulted in more local adverse events (such as pain, swelling, and redness at the injection site) than a control treatment in males, and that the nonavalent vaccine resulted in more local adverse events than the quadrivalent vaccine in males and females. Evidence about serious adverse events and deaths from studies comparing different HPV vaccine types or dose schedules was of low or very low‐certainty. In people living with HIV, HPV vaccines result in reasonable levels of immune system response, but evidence about their effects on persistent HPV infection or HPV‐related disease outcomes and harms is limited. Certainty of the evidence No major issues were identified with the methodological quality of the studies for the measurements of infection and disease outcomes, or for immune system responses. Our certainty in the evidence about serious harms and deaths across all the studies comparing different HPV vaccines and vaccine schedules is low, either because of their low frequency or because the evidence is indirect, or both. Evidence graded as high certainty means that we were confident that further research is unlikely to change our findings. Moderate‐certainty evidence means that there is a possibility that further research may have an important effect on our findings, whilst low‐certainty evidence means that our confidence was limited and further research may have an important impact on our findings. Very low‐certainty evidence means that we were uncertain about the result. Conclusion A two‐dose schedule of HPV vaccines in young females results in immune system responses that are comparable with a three‐dose schedule. In males, the quadrivalent HPV vaccine appears to be effective in the prevention of external genital lesions and genital warts. Quadrivalent and nonavalent HPV vaccines in young women result in similar levels of protection against cervical, vaginal, and vulval precancer lesions and cancer. Evidence about the efficacy and harms in people living with HIV is limited. Further long‐term population‐level studies are needed to continue monitoring safety of these vaccines, to determine for how long two doses of vaccine can provide protection against HPV‐related disease, the effect against HPV‐related cancer, and whether a two‐dose immunisation schedule will increase vaccine coverage.</t>
  </si>
  <si>
    <t>Background/Aims: Uveitis is inflammation inside the eye. Our objective was to assess the cost-effectiveness of adalimumab compared with current practice (immunosuppressants and systemic corticosteroids) in patients with non-infectious intermediate, posterior or panuveitis and to identify areas for future research. Method(s): A Markov model was built to estimate costs and benefits of the interventions. Systematic reviews were performed to identify the available relevant clinical and cost-effectiveness evidence. Data collected in two key randomised controlled trials (VISUAL I and VISUAL II) were used to estimate the interventions' effectiveness compared with the trials' comparator arms (placebo plus limited current practice (LCP)). The analysis was performed from the National Health Service and Personal Social Services perspective. Costs were calculated based on standard UK sources. Result(s): The estimated incremental cost-effectiveness ratios (ICERs) of adalimumab versus LCP for the base case are 92 600 and 318 075 per quality-adjusted life year (QALY) gained for active and inactive uveitis, respectively. In sensitivity analyses, the ICER varied from 15 579 to 120 653 and 35 642 to 800 775 per QALY for active and inactive uveitis. Conclusion(s): The estimated ICERs of adalimumab versus LCP are above generally accepted thresholds for cost-effectiveness in the UK. Adalimumab may be more cost-effective in patients with active uveitis at greater risk of blindness. However, there is an unmet need for additional primary data to provide more reliable estimates in several important areas, including effectiveness of adalimumab versus current practice (instead of LCP), incidence of long-term blindness, adalimumab effectiveness in avoiding blindness, and rates and time to remission while on adalimumab. Copyright © 2019 Author(s).</t>
  </si>
  <si>
    <t>Background: Strategies to control varicella vary across Europe. Evidence from established programmes has prompted the United Kingdom to re-evaluate the need for universal vaccination. The burden of complicated varicella is a key parameter in the cost-effectiveness analysis. Aim(s): Our objective was to estimate the burden of complicated varicella in England. Method(s): This electronic health record surveillance study used data from all NHS hospitals in England to identify varicella admissions between 2004 and 2017. The incidence of pre-defined complications of varicella was estimated using ICD-10 codes. Inpatient costs were calculated based on the payment rules for providers of NHS services. Result(s): There were 61,024 admissions with varicella between 2004 and 2017 and 38.1% had a recognised varicella complication. Incidence of hospitalisation increased by 25% and the proportion with complicated varicella by 24% from 2004/05 to 2016/17. The most common complications were bacterial skin infections (11.25%), pneumonia (4.82%), febrile convulsions (3.39%) and encephalitis (2.44%). Complication rates were higher in older age groups and the type of complications more severe. Length of stay for complicated varicella was 3.1 times longer than for uncomplicated varicella and inpatient costs were 72% greater. Conclusion(s): Complicated varicella has a substantial health and economic burden. These data together with data on impact on quality of life are important in informing the cost-effectiveness analysis of universal varicella vaccination. Copyright © 2019 European Centre for Disease Prevention and Control (ECDC). All rights reserved.</t>
  </si>
  <si>
    <t>Treatment for hepatorenal syndrome in people with decompensated liver cirrhosis: a network meta‐analysis</t>
  </si>
  <si>
    <t>- Background Hepatorenal syndrome is defined as renal failure in people with cirrhosis in the absence of other causes. In addition to supportive treatment such as albumin to restore fluid balance, the other potential treatments include systemic vasoconstrictor drugs (such as vasopressin analogues or noradrenaline), renal vasodilator drugs (such as dopamine), transjugular intrahepatic portosystemic shunt (TIPS), and liver support with molecular adsorbent recirculating system (MARS). There is uncertainty over the best treatment regimen for hepatorenal syndrome. Objectives To compare the benefits and harms of different treatments for hepatorenal syndrome in people with decompensated liver cirrhosis. Search methods We searched CENTRAL, MEDLINE, Embase, Science Citation Index Expanded, World Health Organization International Clinical Trials Registry Platform, and trial registers until December 2018 to identify randomised clinical trials on hepatorenal syndrome in people with cirrhosis. Selection criteria We included only randomised clinical trials (irrespective of language, blinding, or publication status) in adults with cirrhosis and hepatorenal syndrome. We excluded randomised clinical trials in which participants had previously undergone liver transplantation. Data collection and analysis Two authors independently identified eligible trials and collected data. The outcomes for this review included mortality, serious adverse events, any adverse events, resolution of hepatorenal syndrome, liver transplantation, and other decompensation events. We performed a network meta‐analysis with OpenBUGS using Bayesian methods and calculated the odds ratio (OR), rate ratio, hazard ratio (HR), and mean difference (MD) with 95% credible intervals (CrI) based on an available‐case analysis, according to National Institute of Health and Care Excellence Decision Support Unit guidance. Main results We included a total of 25 trials (1263 participants; 12 interventions) in the review. Twenty‐three trials (1185 participants) were included in one or more outcomes. All the trials but two were at high risk of bias, and all the evidence was of low or very low certainty. The trials included participants with liver cirrhosis of varied aetiologies as well as a mixture of type I hepatorenal syndrome only, type II hepatorenal syndrome only, or people with both type I and type II hepatorenal syndrome. Participant age ranged from 42 to 60 years, and the proportion of females ranged from 5.8% to 61.5% in the trials that reported this information. The follow‐up in the trials ranged from one week to six months. Overall, 59% of participants died during this period and about 35% of participants recovered from hepatorenal syndrome. The most common interventions compared were albumin plus terlipressin, albumin plus noradrenaline, and albumin alone. There was no evidence of a difference in mortality (22 trials; 1153 participants) at maximal follow‐up between the different interventions. None of the trials reported health‐related quality of life. There was no evidence of differences in the proportion of people with serious adverse events (three trials; 428 participants), number of participants with serious adverse events per participant (two trials; 166 participants), proportion of participants with any adverse events (four trials; 402 participants), the proportion of people who underwent liver transplantation at maximal follow‐up (four trials; 342 participants), or other features of decompensation at maximal follow‐up (one trial; 466 participants). Five trials (293 participants) reported number of any adverse events, and five trials (219 participants) reported treatment costs. Albumin plus noradrenaline had fewer numbers of adverse events per participant (rate ratio 0.51, 95% CrI 0.28 to 0.87). Eighteen trials (1047 participants) reported recovery from hepatorenal syndrome (as per definition of hepatorenal syndrome). In terms of recovery from hepatorenal syndrome, in the direct comparisons, albumin plus midodrine plus octreotide and albumin plus octreotide had lower recovery from hepatorenal syndrome than albumin plus terlipressin (HR 0.04; 95% CrI 0.00 to 0.25 and HR 0.26, 95% CrI 0.07 to 0.80 respectively). There was no evidence of differences between the groups in any of the other direct comparisons. In the network meta‐analysis, albumin and albumin plus midodrine plus octreotide had lower recovery from hepatorenal syndrome compared with albumin plus terlipressin. Funding: two trials were funded by pharmaceutical companies; five trials were funded by parties who had no vested interest in the results of the trial; and 18 trials did not report the source of funding. Authors' conclusions Based on very low‐certainty evidence, there is no evidence of benefit or harm of any of the interventions for hepatorenal syndrome with regards to the following outcomes: all‐cause mortality, serious adverse events (proportion), number of serious adverse events per participant, any adverse events (proportion), liver transplantation, or other decompensation events. Low‐certainty evidence suggests that albumin plus noradrenaline had fewer 'any adverse events per participant' than albumin plus terlipressin. Low‐ or very low‐certainty evidence also found that albumin plus midodrine plus octreotide and albumin alone had lower recovery from hepatorenal syndrome compared with albumin plus terlipressin. Future randomised clinical trials should be adequately powered; employ blinding, avoid post‐randomisation dropouts or planned cross‐overs (or perform an intention‐to‐treat analysis); and report clinically important outcomes such as mortality, health‐related quality of life, adverse events, and recovery from hepatorenal syndrome. Albumin plus noradrenaline and albumin plus terlipressin appear to be the interventions that should be compared in future trials. Plain language summary Treatment of hepatorenal syndrome What is the aim of this Cochrane review? To find out the best treatment for decreased kidney function (hepatorenal syndrome) in people with liver cirrhosis (a form of advanced liver disease with scarring of the liver) with complications. The authors collected and analysed all relevant studies to answer this question and found 25 randomised controlled trials (participants receive the treatment based on method similar to coin toss or lottery; this is to ensure that the people who receive the different treatments are similar in all aspects except the treatment, so that any differences in the results between the treatments can be attributed to the treatment rather than differences in the type of people who received the treatment). During analysis of data, authors used standard Cochrane techniques, which allows comparison of two treatments at a time. Authors also used advanced techniques, that allow comparison of many treatments at the same time (usually referred as 'network meta‐analysis' or 'multiple treatment comparisons'). The aim is to gather reliable evidence on the relative benefits and harms of the different treatments. Date of literature search   December 2018 Key messages   Only two studies were conducted well. The remaining studies had one or more flaws. Therefore, there is high uncertainty in the results of the analysis. The authors could not recommend one treatment over another on the basis of risk of death, serious complications, percentage of people who developed any complication, percentage of participants who underwent liver transplantation (replacement of a diseased liver with a healthy one), or the number of other liver failure events. Health‐related quality of life was not reported in any of the trials. The number of complications of any severity was lower with albumin plus noradrenaline than albumin plus terlipressin. Recovery from hepatorenal syndrome may be lower with albumin plus midodrine plus octreotide and albumin alone than albumin plus terlipressin and albumin plus noradrenaline. Funding source was unclear in 18 studies. Industrial organisations funded two studies and the remaining five studies did not receive any funding from industrial organisations. What was studied in the review? This review studied people of any sex, age, and origin, having advanced liver disease due to various causes, and who had developed hepatorenal syndrome. People were administered different treatments. The review authors excluded studies with liver‐transplanted participants. Participants age, when reported, ranged from 42 to 60 years. The number of females ranged from 6 to 62 out of 100 in the studies that reported this information. The main treatments compared were albumin alone, albumin plus terlipressin, and albumin plus noradrenaline. The authors gathered and analysed data on death, quality of life, serious and non‐serious complications, time to liver transplantation, recovery from hepatorenal syndrome, and disappearance of symptoms. What were the main results of the review? The 25 studies included a small number of participants (1263 participants). Study data were sparse. Twenty‐three studies with 1185 participants provided data for analyses. The follow‐up in the trials ranged from one week to six months. The review shows that: ‐ About 60 out of every 100 people died within three months, and 35 out of every 100 people recovered from hepatorenal syndrome. ‐ The provided treatment may make no difference to the percentage of people who died or developed serious complications, number of serious complications per person, percentage of people who developed complications of any severity, or the percentage of people undergoing liver transplantation. ‐ None of the trials reported health‐related quality of life. ‐ The number of complications of any severity was lower with albumin plus noradrenaline than albumin plus terlipressin. ‐ Recovery from hepatorenal syndrome may be lower with albumin plus midodrine plus octreotide and albumin alone than albumin plus terlipressin and albumin plus noradrenaline. ‐ We have very low confidence in the overall results. ‐ Future trials with proper design and quality are needed to clarify the best treatment for people with advanced liver disease having hepatorenal syndrome.</t>
  </si>
  <si>
    <t>Once‐daily versus multiple‐daily dosing with intravenous aminoglycosides for cystic fibrosis</t>
  </si>
  <si>
    <t>- Background People with cystic fibrosis, who are chronically colonised with the organism Pseudomonas aeruginosa , often require multiple courses of intravenous aminoglycoside antibiotics for the management of pulmonary exacerbations. The properties of aminoglycosides suggest that they could be given in higher doses less often. This is an update of a previously published review. Objectives To assess the effectiveness and safety of once‐daily versus multiple‐daily dosing of intravenous aminoglycoside antibiotics for the management of pulmonary exacerbations in cystic fibrosis. Search methods We searched the Cystic Fibrosis Specialist Register held at the Cochrane Cystic Fibrosis and Genetic Disorders Group's editorial base, comprising references identified from comprehensive electronic database searches, handsearching relevant journals and handsearching abstract books of conference proceedings. Date of the most recent search: 31 January 2019. We also searched online trial registries. Date of latest search: 25 February 2019. Selection criteria All randomised controlled trials, whether published or unpublished, in which once‐daily dosing of aminoglycosides has been compared with multiple‐daily dosing in terms of efficacy or toxicity or both, in people with cystic fibrosis. Data collection and analysis The two authors independently selected the studies to be included in the review and assessed the risk of bias of each study; authors also assessed the quality of the evidence using the GRADE criteria. Data were independently extracted by each author. Authors of the included studies were contacted for further information. As yet unpublished data were obtained for one of the included studies. Main results We identified 15 studies for possible inclusion in the review. Five studies reporting results from a total of 354 participants (aged 5 to 50 years) were included in this review. All studies compared once‐daily dosing with thrice‐daily dosing. One cross‐over trial had 26 participants who received the first‐arm treatment but only 15 received the second arm. One study had a low risk of bias for all criteria assessed; the remaining included studies had a high risk of bias from blinding, but for other criteria were judged to have either an unclear or a low risk of bias. There was little or no difference between treatment groups in: forced expiratory volume in one second, mean difference (MD) 0.33 (95% confidence interval (CI) ‐2.81 to 3.48, moderate‐quality evidence); forced vital capacity, MD 0.29 (95% CI ‐6.58 to 7.16, low‐quality evidence); % weight for height, MD ‐0.82 (95% CI ‐3.77 to 2.13, low‐quality evidence); body mass index, MD 0.00 (95% CI ‐0.42 to 0.42, low‐quality evidence); or in the incidence of ototoxicity, relative risk 0.56 (95% CI 0.04 to 7.96, moderate‐quality evidence). Once‐daily treatment in children probably improved the percentage change in creatinine, MD ‐8.20 (95% CI ‐15.32 to ‐1.08, moderate‐quality evidence), but showed no difference in adults, MD 3.25 (95% CI ‐1.82 to 8.33, moderate‐quality evidence). The included trials did not report antibiotic resistance patterns or quality of life. Authors' conclusions Once‐ and three‐times daily aminoglycoside antibiotics appear to be equally effective in the treatment of pulmonary exacerbations of cystic fibrosis. There is evidence of less nephrotoxicity in children. Plain language summary Giving aminoglycoside antibiotics intravenously once daily compared to giving them several times per day in people with cystic fibrosis Review question We looked for evidence to show the differences between giving intravenous antibiotics once daily compared to giving them several times a day when treating flare ups of disease (pulmonary exacerbations) in people with cystic fibrosis. This is an update of an earlier review. Background Most people with cystic fibrosis develop persistent lung infections and they may receive frequent courses of intravenous antibiotics to treat pulmonary exacerbations. Giving the a tibiotics just once per day rather than several doses per day reduces the cost of treatment and the time involved. Search date The evidence is current to 31 January 2019. Study characteristics This review includes five studies with a total of 354 children and adults. All the trials compared once‐a‐day dosing with three times‐a‐day dosing. Key results The review found that when treating people with cystic fibrosis for pulmonary exacerbations, giving the antibiotics once per day was just as good at as giving them more frequently in terms of lung function and body mass index. The review also found that giving the antibiotics once per day appeared to be less toxic to the kidneys in children. There were no differences between the different treatment schedules for other outcomes that the studies measured. While once‐daily treatment can be just as effective and more convenient than three‐times daily treatment, we recommend further studies to look at the long‐term safety of this treatment schedule. Quality of the evidence We judged that just one of the five studies carried a low risk that any design factors might affect the outcome results. In the remaining four studies, we thought that the fact that it was obvious whether the antibiotics were given once or three times a day could affect some outcome measures (e.g. lung function). Other risk factors were unclear or at low risk of bias. We assessed the evidence for lung function, body mass index and the evidence for side effects (e.g. toxicity) to be moderate to low quality.</t>
  </si>
  <si>
    <t>​Primary closure versus delayed or no closure for traumatic wounds due to mammalian bite</t>
  </si>
  <si>
    <t>- Background Mammalian bites are a common presentation in emergency and primary healthcare facilities across the world. The World Health Organization recommends postponing the suturing of a bite wound but this has not been evaluated through a systematic review. Objectives To assess the effects of primary closure compared with delayed closure or no closure for mammalian bite wounds. Search methods In July 2019 we searched the Cochrane Wounds Specialised Register; the Cochrane Central Register of Controlled Trials (CENTRAL); Ovid MEDLINE (including In‐Process &amp; Other Non‐Indexed Citations); Ovid Embase and EBSCO CINAHL Plus. We also searched clinical trials registries for ongoing and unpublished studies, and scanned reference lists of relevant included studies as well as reviews, meta‐analyses and health technology reports to identify additional studies. There were no restrictions with respect to language, date of publication or study setting. Selection criteria We included randomised controlled trials which compared primary closure with delayed or no closure for traumatic wounds due to mammalian bite. Data collection and analysis Two review authors independently screened titles, abstracts and full‐text publications, applied the inclusion criteria, and extracted data. We pooled data using a random‐effects model, as appropriate. We used the Cochrane 'Risk of bias' tool and assessed the certainty of the evidence using the GRADE approach. Main results We found three trials (878 participants) that compared primary closure with no closure for dog bites and one trial (120 participants) that compared primary closure with delayed closure. No other mammalian bite studies were identified. The trials were from the UK (one trial), Greece (one trial) and China (two trials). Overall, participants from both sexes and all age groups were represented. We are uncertain whether primary closure improves the proportion of wounds which are infection‐free compared with no closure, as the certainty of evidence for this outcome was judged to be very low (risk ratio (RR) 1.01, 95% confidence interval (CI) 0.97 to 1.05; 2 studies, 782 participants; I 2 = 0%). We downgraded the evidence by one level for high risk of bias and two levels for imprecision. There is no clinically important difference in cosmesis (acceptable physical/cosmetic appearance) of dog bite wounds when primary closure is compared with no closure (mean difference (MD) ‐1.31, 95% CI ‐2.03 to ‐0.59; 1 study, 182 participants). The certainty of evidence for this outcome was judged to be moderate (we downgraded our assessment by one level for imprecision). We are uncertain whether primary closure improves the proportion of dog bite wounds that are infection‐free compared with delayed closure, as the evidence for this outcome was judged to be very low (RR 0.98, 95% CI 0.90 to 1.07; 1 study, 120 participants; I 2 = 0%). We downgraded the evidence by one level for high risk of bias and two levels for imprecision. None of the four trials reported any adverse outcomes such as death or rabies but they were, in any case, unlikely to have been large enough to have satisfactory power to provide precise estimates for these. Important outcomes like time to complete wound healing, proportion of wounds healed, and length of hospital stay were not evaluated. Authors' conclusions All the studies we identified concerned dog bites. There is no high‐certainty evidence to support or refute existing recommendations concerning primary closure for dog bites. The potential benefits and harms of primary closure compared with delayed or no closure for mammalian bites remain uncertain and more robust trials are needed. Plain language summary Primary closure (immediate stitches) versus delayed closure (delayed stitches) or no closure (no stitches) for traumatic wounds due to mammalian bite What is the aim of this review? The aim of this review was to find out whether animal bite wounds heal better when they are closed with stitches straight away (primary closure), or if th wounds are left open to heal for a short time before closure (delayed closure) or not stitched at all (no closure). We wanted to find out which wounds healed fastest, and if the method of closure affected the likelihood of wound infection, the appearance of the scar, the length of time patients were in hospital, and more serious side effects such as death. To answer this question, we collected and analysed all relevant studies (randomised controlled trials). Randomised controlled trials are medical studies where people are chosen at random to receive different treatments. This type of trial provides the most reliable health evidence. We found four relevant studies. Key messages All the studies we found concerned dog bites. In terms of wound infection, we cannot be certain whether it is better to close dog bite wounds straight away, or wait a while before stitching, or leave them with no stitches. There was little difference in the appearance of the bite scar. Most of the evidence we found was of low certainty due to the size of the studies and the methods used. What was studied in the review? Mammalian bite wounds from animals such as dogs, cats and monkeys are a common problem throughout the world. In developed countries, many bite wounds are caused by domestic pets. In lower‐income countries bites can also be caused by wild animals. Dogs are generally responsible for the majority of bites. Bite wounds are at high risk of infection as microbes are transmitted into the wound from the animal's mouth. In lower‐income countries these wound infections can lead to serious complications and in some cases death. The first priorities when treating an animal bite are to stop the flow of blood from the wound, provide pain relief, and prevent infection. This can include appropriate vaccination against tetanus and rabies. It is often recommended that bite wounds are not stitched straight away if infection is suspected, as closing an infected wound could delay healing and be potentially fatal. What are the main results of the review? In July 2019 we searched for randomised controlled trials comparing primary closure versus delayed or no closure for mammalian bite wounds. We found four relevant studies on dog bites. They were carried out in the UK, Greece and China. No other mammalian bite studies were identified. Three of the studies we included compared primary closure with sutures (immediate stitches) with no closure for dog bite wounds. One study compared primary closure with delayed closure for dog bites. The people in the studies were followed, where stated, from 14 days to three months. Overall, participants from both sexes and all age groups were represented. We are uncertain whether primary closure of dog bite wounds increases the proportion of wounds which are infection‐free compared with no closure (very low‐certainty evidence from two studies including a total of 782 people) and compared with delayed closure (very low‐certainty evidence from one study with a total of 120 people). There is little difference in the appearance of dog bite wounds when primary closure is compared with no closure (moderate‐certainty evidence from one study with a total of 182 participants). None of the included studies reported proportion of wounds healed, the time to complete wound healing, length of hospital stay or adverse events. The number of people in the included studies was small, and the people who assessed the outcomes were aware of which treatment had been given. Both of these are reasons why the results are uncertain. How up to date is this review? We searched for studies that had been published up to July 2019.</t>
  </si>
  <si>
    <t>Background The WHO recognises several specialist rehabilitation provision models; in-patient, outpatient and outreach. Intensive early neurorehabilitation is required after severe Acquired Brain Injury (ABI), usually necessitating in-patient care. In the UK, children receiving specialist neurorehabilitation often remain in-patients for long periods because of the lack of appropriate out-of-hospital provision. Aims To explore feasibility and funding implications of developing a regional specialist neurorehabilitation outreach service to facilitate earlier discharge. Methods Analysis of data on children receiving in-patient neurorehabilitation at a paediatric Regional Neuroscience Centre (RNSC), 2014-2018. Information concerning therapy provision was obtained from Trust Clinical Information System Suite (CISS). Patient dependency and rehabilitation complexity was assessed by Rehabilitation Complexity Scale-Extended (RCS-E), scored by multi-disciplinary team (MDT) at weekly meetings over 15 months. For modelling purposes, a specialist neurorehabilitation outreach tariff equating to 50% in-patient tariff was assumed. Data analysis was undertaken by linear programming model (XpressIve©) and Discrete-Even Simulation (Simul8 ©).Various eligibility criteria for outreach provision were modelled: 1) needing &gt;=1 therapies&lt;3 times/week; 2) Total RCS-E score &lt;9,&lt;11 or&lt;13; 3) Therapy Dependency (TD) +Therapy Intensity (TI) components of RCS-E &lt;5. Results 156 children received neurorehabilitation as in-patients over 4 years. Mean age=7.34 years (range 0.1-17). 66 (55%) were male, 53 (45%) female. 84% had ABI, others acquired spinal injury, acute polyneuropathy or somatisation disorders. 52% lived &gt;40 miles from RNSC, 47%&gt;60 min' drive away. 49% were inpatients 1-28 days; 34%, 29-84 days; 18, 85-168 days; 6,&gt;168 days. Patients showed significant functional improvements between admission to neurorehabilitation and discharge (p&lt;0.001). Modelling suggests 14 outreach centres, including RNSC, would be required to permit 78% patients to access specialist neurorehabilitation &lt;30 mins drive from home; 10 centres would permit 92% to access neurorehabilitation &lt;45 min' drive away; 8 centres would permit 96% to access neurorehabilitation &lt;60 min' drive away. Calculations assuming outreach tariff=50% in-patient tariff, and various RCS data models, suggest annual cost savings ranging from 53,424-166,950; calculations based on CISS data, suggest average savings of 1 05 596 per year (range 98,500-113,526). Conclusion Modelling supports the feasibility and affordability of specialist neurorehabilitation outreach provision, although efficacy remains uncertain.</t>
  </si>
  <si>
    <t>- Background Exercise training is commonly recommended for individuals with fibromyalgia. This review is one of a series of reviews about exercise training for fibromyalgia that will replace the review titled Exercise for treating fibromyalgia syndrome", which was first published in 2002. Objectives To evaluate the benefits and harms of mixed exercise training protocols that include two or more types of exercise (aerobic, resistance, flexibility) for adults with fibromyalgia against control (treatment as usual, wait list control), non exercise (e.g. biofeedback), or other exercise (e.g. mixed versus flexibility) interventions.  Specific comparisons involving mixed exercise versus other exercises (e.g. resistance, aquatic, aerobic, flexibility, and whole body vibration exercises) were not assessed. Search methods We searched the Cochrane Library, MEDLINE, Embase, the Cumulative Index to Nursing and Allied Health Literature (CINAHL), Thesis and Dissertations Abstracts, the Allied and Complementary Medicine Database (AMED), the Physiotherapy Evidence Databese (PEDro), Current Controlled Trials (to 2013), WHO ICTRP, and ClinicalTrials.gov up to December 2017, unrestricted by language, to identify all potentially relevant trials. Selection criteria We included randomised controlled trials (RCTs) in adults with a diagnosis of fibromyalgia that compared mixed exercise interventions with other or no exercise interventions. Major outcomes were health‐related quality of life (HRQL), pain, stiffness, fatigue, physical function, withdrawals, and adverse events. Data collection and analysis Two review authors independently selected trials for inclusion, extracted data, and assessed risk of bias and the quality of evidence for major outcomes using the GRADE approach. Main results We included 29 RCTs (2088 participants; 98% female; average age 51 years) that compared mixed exercise interventions (including at least two of the following: aerobic or cardiorespiratory, resistance or muscle strengthening exercise, and flexibility exercise) versus control (e.g. wait list), non‐exercise (e.g. biofeedback), and other exercise interventions. Design flaws across studies led to selection, performance, detection, and selective reporting biases. We prioritised the findings of mixed exercise compared to control and present them fully here. Twenty‐one trials (1253 participants) provided moderate‐quality evidence for all major outcomes but stiffness (low quality). With the exception of withdrawals and adverse events, major outcome measures were self‐reported and expressed on a 0 to 100 scale (lower values are best, negative mean differences (MDs) indicate improvement; we used a clinically important difference between groups of 15% relative difference). Results for mixed exercise versus control show that mean HRQL was 56 and 49 in the control and exercise groups, respectively (13 studies; 610 participants) with absolute improvement of 7% (3% better to 11% better) and relative improvement of 12% (6% better to 18% better). Mean pain was 58.6 and 53 in the control and exercise groups, respectively (15 studies; 832 participants) with absolute improvement of 5% (1% better to 9% better) and relative improvement of 9% (3% better to 15% better). Mean fatigue was 72 and 59 points in the control and exercise groups, respectively (1 study; 493 participants) with absolute improvement of 13% (8% better to 18% better) and relative improvement of 18% (11% better to 24% better). Mean stiffness was 68 and 61 in the control and exercise groups, respectively (5 studies; 261 participants) with absolute improvement of 7% (1% better to 12% better) and relative improvement of 9% (1% better to 17% better). Mean physical function was 49 and 38 in the control and exercise groups, respectively (9 studies; 477 participants) with absolute improvement of 11% (7% better to 15% better) and relative improvement of 22% (14% better to 30% better). Pooled analysis resulted in a moderate‐quality risk ratio for all‐cause withdrawals with similar rates acro s groups (11 per 100 and 12 per 100 in the control and intervention groups, respectively) (19 studies; 1065 participants; risk ratio (RR) 1.02, 95% confidence interval (CI) 0.69 to 1.51) with an absolute change of 1% (3% fewer to 5% more) and a relative change of 11% (28% fewer to 47% more). Across all 21 studies, no injuries or other adverse events were reported; however some participants experienced increased fibromyalgia symptoms (pain, soreness, or tiredness) during or after exercise. However due to low event rates, we are uncertain of the precise risks with exercise. Mixed exercise may improve HRQL and physical function and may decrease pain and fatigue; all‐cause withdrawal was similar across groups, and mixed exercises may slightly reduce stiffness. For fatigue, physical function, HRQL, and stiffness, we cannot rule in or out a clinically relevant change, as the confidence intervals include both clinically important and unimportant effects. We found very low‐quality evidence on long‐term effects. In eight trials, HRQL, fatigue, and physical function improvement persisted at 6 to 52 or more weeks post intervention but improvements in stiffness and pain did not persist. Withdrawals and adverse events were not measured. It is uncertain whether mixed versus other non‐exercise or other exercise interventions improve HRQL and physical function or decrease symptoms because the quality of evidence was very low. The interventions were heterogeneous, and results were often based on small single studies. Adverse events with these interventions were not measured, and thus uncertainty surrounds the risk of adverse events. Authors' conclusions Compared to control, moderate‐quality evidence indicates that mixed exercise probably improves HRQL, physical function, and fatigue, but this improvement may be small and clinically unimportant for some participants; physical function shows improvement in all participants. Withdrawal was similar across groups. Low‐quality evidence suggests that mixed exercise may slightly improve stiffness. Very low‐quality evidence indicates that we are 'uncertain' whether the long‐term effects of mixed exercise are maintained for all outcomes; all‐cause withdrawals and adverse events were not measured. Compared to other exercise or non‐exercise interventions, we are uncertain about the effects of mixed exercise because we found only very low‐quality evidence obtained from small, very heterogeneous trials. Although mixed exercise appears to be well tolerated (similar withdrawal rates across groups), evidence on adverse events is scarce, so we are uncertain about its safety. We downgraded the evidence from these trials due to imprecision (small trials), selection bias (e.g. allocation), blinding of participants and care providers or outcome assessors, and selective reporting. Plain language summary Mixed exercise programmes for adults with fibromyalgia What is fibromyalgia and what is mixed exercise? Fibromyalgia is a condition causing chronic pain and soreness throughout the body. People with this condition often feel depressed, tired, and stiff, and have difficulty sleeping. Mixed exercise is defined as regular sessions of two or more types of exercise including aerobic (walking or cycling), strengthening (lifting weights or pulling against resistance bands), or flexibility (stretching) exercise. Study characteristics Reviewers searched for studies until December 2017, and found 29 studies (2088 people) conducted in 12 different countries. The average age of study participants was 51 years, and 98% were female. The average exercise programme was 14 weeks long with three sessions of 50 to 60 minutes per week. All exercise programmes were fully or partially supervised. Reviewers were most interested in comparing mixed exercise groups to control groups (19 studies; 1065 people). People in control groups either received no treatment or continued their usual care. Key results – mixed exercise vs control Each outcome below is measured on a scale that goes from 0 to 100, where lower sco es are better. Health‐related quality of life (HRQL) After 5 to 26 weeks, people who exercised were 7% better (3% better to 11% better) or improved by 7 points on a 100 point scale. People who exercised rated their HRQL at 49 points. People in the control group rated their HRQL at 56 points. Pain After 5 to 26 weeks, people who exercised had 5% less pain (1% better to 9% better) or improved by 5 points on a 100 point scale. People who exercised rated their pain at 53 points. People in the control group rated their pain at 58.6 points. Tiredness After 14 to 24 weeks, people who exercised were 13% less tired (8% better to 18% better) or improved by 13 points on a 100 point scale People who exercised rated their tiredness at 59 points. People in the control group rated their tiredness at 72 points. Stiffness After 16 weeks, people who exercised were 7% less stiff (1% better 1 to 12% better) or improved by 7 points on a 100 point scale. People who exercised rated their stiffness at 61 points. People in the control group rated their stiffness at 68 points. Ability to do daily activities (physical function) After 8 to 24 weeks, people who exercised were 11% better (7% to 15%) or improved by 11 points on a 100 point scale. People who exercised rated their physical function at 38 points. People in the control group rated their physical function at 49 points. Harms ‐ Some participants experienced increased pain, soreness, or tiredness during or after exercise. Studies reported no injuries or other harms. However, reporting of harms was missing or incomplete in many studies. We are uncertain whether risk is increased with exercise. Leaving the study early – 11% of control participants left the study early compared with 12% of exercisers. Long‐term effects ‐ Analysis of long‐term effects of HRQL showed maintenance of mixed exercise effects at 6 to 12 weeks and at 13 to 26 weeks but not at 27 to 52 weeks. Very low‐quality evidence suggests that it is uncertain whether mixed exercises improve HRQL in the long term. Withdrawals and adverse events were not measured. Other ‐ Reviewers found no evidence that the benefits and harms of mixed exercise were any different from education programmes, cognitive‐behavioural training, biofeedback, medication, or other types of exercise. Conclusions and quality of evidence Mixed exercise may improve HRQL and the ability to do daily activities, may decrease pain and tiredness, and may be acceptable to individuals with fibromyalgia. Low‐quality evidence suggests that mixed exercise may slightly improve stiffness. When compared to other exercise or non‐exercise interventions, we are uncertain about the effects of mixed exercise. Although mixed exercise appears to be well tolerated (similar numbers of people leaving the study across groups), evidence on harms was scarce, so we are uncertain about its safety. Reviewers considered the quality of evidence to be low to moderate because of small numbers of people in the studies, some issues involving study design, and the low quality of results."</t>
  </si>
  <si>
    <t>Background: Ankle and foot sprains and fractures are prevalent injuries, which may result in substantial physical and economic consequences for the patient and place a financial burden on the health care system. Therefore, the objectives of this paper are to examine the direct and indirect costs of treating ankle and foot injuries (sprains, dislocations, fractures), as well as to provide an overview of the outcomes of full economic analyses of different treatment strategies. Method(s): A systematic review was carried out among seven databases to identify English language publications on the health economics of ankle and foot injury treatment published between 1980 and 2014. The direct and indirect costs were abstracted by two independent reviewers. All costs were adjusted for inflation and reported in 2016 US dollars (USD). Result(s): Among 2047 identified studies, 32 were selected for analysis. The direct costs of ankle sprain management ranged from $292 to $2268 per patient (2016 USD), depending on the injury severity and treatment strategy. The direct costs of managing ankle fractures were higher ($1908-$19,555). Foot fracture treatment had similar direct costs ranging from $998 to $21,801. The economic evaluations were conducted from the societal or payer's perspectives. Conclusion(s): The costs of treating ankle and foot sprains and fractures varied among the studies, mostly due to differences in injury type and study characteristics, which impacted the ability of directly comparing the financial burden of treatment. Nonetheless, the review showed that the costs experienced by the patient and the health care system increased with injury complexity. Copyright © 2017 Elsevier Ltd</t>
  </si>
  <si>
    <t>BACKGROUND CONTEXT: Patient access to current best evidence primary care treatment for acute lower back remains highly problematic. Treatment pathway models have the potential to improve patient access to care, provide seamless transitions from one form of treatment to another, optimize clinical outcomes, improve cost-effectiveness and reduce progression to chronic illness /pain. A standardized protocol of hospital-based outpatient clinic chiropractic lumbar spinal manipulative therapy (CSMT) as a component of care for patients with acute lower back pain (ALBP) has been previously validated. PURPOSE: To determine the feasibility and patient satisfaction of a community-based standardized chiropractic treatment protocol as a component of a primary care spine treatment pathway in the treatment of patients with ALBP. STUDY DESIGN/SETTING: Feasibility prospective cohort study. PATIENT SAMPLE: Inclusion: Patients with ALBP without radiculopathy of less than 24 weeks; Exclusion: Red flag conditions; SPECT scan positive facet arthropathy; &gt; Grade IV Thompson lumbar disc degeneration at one or more levels; relevant DSM 5 diagnoses; third-party insurer involvement. OUTCOME MEASURES: Willingness to participate of ALBP patients and community chiropractors. Rate of compliance with a standardized treatment protocol in community-based chiropractors. Patient wait times, satisfaction scores, pre- and post-VAS and ODI scores, need for additional imaging, rate of discharge from hospital outpatient clinic. METHOD(S): Community-based chiropractors from three British Columbia Provincial Health Regions agreed to accept referrals from a hospital-supervised primary care spine program to treat ALBP patients with a standardized protocol comprised of a maximum four-week course of lumbar spine CSMT only and a lumbar spine flexibility instruction exercise program. Participating patients were seen for follow-up in the hospital spine outpatient clinic at four and eight weeks post-treatment. RESULT(S): Over the five-year duration of the study, 368/380 (97%) of eligible patients and 21/26 (81%) of community-based chiropractors agreed to participate. Seventeen of 21 chiropractors (81%) consistently administered treatment within the boundaries of the standardized research study protocol. VAS and ODI scores improved significantly in 320/368 (87%) patients. The average wait time for access to treatment was 7.4 days. Eighty-two percent of patients reported high satisfaction scores. The rate of required additional diagnostic imaging was 3%. Rates of discharge from the hospital spine program outpatient clinic with no requested follow-up by six months was 86%. CONCLUSION(S): A standardized protocol of CSMT and flexibility exercise instruction administered by community-based chiropractors to a specific cohort of patients with ALBP is a feasible component of a primary care spine treatment pathway. FDA DEVICE/DRUG STATUS: This abstract does not discuss or include any applicable devices or drugs. Copyright © 2019</t>
  </si>
  <si>
    <t>- Background The lateral flow urine lipoarabinomannan (LF‐LAM) assay Alere Determine™ TB LAM Ag is recommended by the World Health Organization (WHO) to help detect active tuberculosis in HIV‐positive people with severe HIV disease. This review update asks the question, does new evidence justify the use of LF‐LAM in a broader group of people?”, and is part of the WHO process for updating guidance on the use of LF‐LAM. Objectives To assess the accuracy of LF‐LAM for the diagnosis of active tuberculosis among HIV‐positive adults with signs and symptoms of tuberculosis (symptomatic participants) and among HIV‐positive adults irrespective of signs and symptoms of tuberculosis (unselected participants not assessed for tuberculosis signs and symptoms). The proposed role for LF‐LAM is as an add on to clinical judgement and with other tests to assist in diagnosing tuberculosis. Search methods We searched the Cochrane Infectious Diseases Group Specialized Register; MEDLINE, Embase, Science Citation Index, Web of Science, Latin American Caribbean Health Sciences Literature, Scopus, the WHO International Clinical Trials Registry Platform, the International Standard Randomized Controlled Trial Number Registry, and ProQuest, without language restriction to 11 May 2018. Selection criteria Randomized trials, cross‐sectional, and observational cohort studies that evaluated LF‐LAM for active tuberculosis (pulmonary and extrapulmonary) in HIV‐positive adults. We included studies that used the manufacturer's recommended threshold for test positivity, either the updated reference card with four bands (grade 1 of 4) or the corresponding prior reference card grade with five bands (grade 2 of 5). The reference standard was culture or nucleic acid amplification test from any body site (microbiological). We considered a higher quality reference standard to be one in which two or more specimen types were evaluated for tuberculosis diagnosis and a lower quality reference standard to be one in which only one specimen type was evaluated. Data collection and analysis Two review authors independently extracted data using a standardized form and REDCap electronic data capture tools. We appraised the quality of studies using the Quality Assessment of Diagnostic Accuracy Studies‐2 (QUADAS‐2) tool and performed meta‐analyses to estimate pooled sensitivity and specificity using a bivariate random‐effects model and a Bayesian approach. We analyzed studies enrolling strictly symptomatic participants separately from those enrolling unselected participants. We investigated pre‐defined sources of heterogeneity including the influence of CD4 count and clinical setting on the accuracy estimates. We assessed the certainty of the evidence using the GRADE approach. Main results We included 15 unique studies (nine new studies and six studies from the original review that met the inclusion criteria): eight studies among symptomatic adults and seven studies among unselected adults. All studies were conducted in low‐ or middle‐income countries. Risk of bias was high in the patient selection and reference standard domains, mainly because studies excluded participants unable to produce sputum and used a lower quality reference standard. Participants with tuberculosis symptoms LF‐LAM pooled sensitivity (95% credible interval (CrI) ) was 42% (31% to 55%) (moderate‐certainty evidence) and pooled specificity was 91% (85% to 95%) (very low‐certainty evidence), (8 studies, 3449 participants, 37% with tuberculosis). For a population of 1000 people where 300 have microbiologically‐confirmed tuberculosis, the utilization of LF‐LAM would result in: 189 to be LF‐LAM positive: of these, 63 (33%) would not have tuberculosis (false‐positives); and 811 to be LF‐LAM negative: of these, 174 (21%) would have tuberculosis (false‐negatives). By clinical setting, pooled sensitivity was 52% (40% to 64%) among inpatients versus 29% (17% to 47%) among outpatients; and pooled specificity was 87% (78% to 93%) among inpatien s versus 96% (91% to 99%) among outpatients. Stratified by CD4 cell count, pooled sensitivity increased, and specificity decreased with lower CD4 cell count. Unselected participants not assessed for signs and symptoms of tuberculosis LF‐LAM pooled sensitivity was 35% (22% to 50%), (moderate‐certainty evidence) and pooled specificity was 95% (89% to 96%), (low‐certainty evidence), (7 studies, 3365 participants, 13% with tuberculosis). For a population of 1000 people where 100 have microbiologically‐confirmed tuberculosis, the utilization of LF‐LAM would result in: 80 to be LF‐LAM positive: of these, 45 (56%) would not have tuberculosis (false‐positives); and 920 to be LF‐LAM negative: of these, 65 (7%) would have tuberculosis (false‐negatives). By clinical setting, pooled sensitivity was 62% (41% to 83%) among inpatients versus 31% (18% to 47%) among outpatients; pooled specificity was 84% (48% to 96%) among inpatients versus 95% (87% to 99%) among outpatients. Stratified by CD4 cell count, pooled sensitivity increased, and specificity decreased with lower CD4 cell count. Authors' conclusions We found that LF‐LAM has a sensitivity of 42% to diagnose tuberculosis in HIV‐positive individuals with tuberculosis symptoms and 35% in HIV‐positive individuals not assessed for tuberculosis symptoms, consistent with findings reported previously. Regardless of how people are enrolled, sensitivity is higher in inpatients and those with lower CD4 cell, but a concomitant lower specificity. As a simple point‐of‐care test that does not depend upon sputum evaluation, LF‐LAM may assist with the diagnosis of tuberculosis, particularly when a sputum specimen cannot be produced. 17 October 2019 Up to date All studies incorporated from most recent search All studies identified during the most recent search (11 May, 2018) have been incorporated in the review, and no ongoing studies identified. Plain language summary Lateral flow urine lipoarabinomannan assay for detecting active tuberculosis in people living with HIV Why is improving the diagnosis of tuberculosis important? Tuberculosis causes more deaths in people living with HIV than any other disease. The lateral flow urine lipoarabinomannan assay (LF‐LAM, Alere Determine™ TB LAM Ag assay) is a World Health Organization‐recommended rapid test to assist in detection of active tuberculosis in HIV‐positive people with severe HIV disease. Rapid and early tuberculosis diagnosis may allow for prompt treatment and alleviate severe illness and death. An incorrect tuberculosis diagnosis may result in anxiety and unnecessary treatment. What is the aim of this review? To find out how accurate LF‐LAM is for diagnosing tuberculosis in HIV‐positive people with tuberculosis symptoms (symptomatic participants) and those not assessed for tuberculosis symptoms (unselected participants). This is an update of the 2016 Cochrane Review. What was studied in this review? LF‐LAM is a commercially available point‐of‐care test that detects lipoarabinomannan (LAM), a component of the bacterial cell walls, present in some people with active tuberculosis. The test is simple and shows results in 25 minutes. LF‐LAM results were measured against culture or molecular tests (benchmark). What are the main results of this review? Fifteen studies: eight studies evaluated LF‐LAM for tuberculosis among symptomatic participants and seven studies among unselected participants. All studies were conducted in low‐ or middle‐income countries. Tuberculosis diagnosis among symptomatic participants: LF‐LAM registered positive in 42% (sensitivity) of people who actually had tuberculosis and did not register positive in 91% of people who were actually negative (specificity). Tuberculosis diagnosis among unselected participants: LF‐LAM sensitivity was 35% and specificity 95%. How confident are we in the review’s results? Several studies excluded participants who could not produce sputum and most studies relied on a lower quality benchmark. Few studies and participants were included in some analyses and only one study was conducted outside of sub‐Saharan Africa. Results should be interpreted with caution. What do the results mean? Among symptomatic participants, in theory, for a population of 1000 people where 300 have microbiologically‐confirmed tuberculosis, the utilization of LF‐LAM would result in: 189 to be LF‐LAM positive: of these, 63 (33%) would not have tuberculosis (false‐positives); and 811 to be LF‐LAM negative: of these, 174 (21%) would have tuberculosis (false‐negatives). Among unselected participants, in theory, for a population of 1000 people where 100 have microbiologically‐confirmed tuberculosis, the utilization of LF‐LAM would result in: 80 to be LF‐LAM positive: of these, 45 (56%) would not have tuberculosis (false‐positives); and 920 to be LF‐LAM negative: of these, 65 (7%) would have tuberculosis (false‐negatives). Who do the review’s results apply to? HIV‐positive people with tuberculosis symptoms and those not assessed for tuberculosis symptoms. What are the implications of this review? LF‐LAM has sensitivity around 40% to detect tuberculosis. As the test does not require sputum collection, LF‐LAM may be the only way to diagnose tuberculosis when sputum cannot be produced. How up‐to‐date is this review? To 11 May 2018."</t>
  </si>
  <si>
    <t>Objectives: Cardiovascular disease (CVD) affects approximately 6 million people in England and costs the NHS an estimated 7 billion a year. A key risk factor for CVD is hypercholesterolaemia. PCSK9 inhibitors, such as alirocumab and evolocumab, are a treatment option for patients who, despite taking the maximum tolerated dose of statins, still have cholesterol higher than recommended levels. This study compares actual prescription of PCSK9 inhibitors with expected use and considers opportunities for improved access to these drugs. Method(s): An analysis of the initial uptake estimates from the NICE resource impact report for alirocumab and evolocumab and actual daily dose (ADD) prescribing data from the NICE innovation scorecard for the same drugs in 2018. The study included a review of the NICE technology appraisal guidance (TAG) for alirocumab (TA393) and evolocumab (TA394), and publications from 2016-2019 relating to uptake of, and guidance and initiatives associated with, PCSK9 inhibitors in England. Result(s): On publication of the TAG for alirocumab and evolocumab in 2016, NICE estimated that there would be 11,542 people receiving PCSK9 inhibitors by 2018. However, analysis of data from the NICE innovation scorecard for 2018 shows that 755,806 ADDs of alirocumab and evolocumab were actually prescribed. This is equivalent to approximately 2,069 people receiving treatment and indicates that uptake of PCSK9 inhibitors was 82% lower than expected in 2018. Conclusion(s): While there is considerable potential for PCSK9 inhibitors to alleviate some of the burden of CVD, prescription of these drugs is considerably lower than expected. Despite price reduction, the cost of PCSK9 inhibitors may remain the main barrier to access to these drugs. Further barriers could include a lack of clear guidance for clinicians, patient identification and, until recently, limited clinical trial data regarding CVD outcomes. New initiatives, such as the Accelerated Access Collaborative, may ultimately lead to improved access to PCSK9 inhibitors. Copyright © 2019</t>
  </si>
  <si>
    <t>Objective To compare the efficacy, safety, and cost utility of continuous subcutaneous insulin infusion (CSII) with multiple daily injection (MDI) regimens during the first year following diagnosis of type 1 diabetes in children and young people. Design Pragmatic, multicentre, open label, parallel group, randomised controlled trial and economic evaluation. Setting 15 paediatric National Health Service (NHS) diabetes services in England and Wales. The study opened to recruitment in May 2011 and closed in January 2017. Participants Patients aged between 7 months and 15 years, with a new diagnosis of type 1 diabetes were eligible to participate. Patients who had a sibling with the disease, and those who took drug treatments or had additional diagnoses that could have affected glycaemic control were ineligible. Interventions Participants were randomised, stratified by age and treating centre, to start treatment with CSII or MDI within 14 days of diagnosis. Starting doses of aspart (CSII and MDI) and glargine or detemir (MDI) were calculated according to weight and age, and titrated according to blood glucose measurements and according to local clinical practice. Main outcome measures Primary outcome was glycaemic control (as measured by glycated haemoglobin; HbA1c) at 12 months. Secondary outcomes were percentage of patients in each treatment arm with HbA1c within the national target range, incidence of severe hypoglycaemia and diabetic ketoacidosis, change in height and body mass index (as measured by standard deviation scores), insulin requirements (units/kg/day), partial remission rate (insulin dose adjusted HbA1c &lt;9), paediatric quality of life inventory score, and cost utility based on the incremental cost per quality adjusted life year (QALY) gained from an NHS costing perspective. Results 294 participants were randomised and 293 included in intention to treat analyses (CSI, n=144; MDI, n=149). At 12 months, mean HbA1c was comparable with clinically unimportant differences between CSII and MDI participants (60.9 mmol/mol v 58.5 mmol/mol, mean difference 2.4 mmol/mol (95% confidence interval -0.4 to 5.3), P=0.09). Achievement of HbA1c lower than 58 mmol/mol was low among the two groups (66/143 (46%) CSII participants v 78/142 (55%) MDI participants; relative risk 0.84 (95% confidence interval 0.67 to 1.06)). Incidence of severe hypoglycaemia and diabetic ketoacidosis were low in both groups. Fifty four non-serious and 14 serious adverse events were reported during CSII treatment, and 17 non-serious and eight serious adverse events during MDI treatment. Parents (but not children) reported superior PedsQL scores for those patients treated with CSII compared to those treated with MDI. CSII was more expensive than MDI by 1863 (2179; $2474; 95% confidence interval 1620 to 2137) per patient, with no additional QALY gains (difference -0.006 (95% confidence interval -0.031 to 0.018)). Conclusion During the first year following type 1 diabetes diagnosis, no clinical benefit of CSII over MDI was identified in children and young people in the UK setting, and treatment with either regimen was suboptimal in achieving HbA1c thresholds. CSII was not cost effective. Trial registration Current Controlled Trials ISRCTN29255275; European Clinical Trials Database 2010-023792-25. Copyright © Published by the BMJ Publishing Group Limited.</t>
  </si>
  <si>
    <t>Perioperative beta‐blockers for preventing surgery‐related mortality and morbidity in adults undergoing non‐cardiac surgery</t>
  </si>
  <si>
    <t>- Background Randomized controlled trials (RCTs) have yielded conflicting results regarding the ability of beta‐blockers to influence perioperative cardiovascular morbidity and mortality. Thus routine prescription of these drugs in an unselected population remains a controversial issue. A previous version of this review assessing the effectiveness of perioperative beta‐blockers in cardiac and non‐cardiac surgery was last published in 2018. The previous review has now been split into two reviews according to type of surgery. This is an update, and assesses the evidence in non‐cardiac surgery only. Objectives To assess the effectiveness of perioperatively administered beta‐blockers for the prevention of surgery‐related mortality and morbidity in adults undergoing non‐cardiac surgery. Search methods We searched CENTRAL, MEDLINE, Embase, CINAHL, Biosis Previews and Conference Proceedings Citation Index‐Science on 28 June 2019. We searched clinical trials registers and grey literature, and conducted backward‐ and forward‐citation searching of relevant articles. Selection criteria We included RCTs and quasi‐randomized studies comparing beta‐blockers with a control (placebo or standard care) administered during the perioperative period to adults undergoing non‐cardiac surgery. If studies included surgery with different types of anaesthesia, we included them if 70% participants, or at least 100 participants, received general anaesthesia. We excluded studies in which all participants in the standard care control group were given a pharmacological agent that was not given to participants in the intervention group, studies in which all participants in the control group were given a beta‐blocker, and studies in which beta‐blockers were given with an additional agent (e.g. magnesium). We excluded studies that did not measure or report review outcomes. Data collection and analysis Two review authors independently assessed studies for inclusion, extracted data, and assessed risks of bias. We assessed the certainty of evidence with GRADE. Main results We included 83 RCTs with 14,967 participants; we found no quasi‐randomized studies. All participants were undergoing non‐cardiac surgery, and types of surgery ranged from low to high risk. Types of beta‐blockers were: propranolol, metoprolol, esmolol, landiolol, nadolol, atenolol, labetalol, oxprenolol, and pindolol. In nine studies, beta‐blockers were titrated according to heart rate or blood pressure. Duration of administration varied between studies, as did the time at which drugs were administered; in most studies, it was intraoperatively, but in 18 studies it was before surgery, in six postoperatively, one multi‐arm study included groups of different timings, and one study did not report timing of drug administration. Overall, we found that more than half of the studies did not sufficiently report methods used for randomization. All studies in which the control was standard care were at high risk of performance bias because of the open‐label study design. Only two studies were prospectively registered with clinical trials registers, which limited the assessment of reporting bias. In six studies, participants in the control group were given beta‐blockers as rescue therapy during the study period. The evidence for all‐cause mortality at 30 days was uncertain; based on the risk of death in the control group of 25 per 1000, the effect with beta‐blockers was between two fewer and 13 more per 1000 (risk ratio (RR) 1.17, 95% confidence interval (CI) 0.89 to 1.54; 16 studies, 11,446 participants; low‐certainty evidence). Beta‐blockers may reduce the incidence of myocardial infarction by 13 fewer incidences per 1000 (RR 0.72, 95% CI 0.60 to 0.87; 12 studies, 10,520 participants; low‐certainty evidence). We found no evidence of a difference in cerebrovascular events (RR 1.65, 95% CI 0.97 to 2.81; 6 studies, 9460 participants; low‐certainty evidence), or in ventricular arrhythmias (RR 0.72, 95% CI 0.35 to 1.47; 5 studies, 47 participants; very low‐certainty evidence). Beta‐blockers may reduce atrial fibrillation or flutter by 26 fewer incidences per 1000 (RR 0.41, 95% CI 0.21 to 0.79; 9 studies, 9080 participants; low‐certainty evidence). However, beta‐blockers may increase bradycardia by 55 more incidences per 1000 (RR 2.49, 95% CI 1.74 to 3.56; 49 studies, 12,239 participants; low‐certainty evidence), and hypotension by 44 more per 1000 (RR 1.40, 95% CI 1.29 to 1.51; 49 studies, 12,304 participants; moderate‐certainty evidence). We downgraded the certainty of the evidence owing to study limitations; some studies had high risks of bias, and the effects were sometimes altered when we excluded studies with a standard care control group (including only placebo‐controlled trials showed an increase in early mortality and cerebrovascular events with beta‐blockers). We also downgraded for inconsistency; one large, well‐conducted, international study found a reduction in myocardial infarction, and an increase in cerebrovascular events and all‐cause mortality, when beta‐blockers were used, but other studies showed no evidence of a difference. We could not explain the reason for the inconsistency in the evidence for ventricular arrhythmias, and we also downgraded this outcome for imprecision because we found few studies with few participants. Authors' conclusions The evidence for early all‐cause mortality with perioperative beta‐blockers was uncertain. We found no evidence of a difference in cerebrovascular events or ventricular arrhythmias, and the certainty of the evidence for these outcomes was low and very low. We found low‐certainty evidence that beta‐blockers may reduce atrial fibrillation and myocardial infarctions. However, beta‐blockers may increase bradycardia (low‐certainty evidence) and probably increase hypotension (moderate‐certainty evidence). Further evidence from large placebo‐controlled trials is likely to increase the certainty of these findings, and we recommend the assessment of impact on quality of life. We found 18 studies awaiting classification; inclusion of these studies in future updates may also increase the certainty of the evidence. Plain language summary Beta‐blockers to prevent death or serious events after surgery not involving the heart This review assessed evidence from randomized controlled trials (RCTs) on whether beta‐blockers reduce deaths or other serious events when given to people undergoing surgery other than heart surgery. The findings for heart surgery are covered in another review. Background Surgery increases stress in the body, which responds by releasing the hormones adrenaline and noradrenaline. Stress from surgery can lead to death or other serious events such as heart attacks, stroke, or an irregular heartbeat. For surgery that does not involve the heart, an estimated 8% of people may have injury to their heart around the time of surgery. Beta‐blockers are drugs that block the action of adrenaline and noradrenaline on the heart. Beta‐blockers can slow down the heart, and reduce blood pressure, and this may reduce the risk of serious events. However, beta‐blockers may lead to a very low heart rate or very low blood pressure which could increase the risk of death or a stroke. Prevention of early complications after surgery is important, but using beta‐blockers to prevent these complications is controversial. Study characteristics The evidence is current to 28 June 2019. We included 83 RCTs with 14,967 adults who were undergoing different types of surgery other than heart surgery. Eighteen studies are awaiting classification (because we did not have enough details to assess them), and three studies are ongoing. The types of beta‐blockers used in the studies were: propranolol, metoprolol, esmolol, landiolol, nadolol, atenolol, labetalol, oxprenolol, and pindolol. Studies compared these beta‐blockers with either a placebo (disguised to look like a beta‐blocker but containing no medicine) or with standard care. Key results Beta‐blockers may make l ttle or no difference to the number of people who die within 30 days of surgery (16 studies, 11,446 participants; low‐certainty evidence), have a stroke (6 studies, 9460 participants; low‐certainty evidence), or experience ventricular arrhythmias (irregular heartbeat rhythms, starting in the main chambers of the heart, that are potentially life‐threatening and may need immediate medical treatment; 5 studies, 476 participants; very low‐certainty evidence). We found that beta‐blockers may reduce atrial fibrillation (an irregular heartbeat, starting in the atrial chambers of the heart, that increases the risk of stroke if untreated; 9 studies, 9080 participants; low certainty‐evidence), and the number of people who have a heart attack (12 studies, 10,520 participants; low‐certainty evidence). However, taking beta‐blockers may increase the number of people who experience a very low heart rate (49 studies, 12,239 participants; low‐certainty evidence), or very low blood pressure (49 studies, 12,304 participants; moderate‐certainty evidence), around the time of surgery. In a few studies, we also found little or no difference in the number of people who died after 30 days, who died because of a heart problem, or had heart failure. We found no evidence of whether beta‐blockers alter the length of time in hospital. No studies assessed whether people who were given beta‐blockers had a better quality of life after heart surgery. Certainty of the evidence The certainty of the evidence in this review was limited by including some studies that were at high risk of bias, and we noticed that some of our findings were different if we only included placebo‐controlled studies or studies that reported how participants were randomized. We also found one large, well‐conducted, international study that had different findings to the smaller studies. It showed a reduction in heart attacks and an increase in stroke and all‐cause mortality when beta‐blockers were used, whilst the other studies did not show a clear effect. We were also less certain of the findings for outcomes with few studies, such as for ventricular arrhythmias. Conclusion Although beta‐blockers may make little or no difference to the number of people who die within 30 days, have a stroke, or have ventricular arrhythmias, they may reduce atrial fibrillation and heart attacks. Taking beta‐blockers may increase the number of people with a very low heart rate or very low blood pressure around the time of surgery. Further evidence from large, placebo‐controlled trials is likely to increase the certainty of these findings, and we recommend the assessment of impact on quality of life.</t>
  </si>
  <si>
    <t>Perioperative beta‐blockers for preventing surgery‐related mortality and morbidity in adults undergoing cardiac surgery</t>
  </si>
  <si>
    <t>- Background Randomized controlled trials (RCTs) have yielded conflicting results regarding the ability of beta‐blockers to influence perioperative cardiovascular morbidity and mortality. Thus routine prescription of these drugs in unselected patients remains a controversial issue. A previous version of this review assessing the effectiveness of perioperative beta‐blockers in cardiac and non‐cardiac surgery was last published in 2018. The previous review has now been split into two reviews according to type of surgery. This is an update and assesses the evidence in cardiac surgery only. Objectives To assess the effectiveness of perioperatively administered beta‐blockers for the prevention of surgery‐related mortality and morbidity in adults undergoing cardiac surgery. Search methods We searched CENTRAL, MEDLINE, Embase, CINAHL, Biosis Previews and Conference Proceedings Citation Index‐Science on 28 June 2019. We searched clinical trials registers and grey literature, and conducted backward‐ and forward‐citation searching of relevant articles. Selection criteria We included RCTs and quasi‐randomized studies comparing beta‐blockers with a control (placebo or standard care) administered during the perioperative period to adults undergoing cardiac surgery. We excluded studies in which all participants in the standard care control group were given a pharmacological agent that was not given to participants in the intervention group, studies in which all participants in the control group were given a beta‐blocker, and studies in which beta‐blockers were given with an additional agent (e.g. magnesium). We excluded studies that did not measure or report review outcomes. Data collection and analysis Two review authors independently assessed studies for inclusion, extracted data, and assessed risks of bias. We assessed the certainty of evidence with GRADE. Main results We included 63 studies with 7768 participants; six studies were quasi‐randomized and the remaining were RCTs. All participants were undergoing cardiac surgery, and in most studies, at least some of the participants were previously taking beta‐blockers. Types of beta‐blockers were: propranolol, metoprolol, sotalol, esmolol, landiolol, acebutolol, timolol, carvedilol, nadolol, and atenolol. In twelve studies, beta‐blockers were titrated according to heart rate or blood pressure. Duration of administration varied between studies, as did the time at which drugs were administered; in nine studies this was before surgery, in 20 studies during surgery, and in the remaining studies beta‐blockers were started postoperatively. Overall, we found that most studies did not report sufficient details for us to adequately assess risk of bias. In particular, few studies reported methods used to randomize participants to groups. In some studies, participants in the control group were given beta‐blockers as rescue therapy during the study period, and all studies in which the control was standard care were at high risk of performance bias because of the open‐label study design. No studies were prospectively registered with clinical trials registers, which limited the assessment of reporting bias. We judged 68% studies to be at high risk of bias in at least one domain. Study authors reported few deaths (7 per 1000 in both the intervention and control groups), and we found low‐certainty evidence that beta‐blockers may make little or no difference to all‐cause mortality at 30 days (risk ratio (RR) 0.95, 95% confidence interval (CI) 0.47 to 1.90; 29 studies, 4099 participants). For myocardial infarctions, we found no evidence of a difference in events (RR 1.05, 95% CI 0.72 to 1.52; 25 studies, 3946 participants; low‐certainty evidence). Few study authors reported cerebrovascular events, and the evidence was uncertain (RR 1.37, 95% CI 0.51 to 3.67; 5 studies, 1471 participants; very low‐certainty evidence). Based on a control risk of 54 per 1000, we found low‐certainty evidence that beta‐blockers may reduce episodes of ventr cular arrhythmias by 32 episodes per 1000 (RR 0.40, 95% CI 0.25 to 0.63; 12 studies, 2296 participants). For atrial fibrillation or flutter, there may be 163 fewer incidences with beta‐blockers, based on a control risk of 327 incidences per 1000 (RR 0.50, 95% CI 0.42 to 0.59; 40 studies, 5650 participants; low‐certainty evidence). However, the evidence for bradycardia and hypotension was less certain. We found that beta‐blockers may make little or no difference to bradycardia (RR 1.63, 95% CI 0.92 to 2.91; 12 studies, 1640 participants; low‐certainty evidence), or hypotension (RR 1.84, 95% CI 0.89 to 3.80; 10 studies, 1538 participants; low‐certainty evidence). We used GRADE to downgrade the certainty of evidence. Owing to studies at high risk of bias in at least one domain, we downgraded each outcome for study limitations. Based on effect size calculations in the previous review, we found an insufficient number of participants in all outcomes (except atrial fibrillation) and, for some outcomes, we noted a wide confidence interval; therefore, we also downgraded outcomes owing to imprecision. The evidence for atrial fibrillation and length of hospital stay had a moderate level of statistical heterogeneity which we could not explain, and we, therefore, downgraded these outcomes for inconsistency. Authors' conclusions We found no evidence of a difference in early all‐cause mortality, myocardial infarction, cerebrovascular events, hypotension and bradycardia. However, there may be a reduction in atrial fibrillation and ventricular arrhythmias when beta‐blockers are used. A larger sample size is likely to increase the certainty of this evidence. Four studies awaiting classification may alter the conclusions of this review. Plain language summary Beta‐blockers to prevent death or serious events after heart surgery This review assessed evidence of whether beta‐blockers given around the time of surgery can reduce death or other serious events for people undergoing heart surgery. Background People undergoing heart surgery are at greater risk of complications and death. Heart surgery increases the amount of stress in the body, causing the release of the hormones adrenaline and noradrenaline. This stress can lead to serious events including death, heart attacks, stroke, or an irregular heartbeat. Beta‐blockers are drugs that block the action of adrenaline and noradrenaline on the heart. Beta‐blockers can slow down the heart and reduce blood pressure, and this effect may reduce the risk of serious events. However, they can also lead to a very low heart rate or very low blood pressure, and this effect may increase the risk of death or a stroke. Prevention of complications around the time of surgery is an important safety consideration for people undergoing heart surgery. Study characteristics The evidence is current to 28 June 2019. We included 63 studies with 7768 adults who were undergoing heart surgery, including coronary artery bypass graft and valve replacement surgery. Studies were mostly randomized controlled studies, and six were quasi‐randomized (participants were allocated to groups by methods such as using hospital record numbers or dates of birth). The types of beta‐blockers were: propranolol, metoprolol, sotalol, esmolol, landiolol, acebutolol, timolol, carvedilol, nadolol, and atenolol. These beta‐blockers were compared with either a placebo (disguised to look like a beta‐blocker but containing no medicine) or with standard care. Beta‐blockers were started before surgery, during surgery or at the latest by the end of the first day after surgery. The length of time beta‐blockers were given varied between studies. In most studies, at least some of the people were already taking beta‐blockers, which would be expected for people who had conditions that needed heart surgery. Key results Beta‐blockers probably make little or no difference to the number of people who die (29 studies, 4099 participants) or have a heart attack (25 studies, 3946 participants) within 30 days of surgery. This w s supported by low‐certainty evidence. Few studies reported on people who had a stroke, and we were uncertain whether or not beta‐blockers reduced strokes because the certainty of the evidence was very low (5 studies, 1471 participants). Beta‐blockers may reduce atrial fibrillation, which is an irregular heartbeat starting in the atrial chambers of the heart that increases the risk of stroke if untreated (40 studies, 5650 participants; low‐certainty evidence). Beta‐blockers may also reduce ventricular arrhythmias, which are potentially life‐threatening irregular heartbeat rhythms originating in the main chambers of the heart, and which may need immediate medical treatment (12 studies, 2296 participants). We found that beta‐blockers may make little or no difference to whether people experience a very low heart rate or very low blood pressure. We were uncertain whether beta‐blockers made a difference to the number of deaths up to a year after surgery (3 studies, 511 participants), to death because of the heart (4 studies, 320 participants), or to people who had heart failure (3 studies, 311 participants). The certainty of this evidence was very low. People who took beta‐blockers had a shorter hospital stay by about half a day (14 studies, 2450 participants; low‐certainty evidence). No studies assessed whether people on beta‐blockers had a better quality of life after heart surgery. Certainty of the evidence The certainty of the evidence in this review was mostly low. We found that many studies reported methods that we believed could influence the results. For example, many studies did not use a placebo‐control and the doctors might, therefore, have treated people differently in each group. We were unable to explain some of the differences that we found in the data for atrial fibrillation. We also needed to have evidence from a larger number of participants to be very confident in our findings. Conclusion Beta‐blockers may be beneficial for people who are undergoing cardiac surgery because they may reduce the number of people who experience atrial fibrillation and ventricular arrhythmias. Beta‐blockers may make little or no difference to the other outcomes in this review, including death, heart attacks or stroke.</t>
  </si>
  <si>
    <t>- Background Cerebral palsy (CP) is the most common cause of physical disabilities in children in high‐income countries. Spasticity is the most common motor disturbance in CP. Botulinum toxin type A (BoNT‐A) is considered the first‐line treatment for focal spasticity in people with CP. Objectives To evaluate the effectiveness and safety of BoNT‐A compared to other treatments used in the management of lower limb spasticity in children with CP. Search methods We searched CENTRAL, PubMed, four other databases, and two trial registers in October 2018. We also searched the reference lists of relevant studies and reviews and contacted experts in the field. We did not apply any date or language restrictions. Selection criteria Randomised controlled trials of children with CP, aged between birth and 19 years, treated with BoNT‐A injections in the lower limb muscles compared to other interventions. The primary outcomes were gait analysis and function. The secondary outcomes were joint range of motion, quality of life, satisfaction, spasticity, and adverse events. Data collection and analysis Two review authors independently selected studies, extracted data, assessed risk of bias, and rated the quality of the evidence using GRADE. A third review author arbitrated in case of disagreements. We conducted meta‐analyses of available data whenever possible, analysing dichotomous data with risk ratios (RR), and continuous data with mean differences (MD) or standardised mean differences (SMD), with 95% confidence intervals (CI). We considered a 5% significance level for all analyses. Whenever possible, we analysed outcomes at the time points at which they were assessed: short term (2 to 8 weeks); medium term (12 to 16 weeks); and long term (&gt; 24 weeks). Main results We included 31 randomised controlled trials assessing 1508 participants. Most studies included ambulatory patients with more than one motor type of CP, and with a mean age of between three and seven years. There was a slight predominance of males. Studies compared BoNT‐A in the lower limb muscles to usual care or physiotherapy (14 studies), placebo or sham (12 studies), serial casting (4 studies), or orthoses (1 study). We rated studies as at high or unclear risk of bias mainly due to random sequence generation, allocation concealment, blinding of participants and personnel, and blinding of outcome assessment. BoNT‐A versus usual care or physiotherapy BoNT‐A might improve overall gait scores at medium‐term follow‐up (MD 2.80, 95% CI 1.55 to 4.05; 1 study, 40 children; very low‐quality evidence) and is moderately effective at improving function at short‐term (SMD 0.59, 95% CI 0.23 to 0.95; 2 studies, 123 children) and medium‐term (SMD 1.04, 95% CI 0.16 to 1.91; 4 studies, 191 children) follow‐up (all very low‐quality evidence). BoNT‐A improves ankle range of motion, satisfaction, and ankle plantarflexors spasticity at one or more time points (very low‐quality evidence). The proportion of adverse events in the BoNT‐A group was 0.37 (95% CI 0.08 to 0.66; I 2 = 95%; very low‐quality evidence). No adverse events were reported in the control group. BoNT‐A versus placebo or sham BoNT‐A improves overall gait scores at short‐term (RR 1.66, 95% CI 1.16 to 2.37, P = 0.006; 4 studies, 261 assessments) and medium‐term (RR 1.90, 95% CI 1.32 to 2.74, P &lt; 0.001; 3 studies, 248 assessments) follow‐up, and may improve peak ankle dorsiflexion in stance (MD 15.90 degrees, 95% CI 4.87 to 26.93, P = 0.005; 1 study, 19 children) and in swing (MD 10.20 degrees, 95% CI 4.01 to 16.39, P = 0.001; 1 study, 19 children) at short‐term follow‐up (all moderate‐quality evidence). BoNT‐A is not more effective than placebo or sham at improving function at short‐term (SMD 0.24, 95% CI −0.35 to 0.83, P = 0.42; 4 studies, 305 children) or long‐term (SMD −0.07, 95% CI −0.48 to 0.35, P = 0.76; 2 studies, 91 children) follow‐up, but has a small positive effect at medium‐term follow‐up (SMD 0.28, 95% CI 0.06 to 0.49, P = 0.01; 5 studies, 327 children) (all moderate‐quality evidence). BoNT‐A improves passive ankle range of motion, satisfaction, and ankle plantarflexors spasticity at one or more time points (moderate‐quality evidence). There was no difference between groups in the rate of adverse events at short‐term follow‐up (RR 1.29, 95% CI 0.87 to 1.93, P = 0.21; 12 studies, 918 children; moderate‐quality evidence). BoNT‐A versus serial casting There was no difference between groups for overall gait scores at short‐term (MD 0.00, 95% CI −1.66 to 1.66); medium‐term (MD 0.65, 95% CI −1.21 to 2.51); or long‐term (MD 0.46, 95% CI −1.33 to 2.25) follow‐up in one study with 18 children (moderate‐quality evidence). BoNT‐A improved instrumented gait analysis only in terms of ankle dorsiflexion at initial contact (MD 6.59 degrees, 95% CI 1.39 to 11.78, P = 0.01; 2 studies, 47 children). There was no difference between groups for peak ankle dorsiflexion in stance and swing, and gait speed at any time point (moderate‐ and low‐quality evidence). BoNT‐A is not more effective than serial casting at improving function, ankle range of motion, and spasticity at any time point (moderate‐ and low‐quality evidence). BoNT‐A is not associated with a higher risk of adverse events than serial casting (RR 0.59, 95% CI 0.03 to 11.03; 3 studies, 64 children; low‐quality evidence). BoNT‐A versus orthoses There was no difference between groups for function at medium‐term follow‐up (MD 11.14, 95% CI −0.05 to 22.33; 1 study, 43 children), but BoNT‐A is more effective than orthoses at improving hip range of motion and hip adductors spasticity (all very low‐quality evidence). Authors' conclusions The quality of the evidence was low or very low for most of the outcomes analysed. We found limited evidence that BoNT‐A is more effective than placebo or a non‐placebo control at improving gait, joint range of motion, satisfaction, and lower limb spasticity in children with CP, whereas the results for function were contradictory. The rate of adverse events with BoNT‐A is similar to placebo. BoNT‐A is not more effective than ankle serial casting to treat ankle contractures for any of the assessed outcomes, but is more effective than orthotics at improving range of motion and spasticity. Plain language summary Botulinum toxin type A injections for the treatment of lower limb spasticity in cerebral palsy Background Cerebral palsy (CP) is a non‐progressive, lifelong condition resulting from damage to the developing brain. Over time, most children with CP will develop abnormal muscle activity and stiffness/overactivity (spasticity) that affects at least one limb and interferes with their normal movement. Treatments for spasticity include physiotherapy, oral antispasticity drugs (a type of medication that works to relax the muscles and relieve spasticity), casts, splints, orthopaedic surgery, and botulinum toxin A (BoNT‐A; a poisonous biological substance that is thought to relieve spasticity by reducing muscle overactivity when injected into the muscle). This review looked at the effects of BoNT‐A. Review question The aim of this review was to assess and summarise scientific studies comparing BoNT‐A injections to other treatments for lower limb spasticity in children with CP. Study characteristics We found 31 studies assessing 1508 participants. The use of BoNT‐A in the lower limb muscles was compared to: (1) children's regular care or physiotherapy, (2) placebo (fake injections), (3) a series of below‐knee plaster casts, and (4) leg splints. Key results Children receiving BoNT‐A injections tended to have improved walking pattern (gait), joint range of motion, satisfaction with outcome of treatment, and muscle spasms compared with their usual programme of care or physiotherapy, or placebo. Measures of function tended to show only modest improvements in children receiving BoNT‐A injections. The rate of side effects was similar when comparing BoNT‐A injections to placebo. BoNT‐A injections and plaster cas s below the knee produced similar benefits in walking and joint motion and relieving spasms. In addition, BoNT‐A provided better results in terms of joint range of motion compared to a specific type of splinting (Johnstone pressure splints). Quality of the evidence We considered the quality of the evidence as very low for the comparison BoNT‐A versus usual care or physiotherapy; moderate for the comparison BoNT‐A versus placebo; moderate and low for the comparison BoNT‐A versus plaster casts; and very low for the comparison BoNT‐A versus splints. Conclusion There is limited evidence that, compared to placebo or regular care, BoNT‐A improves walking, joint motion, satisfaction with the outcome of treatment, and muscle spasticity in children with CP. The rate of side effects with BoNT‐A was similar to placebo. BoNT‐A was no better than plaster casts in any of our analyses, but was better than splints at improving range of motion and spasticity.</t>
  </si>
  <si>
    <t>Non‐steroidal anti‐inflammatory drugs for heavy menstrual bleeding</t>
  </si>
  <si>
    <t>- Background Heavy menstrual bleeding (HMB) is an important cause of ill health in premenopausal women. Although surgery is often used as a treatment, a range of medical therapies are also available. Non‐steroidal anti‐inflammatory drugs (NSAIDs) reduce prostaglandin levels, which are elevated in women with excessive menstrual bleeding and also may have a beneficial effect on dysmenorrhoea. Objectives To determine the effectiveness, safety and tolerability of NSAIDs in achieving a reduction in menstrual blood loss (MBL) in women of reproductive years with HMB. Search methods We searched, in April 2019, the Cochrane Gynaecology and Fertility specialised register, Cochrane Central Register of Studies Online (CENTRAL CRSO), MEDLINE, Embase, PsycINFO, the clinical trial registries and reference lists of articles. Selection criteria The inclusion criteria were randomised comparisons of individual NSAIDs or combined with other medical therapy with each other, placebo or other medical treatments in women with regular heavy periods measured either objectively or subjectively and with no pathological or iatrogenic (treatment‐induced) causes for their HMB. Data collection and analysis We identified 19 randomised controlled trials (RCTs) (759 women) that fulfilled the inclusion criteria for this review and two review authors independently extracted data. We estimated odds ratios (ORs) for dichotomous outcomes and mean differences (MDs) for continuous outcomes from the data of nine trials. We described in data tables the results of the remaining seven cross‐over trials with data unsuitable for pooling, one trial with skewed data, and one trial with missing variances. One trial had no data available for analysis. Main results As a group, NSAIDs were more effective than placebo at reducing HMB but less effective than tranexamic acid, danazol or the levonorgestrel‐releasing intrauterine system (LNG IUS). Treatment with danazol caused a shorter duration of menstruation and more adverse events than NSAIDs, but this did not appear to affect the acceptability of treatment, based on trials from 1980 to 1990. However, currently danazol is not a usual or recommended treatment for HMB. There was no clear evidence of difference between NSAIDs and the other treatments (oral luteal progestogen, ethamsylate, an older progesterone‐releasing intrauterine system and the oral contraceptive pill (OCP), but most studies were underpowered. There was no evidence of a difference between the individual NSAIDs (naproxen and mefenamic acid) in reducing HMB. The evidence quality ranged from low to moderate, the main limitations being risk of bias and imprecision. Authors' conclusions NSAIDs reduce HMB when compared with placebo, but are less effective than tranexamic acid, danazol or LNG IUS. However, adverse events are more severe with danazol therapy. In the limited number of small studies suitable for evaluation, there was no clear evidence of a difference in efficacy between NSAIDs and other medical treatments such as oral luteal progestogen, ethamsylate, OCP or the older progesterone‐releasing intrauterine system. Plain language summary Are non‐steroidal anti‐inflammatory drugs safe and effective for treating heavy menstrual bleeding? Review question Cochrane authors investigated whether non‐steroidal anti‐inflammatory drugs (NSAIDs) helped reduce heavy menstrual bleeding (HMB) in women before they reach the menopause. Background NSAIDs reduce prostaglandin levels, which are elevated in women with excessive menstrual bleeding. It was suggested that they might help with heavy bleeding and may have a beneficial effect on painful menstrual periods. Study characteristics Authors search medical databases and identified 19 randomised controlled trials (RCTs; clinical studies where people are randomly put into one of two or more treatment groups) with 759 women that could be included in the review, but data from only nine trials were suitable for analyses. Key results Women sought help for HMB when it affected their quality f life. Levels of prostaglandin (a naturally occurring hormone) are higher in women with HMB and are reduced by NSAIDs. The review of trials found that NSAIDs were modestly effective in reducing HMB, but other medicines, such as danazol, tranexamic acid and levonorgestrel‐releasing intrauterine system (LNG IUS), are more effective. These results were based on a small number of low‐ to moderate‐quality trials. Quality of the evidence The evidence quality ranged from low to moderate, the main limitations being poor reporting of study methods and imprecision resulting from small study numbers.</t>
  </si>
  <si>
    <t>- Background Heavy menstrual bleeding (HMB) is a significant health problem in premenopausal women; it can reduce their quality of life and can cause social disruption and physical problems such as iron deficiency anaemia. First‐line treatment has traditionally consisted of medical therapy (hormonal and non‐hormonal), but this is not always successful in reducing menstrual bleeding to acceptable levels. Hysterectomy is a definitive treatment, but it is more costly and carries some risk. Endometrial ablation may be an alternative to hysterectomy that preserves the uterus. Many techniques have been developed to 'ablate' (remove) the lining of the endometrium. First‐generation techniques require visualisation of the uterus with a hysteroscope during the procedure; although it is safe, this procedure requires specific technical skills. Newer techniques for endometrial ablation (second‐ and third‐generation techniques) have been developed that are quicker than previous approaches because they do not require hysteroscopic visualisation during the procedure. Objectives To compare the efficacy, safety, and acceptability of endometrial destruction techniques to reduce heavy menstrual bleeding (HMB) in premenopausal women. Search methods We searched the Cochrane Gynaecology and Fertility Group Specialised Register of controlled trials, the Cochrane Central Register of Controlled Trials (CENTRAL) in the Cochrane Library, MEDLINE, Embase, CINAHL, and PsycInfo (from inception to May 2018). We also searched trials registers, other sources of unpublished or grey literature, and reference lists of retrieved studies, and we made contact with experts in the field and with pharmaceutical companies that manufacture ablation devices. Selection criteria Randomised controlled trials (RCTs) comparing different endometrial ablation or resection techniques for women reporting HMB without known uterine pathology, other than fibroids outside the uterine cavity and smaller than 3 centimetres, were eligible. Outcomes included improvement in HMB and in quality of life, patient satisfaction, operative outcomes, complications, and the need for further surgery, including hysterectomy. Data collection and analysis Two review authors independently selected trials for inclusion, assessed trials for risk of bias, and extracted data. We contacted study authors for clarification of methods or for additional data. We assessed adverse events only if they were separately measured in the included trials. We undertook comparisons with individual techniques as well as an overall comparison of first‐ and second‐generation ablation methods. Main results We included in this update 28 studies (4287 women) with sample sizes ranging from 20 to 372. Most studies had low risk of bias for randomisation, attrition, and selective reporting. Less than half of these studies had adequate allocation concealment, and most were unblinded. Using GRADE, we determined that the quality of evidence ranged from moderate to very low. We downgraded evidence for risk of bias, imprecision, and inconsistency. Overall comparison of second‐generation versus first‐generation (i.e. gold standard hysteroscopic ablative) techniques revealed no evidence of differences in amenorrhoea at 1 year and 2 to 5 years' follow‐up (risk ratio (RR) 0.99, 95% confidence interval (CI) 0.78 to 1.27; 12 studies; 2145 women; I² = 77%; and RR 1.16, 95% CI 0.78 to 1.72; 672 women; 4 studies; I² = 80%; very low‐quality evidence) and showed subjective improvement at 1 year follow‐up based on a Pictorial Blood Assessment Chart (PBAC) (&lt; 75 or acceptable improvement) (RR 1.03, 95% CI 0.98 to 1.09; 5 studies; 1282 women; I² = 0%; and RR 1.12, 95% CI 0.97 to 1.28; 236 women; 1 study; low‐quality evidence). Study results showed no difference in patient satisfaction between second‐ and first‐generation techniques at 1 year follow‐up (RR 1.01, 95% CI 0.98 to 1.04; 11 studies; 1750 women; I² = 36%; low‐quality evidence) nor at 2 to 5 years' follow‐up (RR 1.02, 95% CI 0.93 t 1.13; 672 women; 4 studies; I² = 81%). Compared with first‐generation techniques, second‐generation endometrial ablation techniques were associated with shorter operating times (mean difference (MD) ‐13.52 minutes, 95% CI ‐16.90 to ‐10.13; 9 studies; 1822 women; low‐quality evidence) and more often were performed under local rather than general anaesthesia (RR 2.8, 95% CI 1.8 to 4.4; 6 studies; 1434 women; low‐quality evidence). We are uncertain whether perforation rates differed between second‐ and first‐generation techniques (RR 0.32, 95% CI 0.10 to 1.01; 1885 women; 8 studies; I² = 0%). Trials reported little or no difference between second‐ and first‐generation techniques in requirement for additional surgery (ablation or hysterectomy) at 1 year follow‐up (RR 0.72, 95% CI 0.41 to 1.26; 6 studies: 935 women; low‐quality evidence). At 5 years, results showed probably little or no difference between groups in the requirement for hysterectomy (RR 0.85, 95% CI 0.59 to 1.22; 4 studies; 758 women; moderate‐quality evidence). Authors' conclusions Approaches to endometrial ablation have evolved from first‐generation techniques to newer second‐ and third‐generation approaches. Current evidence suggests that compared to first‐generation techniques (endometrial laser ablation, transcervical resection of the endometrium, rollerball endometrial ablation), second‐generation approaches (thermal balloon endometrial ablation, microwave endometrial ablation, hydrothermal ablation, bipolar radiofrequency endometrial ablation, endometrial cryotherapy) are of equivalent efficacy for heavy menstrual bleeding, with comparable rates of amenorrhoea and improvement on the PBAC. Second‐generation techniques are associated with shorter operating times and are performed more often under local rather than general anaesthesia. It is uncertain whether perforation rates differed between second‐ and first‐generation techniques. Evidence was insufficient to show which second‐generation approaches were superior to others and to reveal the efficacy and safety of third‐generation approaches versus first‐ and second‐generation techniques. Plain language summary Are newer methods for destroying the lining of the uterus (endometrial ablation) more effective and safer compared to established methods? Review question This review compared the effectiveness, safety, acceptability, and complication rates of first‐, second‐ and third‐generation methods available to destroy the endometrium (lining of the uterus) for treatment of heavy menstrual bleeding (heavy periods) in premenopausal women. Background Medication and hysterectomy (surgery to remove the womb) used to be the main treatment options for heavy menstrual bleeding. Both are still effective and safe options, but available new treatments focus on removing the lining of the womb (endometrium) from which the bleeding comes. These procedures involve either removing the endometrium (resection) or destroying it with thermal (heat) energy from a laser, electrical instruments, or other devices (ablation). These treatments can stop or reduce menstrual bleeding. Study characteristics This review identified 28 randomised controlled trials undertaken in 4287 women. Most of the women knew which treatment they were receiving, which may have influenced their judgements about menstrual blood loss and satisfaction. Other aspects of study quality varied among trials. Evidence is current to May 2018. Nineteen of the 28 trials acknowledged that they received funding, supplies of equipment, or technical assistance from the pharmaceutical industry and from equipment manufacturers. Key results Moderate‐ to very low‐quality evidence suggests that first‐ and second‐generation approaches were equally effective in the treatment of HMB. Newer (second‐generation) treatment approaches were safer in terms of rate of fluid overload, cervical lacerations, and haematometra, with similar rates of uterine perforation. The newer approaches (second‐generation ablation) w re quicker and were more likely to be done under local (rather than general) anaesthesia compared with first‐generation approaches. Most women in both groups were satisfied with results of the procedure. Not enough evidence is available to show which second‐generation approaches are superior to others, and information about third‐generation approaches is not available for comparison. Quality of the evidence Evidence ranged from moderate to very low quality. Few studies were blinded, data were limited, and heterogeneity was substantial for some outcomes, leading to downgrading of the quality of evidence.</t>
  </si>
  <si>
    <t>- Background Heavy menstrual bleeding (HMB) is a menstrual blood loss perceived by women as excessive that affects the health of women of reproductive age, interfering with their physical, emotional, social and material quality of life. Whilst abnormal menstrual bleeding may be associated with underlying pathology, in the present context, HMB is defined as excessive menstrual bleeding in the absence of other systemic or gynaecological disease. The first‐line therapy is usually medical, avoiding possibly unnecessary surgery. Of the wide variety of medications used to reduce HMB, oral progestogens were originally the most commonly prescribed agents. This review assesses the effectiveness of two different types and regimens of oral progestogens in reducing ovulatory HMB. This is the update of a Cochrane review last updated in 2007, and originally named Effectiveness of cyclical progestagen therapy in reducing heavy menstrual bleeding" (1998). Objectives To determine the effectiveness, safety and tolerability of oral progestogen therapy taken either during the luteal phase (short cycle) or for a longer course of 21 days per cycle (long cycle), in achieving a reduction in menstrual blood loss in women of reproductive age with HMB. Search methods In January 2019 we searched Cochrane Gynaecology and Fertility's specialized register, CENTRAL, MEDLINE, Embase, CINAHL and PsycInfo. We also searched trials registers, other sources of unpublished or grey literature and reference lists of retrieved trials. We also checked citation lists of review articles to identify trials. Selection criteria Randomized controlled trials (RCTs) comparing different treatments for HMB that included cyclical oral progestogens were eligible. Data collection and analysis Two review authors independently selected trials for inclusion, assessed trials for risk of bias and extracted data. We contacted trial authors for clarification of methods or additional data when necessary. We only assessed adverse events if they were separately measured in the included trials. We compared cyclical oral progestogen in different regimens and placebo or other treatments. Our primary outcomes were menstrual blood loss and satisfaction with treatment; the secondary outcomes were number of days of bleeding, quality of life, compliance and acceptability of treatment, adverse events and costs. Main results This review identified 15 randomized controlled trials (RCTs) with 1071 women in total. Most of the women knew which treatment they were receiving, which may have influenced their judgements about menstrual blood loss and satisfaction. Other aspects of trial quality varied among trials. We did not identify any RCTs comparing progestogen treatment with placebo . We assessed comparisons between oral progestogens and other medical therapies separately according to different regimens. Short‐cycle progestogen therapy during the luteal phase (medroxyprogesterone acetate or norethisterone for 7 to 10 days, from day 15 to 19) was inferior to other medical therapy, including tranexamic acid, danazol and the progestogen‐releasing intrauterine system (Pg‐IUS (off the market since 2001)), releasing 60 mcg of progesterone daily, with respect to reduction of menstrual blood loss (mean difference (MD) 37.29, 95% confidence interval (CI) 17.67 to 56.91; I 2 = 50%; 6 trials, 145 women, low‐quality evidence). The rate of satisfaction and the quality of life with treatment was similar in both groups. The number of bleeding days was greater on the short cycle progestogen group compared to other medical treatments. Adverse events (such as gastrointestinal symptoms and weight gain) were more likely with danazol when compared with progestogen treatment. We note that danazol is no longer in general use for treating HMB. Long‐cycle progestogen therapy (medroxyprogesterone acetate or norethisterone), from day 5 to day 26 of the menstrual cycle, is also inferior compared to the levonorgestrel‐releasing intrauterine system (LNG‐IUS), tranexamic acid and ormeloxifene, ut may be similar to the combined vaginal ring with respect to reduction of menstrual blood loss (MD 16.88, 95% CI 10.93 to 22.84; I 2 = 87%; 4 trials, 355 women, very low‐quality evidence). There was no clear evidence of a difference between progestogen therapy long cycle and other medical therapy in terms of headache (OR 1.45, 95% CI 0.40 to 5.31; I 2 = 0%; 2 trials, 189 women; low‐quality evidence). Breakthrough bleeding or spotting was more likely in women with the LNG‐IUS (OR 0.18, 95% CI 0.06 to 0.55; I 2 = 0%; 3 trials, 220 women; low‐quality evidence). No trials reported on days of bleeding or quality of life for this comparison. The evidence supporting these findings was limited by low or very low gradings of quality; thus, we are uncertain about the findings and there is a potential that they may change if we identify other trials. Authors' conclusions Low‐ or very low‐quality evidence suggests that short‐course progestogen was inferior to other medical therapy, including tranexamic acid, danazol and the Pg‐IUS with respect to reduction of menstrual blood loss. Long cycle progestogen therapy (medroxyprogesterone acetate or norethisterone) was also inferior to the LNG‐IUS, tranexamic acid and ormeloxifene, but may be similar to the combined vaginal ring with respect to reduction of menstrual blood loss. Plain language summary Are cyclical progestogens an effective and safe treatment for heavy menstrual bleeding compared to other medical treatments? Background Heavy menstrual bleeding (HMB) is menstrual bleeding (periods) that interferes with a woman's quality of life, either physical, emotional, social or material, independently of the actual amount of blood loss. Most women with HMB do not have any associated physical cause, such as fibroids, so getting help that does not involve surgery is an attractive alternative. A cyclical progestogen is a hormone tablet that can be taken by mouth for either 10 days or 3 to 4 weeks per month for the treatment of HMB (short or long course cyclical progestogen). Trial characteristics This review identified 15 randomized controlled trials (clinical studies where people are randomly put into one of two or more treatment groups) with 1071 women in total comparing oral progestogens to other medical treatment for HMB (other oral treatments, intrauterine device and vaginal ring). Our primary outcomes were menstrual blood loss and satisfaction with treatment; the secondary outcomes were number of days of bleeding, quality of life, compliance and acceptability of treatment, adverse events and costs. Evidence is current to January 2019. Key results This review of trials found that progestogen hormone tablets taken by mouth for 10 days per month (short course) were less effective at reducing menstrual blood loss when compared to other medical treatments. We are uncertain whether they improved satisfaction or quality of life in women with HMB, or were associated with any difference in adverse effects when compared to other medical treatments. Even though it was less effective at reducing menstrual blood loss, satisfaction with treatment was similar to other medical treatments such as tranexamic acid and Pg‐IUS. We found that progestogen hormone tablets, taken by mouth for three to four weeks from day 5 to 26 of the menstrual cycle (long course), reduced menstrual blood loss but this treatment may be less effective than tranexamic acid, combined hormonal contraceptives and the levonorgestrel‐releasing intrauterine device. No studies in this comparison reported on quality of life. Satisfaction with treatment was similar to women using the combined vaginal ring, but there were no data to compare satisfaction between long cycle and LNG‐IUS or tranexamic acid. There was no evidence of a difference in the occurrence of headache, but long course oral progestogens were associated with a significantly lower incidence of breakthrough bleeding compared with other medical treatment. Quality of the evidence The quality of the evidence that compared oral progestogens (shor and long course) to other medical treatments for HMB was either low or very low which means that we are very uncertain of the findings of the review. The main limitations were risk of bias (women and researchers were aware of the treatment they were receiving which was likely to interfere with the responses, and there was a high number of dropouts from studies) and inconsistency (the results varied among studies)."</t>
  </si>
  <si>
    <t>Introduction: Chronic kidney disease (CKD) is an important global health problem with increasing incidence and prevalence. Currently, the worldwide prevalence is 10-13% and similar estimates of 13.9% have been reported in sub-Sahara Africa in a recent meta-analysis. The prevalence of CKD in Ghana is 13.3%. Chronic kidney disease inevitably progresses to end-stage renal disease (ESRD) which requires renal replacement therapy (RRT) in the form of haemodialysis, peritoneal dialysis or renal transplantation as the main modalities of treatment. It has been shown consistently that renal transplantation is cost effective, improves patient survival and quality of life as compared to peritoneal dialysis and haemodialysis. Unfortunately, Ghana has no national renal transplantation programme but has had limited renal transplantation services in Korle-Bu Teaching Hospital. As result the predominant mode of treating ESRD in Ghana is haemodialysis Methods: In order to assess the burden and causes of ESRD in Ghana, the Ghana Kidney Association with the help of the African Association of Nephrology established a renal registry in 2017. This project is an analysis of the data in the registry at the end of 2017 Results: At the end of 2017 there were 686 patients with end stage renal disease on renal replacement treatment (RRT) in Ghana giving an RRT rate of 23.56/per million population (pmp). Of these patients, 661 were on haemodialysis, 24 had a kidney transplant and two were on peritoneal dialysis. The median age of patients on RRT was 45.5 (range 6.2-84.3 years) and this is 20 years younger than in the UK. The majority of patients 65.6% were male. The major causes of ESRD were hypertensive renal disease (39%), diabetic nephropathy (9.1%) and glomerulonephritis (6.6%) Conclusion(s): ESRD is more common in Africans than in Europeans. The prevalence of RRT in Ghana of 23.56 pmp contrasts with that of 738 pmp in Europe. In Ghana as in sub-Saharan Africa the overwhelming majority of patients with ESRD die undiagnosed and untreated. This gap in our health policy needs to be addressed. Copyright © 2019</t>
  </si>
  <si>
    <t>Introduction More than 70% of world mortality is due to chronic conditions. Furthermore, it has been proven that social determinants have an enormous impact on both health-related behaviour and on the received attention from healthcare services. These determinants cause health inequalities. The objective of this study is to reduce the burden of chronic diseases in five European regions, hereby focusing on vulnerable populations, and to increase the sustainability of health systems by implementing a chronic disease self-management programme (CDSMP). Methods and analysis 2000 people with chronic conditions or informal caregivers belonging to vulnerable populations, will be enrolled in the CDSMP in Spain, Italy, the UK, France and the Netherlands. Inclusion of patients will be based on geographical, socioeconomic and clinical stratification processes. The programme will be evaluated in terms of self-efficacy, quality of life and cost-effectiveness using a combination of validated questionnaires at baseline and 6 months from baseline. Ethics and dissemination This study will follow the directives of the Helsinki Declaration and will adhere to the European Union General Data Protection Regulation. The project's activities, progress and outcomes will be disseminated via promotional materials, the use of mass media, online activities, presentations at events and scientific publications. Copyright © 2019 Author(s).</t>
  </si>
  <si>
    <t>- Background Psychosis is a serious mental condition characterised by a loss of contact with reality. There may be a prodromal period or stage of psychosis, where early signs of symptoms indicating onset of first episode psychosis (FEP) occur. A number of services, incorporating multimodal treatment approaches (pharmacotherapy, psychotherapy and psychosocial interventions), developed worldwide, now focus on this prodromal period with the aim of preventing psychosis in people at risk of developing FEP. Objectives The primary objective is to assess the safety and efficacy of early interventions for people in the prodromal stage of psychosis. The secondary objective is, if possible, to compare the effectiveness of the various different interventions. Search methods We searched Cochrane Schizophrenia's study‐based Register of studies (including trials registers) on 8 June 2016 and 4 August 2017. Selection criteria All randomised controlled trials (RCTs) evaluating interventions for participants older than 12 years, who had developed a prodromal stage of psychosis. Data collection and analysis Review authors independently inspected citations, selected studies, extracted data, and assessed study quality. Main results We included 20 studies with 2151 participants. The studies analysed 13 different comparisons. Group A comparisons explored the absolute effects of the experimental intervention. Group B were comparisons within which we could not be clear whether differential interactive effects were also ongoing. Group C comparisons explored differential effects between clearly distinct treatments. A key outcome for this review was ‘transition to psychosis’. For details of other main outcomes please see 'Summary of findings' tables. In Group A (comparisons of absolute effects) we found no clear difference between amino acids and placebo (risk ratio (RR) 0.48 95% confidence interval (CI) 0.08 to 2.98; 2 RCTs, 52 participants; very low‐quality evidence). When omega‐3 fatty acids were compared to placebo, fewer participants given the omega‐3 (10%) transitioned to psychosis compared to the placebo group (33%) during long‐term follow‐up of seven years (RR 0.24 95% CI 0.09 to 0.67; 1 RCT, 81 participants; low‐quality evidence). In Group B (comparisons where complex interactions are probable) and in the subgroup focusing on antipsychotic drugs added to specific care packages, the amisulpiride + needs‐focused intervention (NFI) compared to NFI comparison (no reporting of transition to psychosis; 1 RCT, 102 participants; very low‐quality evidence) and the olanzapine + supportive intervention compared to supportive intervention alone comparison (RR 0.58 95% CI 0.28 to 1.18; 1 RCT, 60 participants; very low‐quality evidence) showed no clear differences between groups. In the second Group B subgroup (cognitive behavioural therapies (CBT)), when CBT + supportive therapy was compared with supportive therapy alone around 8% of participants allocated to the combination of CBT and supportive therapy group transitioned to psychosis during follow‐up by 18 months, compared with double that percentage in the supportive therapy alone group (RR 0.45 95% CI 0.23 to 0.89; 2 RCTs, 252 participants; very low‐quality evidence). The CBT + risperidone versus CBT + placebo comparison identified no clear difference between treatments (RR 1.02 95% CI 0.39 to 2.67; 1 RCT, 87 participants; very low‐quality evidence) and this also applies to the CBT + needs‐based intervention (NBI) + risperidone versus NBI comparison (RR 0.75 95% CI 0.39 to 1.46; 1 RCT, 59 participants; very low‐quality evidence). Group C (differential effects) also involved six comparisons. The first compared CBT with supportive therapy. No clear difference was found for the ‘transition to psychosis’ outcome (RR 0.74 95% CI 0.28 to 1.98; 1 RCT, 72 participants; very low‐quality evidence). The second subgroup compared CBT + supportive intervention was compared with a NBI + supportive intervention, again, data were equivocal, few and of very low quality (RR 6.32 95% CI 0.34 to 117.09; 1 RCT, 57 participants). In the CBT + risperidone versus supportive therapy comparison, again there was no clear difference between groups (RR 0.76 95% CI 0.28 to 2.03; 1 RCT, 71 participants; very low‐quality evidence). The three other comparisons in Group C demonstrated no clear differences between treatment groups. When cognitive training was compared to active control (tablet games) (no reporting of transition to psychosis; 1 RCT, 62 participants; very low quality data), family treatment compared with enhanced care comparison (RR 0.54 95% CI 0.18 to 1.59; 2 RCTs, 229 participants; very low‐quality evidence) and integrated treatment compared to standard treatment comparison (RR 0.57 95% CI 0.28 to 1.15; 1 RCT, 79 participants; very low‐quality evidence) no effects of any of these approaches was evident. Authors' conclusions There has been considerable research effort in this area and several interventions have been trialled. The evidence available suggests that omega‐3 fatty acids may prevent transition to psychosis but this evidence is low quality and more research is needed to confirm this finding. Other comparisons did not show any clear differences in effect for preventing transition to psychosis but again, the quality of this evidence is very low or low and not strong enough to make firm conclusions. Plain language summary Early interventions for people at risk of developing psychosis Review question Is there high‐quality evidence indicating that interventions for people at risk of developing psychosis are effective? Background Psychoses are serious mental conditions characterised by a loss of contact with reality. The first clear episode of psychosis can be preceded by a 'prodromal' period of at least six months, where a person experiences gradual non‐specific changes in thoughts, perceptions, behaviours and functioning. Although an individual is experiencing changes, they have not yet started to experience the more obvious psychotic symptoms such as delusions (fixed false beliefs) or hallucinations (perceptions without a cause). A number of services with treatment approaches that combine pharmacotherapy, psychotherapy and psychosocial treatments, developed worldwide, are now focusing on prevention of psychosis in people at risk by giving treatments during this prodromal period. This review assesses the evidence available concerning the effects of different treatment approaches for people not yet diagnosed with a non affective psychosis but who are in the prodromal stage of psychosis. Searching for evidence On 8 June 2016 and 4 August 2017 we ran electronic searches of the Cochrane Schizophrenia's specialised register of studies in order to find clinical studies that randomly allocated individuals at risk of developing psychosis to receive various treatments for preventing development of psychosis. Evidence found We were able to include 20 studies with 2151 participants. These studies analysed a wide range of treatments. All the review findings are of, at very best, low quality. There is some suggestion from one small study that people at risk of psychosis may benefit from taking omega‐3 fatty acids in terms of reduced transition to psychosis. Other studies found adding antipsychotic drugs to supportive‐care packages did not seem to make much difference in terms of transition to full illness. When cognitive behavioural therapy (CBT) + supportive therapy was compared with supportive therapy alone around 8% of participants treated allocated to the combination of CBT and supportive therapy transitioned to psychosis during follow‐up by 18 months, compared with double that percentage in people who just received supportive therapy. This could be important but these data are of very low quality. All other testing of CBT and other packages of care found no clear difference between treatments for transition to psychosis. Conclusions There has been considerable effort and expense invested testing treatment approaches for prevention of the first episode of schizophr nia. Currently, there is some low‐quality evidence suggesting that omega‐3 fatty acids may be effective, but there is no high‐quality evidence to suggest that any type of treatment is effective, and no firm conclusions can be made.</t>
  </si>
  <si>
    <t>Objectives The cost-effectiveness of molecular pathology testing is highly context dependent. The field is fast-moving, and national health technology assessment may not be relevant or timely for local decision makers. This study illustrates a method of context-specific economic evaluation that can be carried out in a limited timescale without extensive resources.Methods We established a multi-disciplinary group including an oncologist, pathologists and a health economist. We set out diagnostic and treatment pathways and costs using registry data, health technology assessments, guidelines, audit data, and estimates from the group. Sensitivity analysis varied input parameters across plausible ranges. The evaluation setting was the West of Scotland and UK NHS perspective was adopted. The evaluation was assessed against the AdHopHTA checklist for hospital-based health technology assessment.Results A context-specific economic evaluation could be carried out on a timely basis using limited resources. The evaluation met all relevant criteria in the AdHopHTA checklist. Health outcomes were expected to be at least equal to the current strategy. Annual cost savings of 637,000 were estimated resulting primarily from a reduction in the proportion of patients receiving intravenous infusional chemotherapy regimens. The result was not sensitive to any parameter. The data driving the main cost saving came from a small clinical audit. We recommended this finding was confirmed in a larger population.Conclusions The method could be used to evaluate testing changes elsewhere. The results of the case study may be transferable to other jurisdictions where the organization of cancer services is fragmented. Copyright © 2019 Cambridge University Press.</t>
  </si>
  <si>
    <t>Introduction - Abdominal aortic aneurysm (AAA) screening programmes have been established for men in several countries. Whether screening should be extended to women is uncertain. The objective of this study was to evaluate the cost-effectiveness of population screening for AAA in women, and compare a range of screening options. Methods - A discrete event simulation model was developed to provide a clinically realistic model of screening, surveillance, and elective and emergency AAA repair in women. Input parameters specifically for women were obtained from surgical registries, published literature and national administrative datasets. Screening was modelled for women aged 65 years or over. The model was run for 10-million women, with parameter uncertainty addressed by probabilistic and deterministic sensitivity analyses. UK costs in pounds sterling were converted to Euros based on 2016 average OECD purchasing power parity. Results - The prevalence of AAA (aortic diameter 33.0cm) was estimated as 0.43% in women aged 65 years and 1.15% at age 75. The corresponding attendance rates following invitation to screening were estimated as 73% and 62%. The base-case model adopted the same age at screening (65 years), definition of AAA (33.0cm), surveillance intervals (1 year for 3.0-4.4cm AAAs, 3 months for 4.5-5.4cm) and AAA diameter for consideration of surgery (5.5cm) as in the UK NHS AAA screening programmes. For screening at age 65, per woman invited to screening, the estimated gain in QALYs was 0.00075 (just under one day of life per woman screened), and the incremental cost was 33.51 (36.33) (all values discounted). This gave an incremental cost-effectiveness ratio (ICER) of 45,000 (48,782) per quality-adjusted life-year (QALY) gained (current UK threshold for implementation approximately 20,000 (21,681)). Under the base-case model around 2800 women would need to be invited to screening to prevent one death from AAA and screening would cost 100,000 (108,406) per death from AAA prevented (non-discounted). Sensitivity analyses did not bring the ICER below 20,000 per QALY gained, with the exception of doubling the AAA prevalence to 0.86% where the ICER was 18,000 (19,513). Alternative screening options (increasing the screening age to 70 years, lowering the threshold for considering surgery to 5.0 or 4.5cm, lowering the diameter defining an AAA in women to 2.5cm, and lengthening the surveillance intervals for the smallest AAAs) did not bring the ICER below 30,000 (32,522) per QALY gained when considered either singly or in combination. Conclusion - The current UK cost-effectiveness criteria for a population-based AAA screening programme in women are not currently met. Copyright © 2019</t>
  </si>
  <si>
    <t>- Background Neuropathic pain is a consequence of damage to the central nervous system (CNS), for example, cerebrovascular accident, multiple sclerosis or spinal cord injury, or peripheral nervous system (PNS), for example, painful diabetic neuropathy (PDN), postherpetic neuralgia (PHN), or surgery. Evidence suggests that people suffering from neuropathic pain are likely to seek alternative modes of pain relief such as herbal medicinal products due to adverse events brought about by current pharmacological agents used to treat neuropathic pain. This review includes studies in which participants were treated with herbal medicinal products (topically or ingested) who had experienced neuropathic pain for at least three months. Objectives To assess the analgesic efficacy and effectiveness of herbal medicinal products or preparations for neuropathic pain, and the adverse events associated with their use. Search methods We searched CENTRAL and the Cochrane Database of Systematic Reviews, MEDLINE, Embase, CINAHL and AMED to March 2018. We identified additional studies from the reference lists of the retrieved papers. We also searched trials registries for ongoing trials and we contacted experts in the field for relevant data in terms of published, unpublished or ongoing studies. Selection criteria We included randomised controlled trials (including cross‐over designs) of double‐blind design, assessing efficacy of herbal treatments for neuropathic pain compared to placebo, no intervention or any other active comparator. Participants were 18 years and above and had been suffering from one or more neuropathic pain conditions, for three months or more. We applied no restrictions to language or gender. We excluded studies monitoring effects of isolated, single chemicals derived from the plant or synthetic chemicals based on constituents of the plant, if they were not administered at a concentration naturally present within the plant. We excluded studies monitoring the effects of traditional Asian medicine and Cannabinoids as well as studies looking at headache or migraine as these treatments and conditions are addressed in distinct reviews. Data collection and analysis We used standard methodological procedures expected by Cochrane. Two review authors independently considered trials for inclusion, assessed risk of bias, and extracted data. We calculated the risk ratio (RR) and number needed to treat for an additional beneficial outcome (NNTB). The primary outcomes were participant‐reported pain relief of 30%, or 50%, or greater, and participant‐reported global impression of clinical change (PGIC). We also collected information on adverse events. We assessed evidence using GRADE and created a 'Summary of findings' table. Main results We included two studies (128 participants). Both diabetic neuropathy and non‐diabetic neuropathic pain conditions were investigated across these two studies. Two herbal medicinal products, namely nutmeg (applied topically as a 125 mL spray for four weeks, containing mace oil 2%, nutmeg oil 14%, methyl salicylate 6%, menthol 6%, coconut oil and alcohol) and St John's wort (taken in capsule form containing 900 μg total hypericin each, taken three times daily, giving a total concentration of 2700 mg for five weeks). Both studies allowed the use of concurrent analgesia. Both reported at least one pain‐related outcome but we could not carry out meta‐analysis of effectiveness due to heterogeneity between the primary outcomes and could not draw any conclusions of effect. Other outcomes included PGIC, adverse events and withdrawals. There were no data for participant‐reported pain relief of 50% or greater or PGIC (moderate and substantial) outcomes. When looking at participant‐reported pain relief of 30% or greater over baseline, we observed no evidence of a difference (P = 0.64) in response to nutmeg versus placebo (RR 1.12, 95% confidence interval (CI) 0.69 to 1.85; 48.6% vs 43.2%). We downgraded the evidence for this outcome to very low quality. We observed no change between placebo and nutmeg treatment when looking at secondary pain outcomes. Visual analogue scale (VAS) scores for pain reduction (0 to 100, where 0 = no pain reduction), were 44 for both nutmeg and placebo with standard deviations of 21.5 and 26.5 respectively. There was no evidence of a difference (P = 0.09 to 0.33) in total pain score in response to St John’s wort compared to placebo, as there was only a reduction of 1 point when looking at median differences in change from baseline on a 0 to 10‐point numeric rating scale. There was a total of five withdrawals out of 91 participants (5%) in the treatment groups compared to six of 91 (6.5%) in the placebo groups, whilst adverse events were the same for both the treatment and placebo groups. We judged neither study as having a low risk of bias. We attributed risk of bias to small study size and incomplete outcome data leading to attrition bias. We downgraded the evidence to very low quality for all primary and secondary outcomes reported in this review. We downgraded the quality of the evidence twice due to very serious limitations in study quality (due to small study size and attrition bias) and downgraded a further level due to indirectness as the included studies only measured outcomes at short‐term time points. The results from this review should be treated with scepticism as we have very little confidence in the effect estimate. Authors' conclusions There was insufficient evidence to determine whether nutmeg or St John's wort has any meaningful efficacy in neuropathic pain conditions. The quality of the current evidence raises serious uncertainties about the estimates of effect observed, therefore, we have very little confidence in the effect estimate; the true effect is likely to be substantially different from the estimate of effect. Plain language summary Herbal products for neuropathic pain Background Neuropathic pain is a complex and often disabling condition and many people suffer moderate or severe pain for many years, affecting quality of life. This condition is difficult to treat and typically only 40% to 60% of people with this condition achieve partial relief. Neuropathic pain is pain coming from damaged nerves. It is different from pain messages that are carried along healthy nerves from damaged tissue (for example, a fall or cut, or arthritic knee). Neuropathic pain is often treated by different medicines to those used for pain from damaged tissue. Medicines that are sometimes used to treat neuropathic pain can have damaging side effects and therefore people are now trying herbal products to help relieve pain instead. We conducted a search for relevant clinical trials in March 2018. We looked for studies in adults suffering from moderate neuropathic pain who took some form of herbal product, either by consuming it in their diet, in tablet form, or by applying it to the skin to relieve pain. We also collected information on side effects these herbal products might have. Study characteristics We included two studies with 128 participants. Study size ranged from 54 to 74 participants with an age range of 21 to 85 years. Both studies included men and women. Both studies compared herbal medicines (nutmeg or St John’s wort) to placebo and allowed continued use of painkillers. Both studies reported side effects. Key results There were no reports from participants of any reduction in pain intensity of 30% or above and there was no observable reduction in the total pain score in response to either nutmeg or St John’s wort. There were also no reductions in dropout rates or number of side effects between the treatment and placebo. Quality of the evidence We rated the quality of the evidence from studies using four levels: very low, low, moderate, or high. Very low‐quality evidence means that we are very uncertain about the results. High‐quality evidence means that we are very confident. Only two small studies met this review’s search criteria. Neither provided any high‐quality evidence for either possible benefits or harms. We judged the evidence to b of very low quality. Thus, results from the studies contained in this review are very uncertain and prevent any meaningful conclusions. Larger, high‐quality studies are needed to assess accurately if herbal products are of any benefit or have the potential to harm when used to treat adults with neuropathic pain.</t>
  </si>
  <si>
    <t>Contact tracing strategies in household and congregate environments to identify cases of tuberculosis in low‐ and moderate‐incidence populations</t>
  </si>
  <si>
    <t>- Background Tuberculosis is an infectious bacterial disease that is spread via respiratory droplets from infected individuals to susceptible contacts. To eliminate this disease from low‐ and medium‐incidence settings, people who are most likely to be infected (contacts) must be identified. Recently, study authors have examined alternate approaches to contact tracing methods that demonstrate improved detection and prioritization of contacts. The comparative benefit of these methods has not been established. Objectives To assess the effectiveness of novel methods of contact tracing versus current standard of care to identify latent and active cases in low‐ to moderate‐incidence settings. Search methods We searched CENTRAL, MEDLINE, Embase, LILACS, Web of Science, and CINAHL up to 15 July 2019. We also searched for clinical trials and examined reference lists and conference proceedings. Selection criteria Randomized controlled trials (RCTs) and cluster‐RCTs of contact tracing strategies that included alternate approaches (other than standard practice). Data collection and analysis Two review authors independently assessed identified articles for eligibility and quality using prespecified criteria. Main results No trials met the inclusion criteria of this review. Several study authors described an alternate method for examining contacts and performing social network analysis but did not compare this with the current contact tracing approach. Authors' conclusions This Cochrane Review highlights the lack of research in support of the current contact tracing method and the need for RCTs to compare new methods such as social network analysis to improve contact tracing processes. 16 September 2019 Up to date All studies incorporated from most recent search We performed the last search up to 15 Jul, 2019, and did not identify any trials for inclusion. Plain language summary Contact tracing methods for tuberculosis What is the aim of this review? This Cochrane Review aims to establish whether any evidence is available to support the current approach to contact tracing (the process of identifying individuals exposed to an infectious case of tuberculosis), and whether alternate options could result in a higher rate of infection detection in contacts. We searched for all relevant studies to answer this question. Key messages Contact tracing is an important method to further reduce the rates of tuberculosis. Cochrane Review authors identified no studies addressing this question. Therefore further research is needed to determine whether alternate contact tracing approaches could produce a greater yield in the number of contacts detected and the proportion of individuals with disease. What was studied in the review? Tuberculosis (TB) is an infectious disease caused by Mycobacterium tuberculosis bacteria. Globally, tuberculosis infects an estimated 1.7 billion people, with 1.3 million deaths and 10 million new cases each year. Tuberculosis is transmitted via droplets coughed up from infected patients to susceptible contacts. The World Health Organization (WHO) aims to eliminate this disease by 2035. To achieve this ambitious task, the current decline in new cases must be at a faster rate. In high‐income countries with low rates of tuberculosis, contact tracing is the primary method used to find those at risk of developing tuberculosis. What are the main results of the review? The review authors found that no suitable randomized controlled trials have been conducted to answer this question. There is insufficient high‐certainty evidence comparing current contact tracing methods used against alternate options; further research is therefore needed. How up‐to‐date is this review We searched for studies published up to 15 July 2019.</t>
  </si>
  <si>
    <t>- Background Acute anterior shoulder dislocation, which is the most common type of dislocation, usually results from an injury. Subsequently, the shoulder is less stable and is more susceptible to re‐dislocation or recurrent instability (e.g. subluxation), especially in active young adults. After closed reduction, most of these injuries are treated with immobilisation of the injured arm in a sling or brace for a few weeks, followed by exercises. This is an update of a Cochrane Review first published in 2006 and last updated in 2014. Objectives To assess the effects (benefits and harms) of conservative interventions after closed reduction of traumatic anterior dislocation of the shoulder. These might include immobilisation, rehabilitative interventions or both. Search methods We searched the Cochrane Bone, Joint and Muscle Trauma Group Specialised Register, the Cochrane Central Register of Controlled Trials, MEDLINE, Embase, CINAHL, PEDro and trial registries. We also searched conference proceedings and reference lists of included studies. Date of last search: May 2018. Selection criteria We included randomised or quasi‐randomised controlled trials comparing conservative interventions with no treatment, a different intervention or a variant of the intervention (e.g. a different duration) for treating people after closed reduction of a primary traumatic anterior shoulder dislocation. Inclusion was regardless of age, sex or mechanism of injury. Primary outcomes were re‐dislocation, patient‐reported shoulder instability measures and return to pre‐injury activities. Secondary outcomes included participant satisfaction, health‐related quality of life, any instability and adverse events. Data collection and analysis Both review authors independently selected studies, assessed risk of bias and extracted data. We contacted study authors for additional information. We pooled results of comparable groups of studies. We assessed risk of bias with the Cochrane 'Risk of bias' tool and the quality of the evidence with the GRADE approach. Main results We included seven trials (six randomised controlled trials and one quasi‐randomised controlled trial) with 704 participants; three of these trials (234 participants) are new to this update. The mean age across the trials was 29 years (range 12 to 90 years), and 82% of the participants were male. All trials compared immobilisation in external rotation (with or without an additional abduction component) versus internal rotation (the traditional method) following closed reduction. No trial evaluated any other interventions or comparisons, such as rehabilitation. All trials provided data for a follow‐up of one year or longer; the commonest length was two years or longer. All trials were at some risk of bias, commonly performance and detection biases given the lack of blinding. Two trials were at high risk of selection bias and some trials were affected by attrition bias for some outcomes. We rated the certainty of the evidence as very low for all outcomes. We are uncertain whether immobilisation in external rotation makes a difference to the risk of re‐dislocation after 12 months' or longer follow‐up compared with immobilisation in internal rotation (55/245 versus 73/243; risk ratio (RR) 0.67, 95% confidence interval (CI) 0.38 to 1.19; 488 participants; 6 studies; I² = 61%; very low certainty evidence). In a moderate‐risk population with an illustrative risk of 312 per 1000 people experiencing a dislocation in the internal rotation group, this equates to 103 fewer (95% CI 194 fewer to 60 more) re‐dislocations after immobilisation in external rotation. Thus this result covers the possibility of a benefit for each intervention. Individually, the four studies (380 participants) reporting on validated patient‐reported outcome measures for shoulder instability at a minimum of 12 months' follow‐up found no evidence of a clinically important difference between the two interventions. We are uncertain of the relative effects of the two methods of immobilisat on on resumption of pre‐injury activities or sports. One study (169 participants) found no evidence of a difference between interventions in the return to pre‐injury activity of the affected arm. Two studies (135 participants) found greater return to sports in the external rotation group in a subgroup of participants who had sustained their injury during sports activities. None of the trials reported on participant satisfaction or health‐related quality of life. We are uncertain whether there is a difference between the two interventions in the number of participants experiencing instability, defined as either re‐dislocation or subluxation (RR 0.84, 95% CI 0.62 to 1.14; 395 participants, 3 studies; very low certainty evidence). Data on adverse events were collected only in an ad hoc way in the seven studies. Reported transient and resolved adverse events" were nine cases of shoulder stiffness or rigidity in the external rotation group and two cases of axillary rash in the internal rotation group. There were three "important" adverse events: hyperaesthesia and moderate hand pain; eighth cervical dermatome paraesthesia; and major movement restriction between 6 and 12 months. It was unclear to what extent these three events could be attributed to the treatment. Authors' conclusions The available evidence from randomised trials is limited to that comparing immobilisation in external versus internal rotation. Overall, the evidence is insufficient to draw firm conclusions about whether immobilisation in external rotation confers any benefit over immobilisation in internal rotation. Considering that there are several unpublished and ongoing trials evaluating immobilisation in external versus internal rotation, the main priority for research on this question consists of the publication of completed trials and the completion and publication of ongoing trials. Meanwhile, evaluation of other interventions, including rehabilitation, is warranted. There is a need for sufficiently large, good‐quality, well‐reported randomised controlled trials with long‐term follow‐up. Future research should aim to determine the optimal immobilisation duration, precise indications for immobilisation, optimal rehabilitation interventions, and the acceptability of these different interventions. Plain language summary Non‐surgical management after non‐surgical repositioning of traumatic anterior dislocation of the shoulder Background Acute anterior shoulder dislocation is an injury in which the top end of the upper arm bone is pushed out of the joint socket in a forward direction. Afterwards, the shoulder is less stable, and prone to either partial or complete re‐dislocation, especially in active young adults. Initial treatment involves putting the joint back in place. This is called ‘closed reduction’ when it is done without surgery. Subsequent treatment is often conservative (non‐surgical) and usually involves a period of immobilisation of the injured arm in a sling or brace, followed by exercises. Review question What are the benefits and harms of different conservative interventions for treating people after closed reduction of a primary traumatic anterior shoulder dislocation? This is an update of a review that was first published in 2006 and last updated in 2014. We reviewed the evidence from clinical studies comparing any conservative intervention (e.g. immobilisation, rehabilitation) versus no treatment or a different intervention, or comparing different variants of an intervention (e.g. different duration). The primary outcomes of interest were re‐dislocation, patient‐reported shoulder instability measures (usually questionnaires) and return to pre‐injury activities. Further outcomes of interest included patients’ satisfaction with the intervention, health‐related quality of life and adverse events. Search date We conducted the searches of healthcare literature for this review in May 2018. Study characteristics We identified three new relevant studies in this update. In total, this review now includes seven studies with 704 participants. Most of the participants (82%) were male; the average age across the studies was 29 years (range 12 to 90 years). All of the studies investigated just one comparison: immobilisation in external rotation (when the arm is orientated outwards with the forearm away from the chest) versus immobilisation in internal rotation (the usual sling position, where the arm rests against the chest) following closed reduction. Participants were followed over different lengths of time; the most common duration was two years or longer. Key results We are uncertain whether immobilisation in external rotation makes a difference to the risk of re‐dislocation at one‐year or more follow‐up compared with immobilisation in internal rotation. None of the four studies reporting on patient‐reported outcome measures for shoulder instability at a minimum of one‐year follow‐up found evidence of any important difference between the two interventions. We are uncertain of the relative effects of the two methods of immobilisation on resumption of pre‐injury activities or sports. One study found no evidence of a difference between interventions in the return to pre‐injury activity of the affected arm. Two other studies found greater return to sports in the external rotation group in a small group of participants who had sustained their injury during sports activities. None of the trials reported on participant satisfaction or health‐related quality of life. We are uncertain whether there is a difference between the two interventions in the number of participants experiencing instability, defined as either re‐dislocation or subluxation (a partial dislocation). The reporting of adverse events (complications) was unsatisfactory. There were reports of nine cases of short‐term shoulder stiffness in the external rotation group and two cases of under‐arm rash in the internal fixation group. There were three more serious adverse events: abnormal sensitivity and hand pain; abnormal sensation such as tingling in the little finger and along to the elbow; and major movement restriction. It was unclear to what extent these three adverse events could be attributed to the treatment. Certainty of the evidence We rated the certainty of the evidence as very low for all outcomes. This was mainly because there were not enough data and we were unsure how reliable the results were from the individual studies. Thus we are uncertain about the estimates of effect. Conclusions Overall, the current evidence is insufficient to inform the choice of immobilisation in external versus internal rotation. There is no evidence to inform on any other conservative interventions following closed reduction of traumatic anterior dislocation of the shoulder."</t>
  </si>
  <si>
    <t>Clobazam add‐on therapy for drug‐resistant epilepsy</t>
  </si>
  <si>
    <t>- Background Epilepsy affects approximately 1% of the population, with up to 30% of patients continuing to have seizures, despite antiepileptic drug treatment. Clobazam is a 1,5‐benzodiazepine and is commonly used as an add‐on treatment for drug‐resistant epilepsy. This review is an updated version of the original Cochrane Review, first published in 2008, and examines the most current literature regarding clobazam as an add‐on for drug‐resistant epilepsy. Objectives To assess the efficacy, effectiveness and tolerability of clobazam as an add‐on therapy for drug‐resistant generalised‐onset and focal‐onset seizures, with or without secondary generalisation, in adults and children. Search methods For the latest update, we searched the following databases on 9 October 2018: Cochrane Register of Studies (CRS Web), which includes the Cochrane Epilepsy Group Specialized Register and the Cochrane Central Register of Controlled Trials (CENTRAL), Medline (Ovid) 1946 to 8 October, 2018, ClinicalTrials.gov , and the WHO International Clinical Trials Registry Platform ( ICTRP ). For some previous updates we also searched SCOPUS, DARE, and BIOSIS Previews, but these are no longer needed. (SCOPUS was searched as a substitute for EMBASE, but randomised and quasi‐randomised controlled trials in EMBASE are now included in CENTRAL; DARE ceased operation at the end of March 2015; BIOSIS Previews yielded no relevant items that were not found in the other databases). Selection criteria Randomised trials of add‐on clobazam, with adequate methods of allocation concealment, recruiting patients with drug‐resistant focal or generalised‐onset seizures, with a minimum treatment period of eight weeks. Data collection and analysis Two review authors independently selected trials for inclusion and extracted relevant data. The following outcomes were assessed: 50% or greater reduction in seizures, seizure freedom, treatment withdrawal and adverse events. Main results Four double‐blind, placebo‐controlled, cross‐over studies, representing 197 participants, were included in the review. All four studies were assessed as having unclear risk of bias due to the unavailability of methodological details. The studies demonstrated significant methodological heterogeneity and differences in outcome measures were noted. Consequently, it was not possible to summarise the data in a meta‐analysis. Instead, findings were summarised in a narrative data synthesis, Only two of the studies reported 50% or greater seizure reduction. They respectively reported that 57.7% and 52.4% of participants receiving add‐on clobazam experienced a 50% or greater reduction in seizure frequency, although publication bias needs to be considered (2 RCTs, n = 47, very low‐quality evidence). Seizure freedom was reported by three of the included studies. Collectively, 27 out of 175 patients were seizure‐free during treatment with clobazam (3 RCTs, n = 175, very low‐quality evidence). Two studies specifically stated that seizure freedom was not observed in any of the participants receiving add‐on placebo. Treatment withdrawal was reported by all four studies. There was a slightly higher incidence of treatment withdrawal associated with receiving clobazam, although the overall incidence was still fairly low (4 RCTs, n = 197, very low‐quality evidence). Adverse events were only described in two of the studies, reportedly 36% and 85% of participants experienced one or more adverse events whilst receiving clobazam. The most commonly reported adverse event was drowsiness. Authors' conclusions Clobazam as an add‐on treatment may reduce seizure frequency and may be most effective in focal‐onset seizures. It is important to recognise that this finding has been derived from very low‐quality evidence and from studies judged to have an unclear risk of bias. It remains unclear which population demographic will best benefit from clobazam and over what time‐frame. A large‐scale, randomised controlled trial, conducted over a greater peri d of time, incorporating subgroups with differing seizure types, is required to effectively inform clinical practice. Plain language summary Clobazam as an add‐on treatment in the management of drug‐resistant epilepsy Background   Epilepsy is a disorder of repeated seizures. Whilst many people will achieve freedom from seizures on one antiepileptic medication, some may require multiple medications to try to reduce the number of seizures that they have. These people are said to have drug‐resistant epilepsy. Aim of the review   Clobazam is an antiepileptic medication. Here, we examine the evidence from medical studies to determine how effective clobazam is at reducing the number of seizures that people have when used as an add‐on treatment by people with drug‐resistant epilepsy. Results   We found four studies which had assessed clobazam as an add‐on treatment for drug‐resistant epilepsy. They included a total of 197 people. Two studies reported that more than half of the people given clobazam reached a 50% of greater reduction in the number of their seizures. Three of the studies reported how many people were seizure‐free whilst taking clobazam. In total, approximately 15% of people were seizure‐free when taking clobazam, compared to 0% when they were given placebo (a fake, inactive drug which should have no effect of epilepsy). All four studies reported how many people withdrew from treatment during the studies. Slightly more people withdrew from the studies when receiving clobazam (17 out of 197 people) than when receiving placebo (12 out of 197 people), but the rate of people withdrawing was still low overall. Clobazam was associated with side effects, in particular drowsiness. All four studies were of short duration. They used different methods, e.g. different lengths of treatment, and were of poor quality. The results suggest that clobazam reduces seizure frequency for people with drug‐resistant focal epilepsy (epilepsy that originates from one area of the brain), but there were not enough data to determine whether clobazam is as effective for generalised epilepsy (epilepsy involving the whole brain). The very low quality of the evidence provided by the four included studies means that we are very uncertain about whether the findings are accurate and, therefore, they must be taken and applied with caution. The evidence is current to October 2018.</t>
  </si>
  <si>
    <t>Introduction Surgery (oesophagectomy), with neoadjuvant chemo(radio)therapy, is the main curative treatment for patients with oesophageal cancer. Several surgical approaches can be used to remove an oesophageal tumour. The Ivor Lewis (two-phase procedure) is usually used in the UK. This can be performed as an open oesophagectomy (OO), a laparoscopically assisted oesophagectomy (LAO) or a totally minimally invasive oesophagectomy (TMIO). All three are performed in the National Health Service, with LAO and OO the most common. However, there is limited evidence about which surgical approach is best for patients in terms of survival and postoperative health-related quality of life. Methods and analysis We will undertake a UK multicentre randomised controlled trial to compare LAO with OO in adult patients with oesophageal cancer. The primary outcome is patient-reported physical function at 3 and 6 weeks postoperatively and 3 months after randomisation. Secondary outcomes include: postoperative complications, survival, disease recurrence, other measures of quality of life, spirometry, success of patient blinding and quality assurance measures. A cost-effectiveness analysis will be performed comparing LAO with OO. We will embed a randomised substudy to evaluate the safety and evolution of the TMIO procedure and a qualitative recruitment intervention to optimise patient recruitment. We will analyse the primary outcome using a multi-level regression model. Patients will be monitored for up to 3 years after their surgery. Ethics and dissemination This study received ethical approval from the South-West Franchay Research Ethics Committee. We will submit the results for publication in a peer-reviewed journal. Trial registration number ISRCTN10386621. Copyright © © Author(s) (or their employer(s)) 2019. Re-use permitted under CC BY. Published by BMJ.</t>
  </si>
  <si>
    <t>Introduction Currently, all people with diabetes (PWD) aged 12 years and over in the UK are invited for screening for diabetic retinopathy (DR) annually. Resources are not increasing despite a 5% increase in the numbers of PWD nationwide each year. We describe the rationale, design and methodology for a randomised controlled trial (RCT) evaluating the safety, acceptability and cost-effectiveness of personalised variable-interval risk-based screening for DR. This is the first randomised trial of personalised screening for DR and the largest ophthalmic RCT in the UK. Methods and analysis PWD attending seven screening clinics in the Liverpool Diabetic Eye Screening Programme were recruited into a single site RCT with a 1:1 allocation to individualised risk-based variable-interval or annual screening intervals. A risk calculation engine developed for the trial estimates the probability that an individual will develop referable disease (screen positive DR) within the next 6, 12 or 24 months using demographic, retinopathy and systemic risk factor data from primary care and screening programme records. Dynamic, secure, real-time data connections have been developed. The primary outcome is attendance for follow-up screening. We will test for equivalence in attendance rates between the two arms. Secondary outcomes are rates and severity of DR, visual outcomes, cost-effectiveness and health-related quality of life. The required sample size was 4460 PWD. Recruitment is complete, and the trial is in follow-up. Ethics and dissemination Ethical approval was obtained from National Research Ethics Service Committee North West - Preston, reference 14/NW/0034. Results will be presented at international meetings and published in peer-reviewed journals. This pragmatic RCT will inform screening policy in the UK and elsewhere. Trial registration number ISRCTN87561257; Pre-results. Copyright © 2019 BMJ Publishing Group Limited.</t>
  </si>
  <si>
    <t>Yoga as part of a package of care versus non‐standard care for schizophrenia</t>
  </si>
  <si>
    <t>- Background Yoga is an ancient body‐mind practice which originated in India and is popular in the Western world as a form of relaxation and exercise. It has been of interest for people with schizophrenia to determine the efficacy of yoga delivered as a package of care versus non‐standard care. Objectives To examine the effects of yoga as part of a package of care versus non‐standard care for schizophrenia. Search methods We searched the Cochrane Schizophrenia Group Trials Register (latest 15 May 2018) which is based on regular searches of MEDLINE, PubMed, Embase, CINAHL, BIOSS, AMED, PsychINFO, and registries of clinical trials. We searched the references of all included studies. There are no language, date, document type, or publication status limitations for inclusion of records in the register. Selection criteria All randomised controlled trials (RCTs) including people with schizophrenia comparing yoga as part of a package of care with non‐standard care. Data collection and analysis There were no data to analyse as no studies met the inclusion criteria. Main results The searches identified 30 studies that could be relevant to this review. After careful inspection, 29 were excluded and one is ongoing. No data were available for analyses. Authors' conclusions In view of the lack of evidence from RCTs, it is currently not possible for us to comment on the use of yoga as part of a package of care versus non‐standard care. Plain language summary Yoga as part of a package of care versus non‐standard care Review question Is yoga, delivered as part of a larger package of care, effective for people with schizophrenia compared with non‐standard care? Background Yoga involves physical postures and breathing exercises to promote balance between mind and body. Yoga has now been widely adopted as a method of relaxation and exercise for reduction of stress and promotion of health and feelings of well‐being. Schizophrenia is a serious mental illness where people experience symptoms such as hearing voices that are not there, poor emotional response and social withdrawal. Schizophrenia often affects people for long periods of their life and is treated primarily by antipsychotic medications. However, these medications are not always fully effective and some research suggests that yoga as an add‐on treatment could be beneficial and help improve the quality of life of people with schizophrenia. Yoga can be combined with other therapies such as counselling or other forms of exercise into a 'package of care'. Non‐standard care can consist of talking therapies, expressive therapies (art, dance, drama, music and writing) and other forms of exercise. Searching for evidence In May 2018, the Information Specialist for Cochrane Schizophrenia searched Cochrane Schizophrenia's specialised register of randomised controlled trials for trials of people with schizophrenia. Thirty studies were found that could be relevant. The review authors carefully inspected full‐text versions of these studies, checking that they were randomised controlled trials that randomised people with schizophrenia to receive, in addition to their ongoing care, either yoga as part of a package of care or another type of non‐standard care intervention. Twenty‐nine of these studies did not meet the above inclusion criteria and are excluded from the review. One study is 'ongoing' as data are not available at the moment. Key results Currently, there are no data available from randomised controlled trials regarding the effects of yoga as part of a package of care compared with non‐standard care for people with schizophrenia. Quality of the evidence Currenlty, there is no high‐quality evidence to support or discourage the use of yoga as part of a package of care versus non‐standard care. Schizophrenia is often a long‐term illness and studies which compare yoga packages to other types of therapies are necessary.</t>
  </si>
  <si>
    <t>BACKGROUND: Nurse shortages have been identified as central to workforce issues in healthcare systems globally and although interventions to increase the nursing workforce have been implemented, nurses leaving their roles, particularly in the first year after qualification, present a significant barrier to building the nurse workforce. OBJECTIVE(S): To evaluate the characteristics of successful interventions to promote retention and reduce turnover of early career nurses. DESIGN: This is a systematic review DATA SOURCES: Online databases including Academic Search Complete, Medline, Health Policy reference Centre, EMBASE, Psychinfo, CINAHL and the Cochran Library were searched to identify relevant publications in English published between 2001 and April 2018. Studies included evaluated an intervention to increase retention or reduce turnover and used turnover or retention figures as a measure. REVIEW METHODS: The review was conducted according to the Preferred Reporting Items for Systematic Reviews and Meta-analyses (PRISMA) guidelines. Studies were quality-assessed using the Joanna Briggs Institute Critical Appraisal tools for Quasi Experimental and Randomised Controlled Trials. Retention/turnover data were used to guide the comparison between studies and appropriate measures of central tendency and dispersion were calculated and presented, based on the normality of the data. RESULT(S): A total of 11, 656 papers were identified, of which 53 were eligible studies. A wide variety of interventions and components within those interventions were identified to improve nurse retention. Promising interventions appear to be either internship/residency programmes or orientation/transition to practice programmes, lasting between 27-52 weeks, with a teaching and preceptor and mentor component. CONCLUSION(S): Methodological issues impacted on the extent to which conclusions could be drawn, even though a large number of studies were identified. Future research should focus on standardising the reporting of interventions and outcome measures used to evaluate these interventions and carrying out further research with rigorous methodology. Clinical practice areas are recommended to assess their current interventions against the identified criteria to guide development of their effectiveness. Evaluations of cost-effectiveness are considered an important next step to maximise return on investment. Copyright © 2019 Elsevier Ltd. All rights reserved.</t>
  </si>
  <si>
    <t>API_Include</t>
  </si>
  <si>
    <t>API_Exclude</t>
  </si>
  <si>
    <t>FF_Include</t>
  </si>
  <si>
    <t>FF_Exclude</t>
  </si>
  <si>
    <t>Confusion Matrix</t>
  </si>
  <si>
    <t>Accuracy</t>
  </si>
  <si>
    <t>Precision</t>
  </si>
  <si>
    <t>True Positives</t>
  </si>
  <si>
    <t>True Negatives</t>
  </si>
  <si>
    <t>False Positives</t>
  </si>
  <si>
    <t>False Negatives</t>
  </si>
  <si>
    <t>Notes</t>
  </si>
  <si>
    <t>Exclude</t>
  </si>
  <si>
    <t>Id_flag</t>
  </si>
  <si>
    <t>Objectives: The fluocinolone acetonide 0.2 mug/day implant (FAc) is effective in improving visual acuity in patients with chronic diabetic macular oedema (cDMO) but is associated with worsening of cataract. A model previously suggested that FAc is cost-effective in patients with cDMO, who have undergone cataract surgery or not. The aim of this study was to update this model and assess the cost-effectiveness of FAc in the subgroup of patients with symptomatic cataract. Method(s): The existing Markov model was designed to assess costs and QALYs over lifetime in patients treated with FAc implant, compared to usual care (UC), consisting of laser photocoagulation and anti-VEGFs from the UK NHS perspective. Unit costs and health state utility values (HSUVs) were updated. The FAc price was NHS list price. HSUVs were obtained from the FAME trial using the VFQ-UI utility index. Best-Corrected Visual Acuity (BCVA) with UC was supposed to be stable. Additional scenarios were considered, with BCVA decreasing over time in UC arm, according to real-world data, and with possibility of administering FAc after cataract surgery in the UC arm. Result(s): New HSUVs ranged from 0.48 for blind patients to 0.91 for patients with perfect vision in both eyes. The FAc strategy was more expensive compared to usual care, by 3,445 per patients over lifetime, and produced more QALYs (+0.247). The incremental cost-effectiveness ratio (ICER) was estimated at 13,932 per QALY gained. The ICER was sensitive to the baseline visual acuity, patients' age and the probability of cataract surgery. The probability of FAc being cost-effective was 66.1% at a threshold of 20,000 per QALY gained. Scenario analyses showed that the efficacy of UC had a strong influence on results, and ICER decreased to 1,686 per QALY gained when BCVA decreased under UC Conclusion(s): The FAc implant is a cost-effective treatment for cDMO in patients with symptomatic cataract. Copyright Ãƒâ€šÃ‚Â© 2019</t>
  </si>
  <si>
    <t>To estimate the life-cycle value of risperidone - representative of Second-Generation Antipsychotics- relative to First Generation Antipsychotics to balance the view that cost per Quality-Adjusted Life Year (QALY) at launch are enough to guide access decisions. Study aims to drive the discussion on access and price, through recognition of the dynamic nature of value added by pharmaceutical innovation over the long-run. We estimated the number of patients with schizophrenia treated with risperidone in Sweden and the UK (1994-2017). We collected cost-effectiveness data from the literature of risperidone and haloperidol - representative of First-Generation Antipsychotics. We modelled the life-cycle uptake of risperidone to estimate the life-cycle incremental cost, incremental QALYs and Net monetary Benefit (NMB). We also assessed the life-cycle distribution of the consumer (the payer) and the producer (innovator) surpluses. For the UK, the producer surplus represents around 28% of the total surplus before patent expiration and around 5% after patent expiration. Life-cycle NMB for the health system is estimated at 1,116m. During the life-cycle, the NMB significantly increased in response to two events: (i) the launch of Risperidone Long-Acting Injectable (RLAI); and (ii) generic entry. The ICER was negative (dominant) for the whole period. For Sweden, the producer surplus represents around 6% of the total surplus before patent expiration and around 1% after generic competition. Life-cycle NMB is estimated at 803m, and both NMB and ICER follow the same pattern as in the UK. Analysis shows that health systems appropriated most of the life-cycle value (surplus) generated. This suggests that, considering the entire life-cycle, the value added by SGAs to the system is higher than the value estimated using cost-effectiveness analysis at launch. Pricing and reimbursement decisions should take into account the dynamic nature of pharmaceutical markets and the value added by innovative medicines over the long-run. Copyright Ãƒâ€šÃ‚Â© 2019</t>
  </si>
  <si>
    <t>Background/Aims: Uveitis is inflammation inside the eye. Our objective was to assess the cost-effectiveness of adalimumab compared with current practice (immunosuppressants and systemic corticosteroids) in patients with non-infectious intermediate, posterior or panuveitis and to identify areas for future research. Method(s): A Markov model was built to estimate costs and benefits of the interventions. Systematic reviews were performed to identify the available relevant clinical and cost-effectiveness evidence. Data collected in two key randomised controlled trials (VISUAL I and VISUAL II) were used to estimate the interventions' effectiveness compared with the trials' comparator arms (placebo plus limited current practice (LCP)). The analysis was performed from the National Health Service and Personal Social Services perspective. Costs were calculated based on standard UK sources. Result(s): The estimated incremental cost-effectiveness ratios (ICERs) of adalimumab versus LCP for the base case are 92 600 and 318 075 per quality-adjusted life year (QALY) gained for active and inactive uveitis, respectively. In sensitivity analyses, the ICER varied from 15 579 to 120 653 and 35 642 to 800 775 per QALY for active and inactive uveitis. Conclusion(s): The estimated ICERs of adalimumab versus LCP are above generally accepted thresholds for cost-effectiveness in the UK. Adalimumab may be more cost-effective in patients with active uveitis at greater risk of blindness. However, there is an unmet need for additional primary data to provide more reliable estimates in several important areas, including effectiveness of adalimumab versus current practice (instead of LCP), incidence of long-term blindness, adalimumab effectiveness in avoiding blindness, and rates and time to remission while on adalimumab. Copyright Ãƒâ€šÃ‚Â© 2019 Author(s).</t>
  </si>
  <si>
    <t>Background: Strategies to control varicella vary across Europe. Evidence from established programmes has prompted the United Kingdom to re-evaluate the need for universal vaccination. The burden of complicated varicella is a key parameter in the cost-effectiveness analysis. Aim(s): Our objective was to estimate the burden of complicated varicella in England. Method(s): This electronic health record surveillance study used data from all NHS hospitals in England to identify varicella admissions between 2004 and 2017. The incidence of pre-defined complications of varicella was estimated using ICD-10 codes. Inpatient costs were calculated based on the payment rules for providers of NHS services. Result(s): There were 61,024 admissions with varicella between 2004 and 2017 and 38.1% had a recognised varicella complication. Incidence of hospitalisation increased by 25% and the proportion with complicated varicella by 24% from 2004/05 to 2016/17. The most common complications were bacterial skin infections (11.25%), pneumonia (4.82%), febrile convulsions (3.39%) and encephalitis (2.44%). Complication rates were higher in older age groups and the type of complications more severe. Length of stay for complicated varicella was 3.1 times longer than for uncomplicated varicella and inpatient costs were 72% greater. Conclusion(s): Complicated varicella has a substantial health and economic burden. These data together with data on impact on quality of life are important in informing the cost-effectiveness analysis of universal varicella vaccination. Copyright Ãƒâ€šÃ‚Â© 2019 European Centre for Disease Prevention and Control (ECDC). All rights reserved.</t>
  </si>
  <si>
    <t>ÃƒÂ¢Ã¢â€šÂ¬Ã¢â‚¬Â¹Primary closure versus delayed or no closure for traumatic wounds due to mammalian bite</t>
  </si>
  <si>
    <t>- Background Mammalian bites are a common presentation in emergency and primary healthcare facilities across the world. The World Health Organization recommends postponing the suturing of a bite wound but this has not been evaluated through a systematic review. Objectives To assess the effects of primary closure compared with delayed closure or no closure for mammalian bite wounds. Search methods In July 2019 we searched the Cochrane Wounds Specialised Register; the Cochrane Central Register of Controlled Trials (CENTRAL); Ovid MEDLINE (including InÃƒÂ¢Ã¢â€šÂ¬Ã‚ÂProcess &amp; Other NonÃƒÂ¢Ã¢â€šÂ¬Ã‚ÂIndexed Citations); Ovid Embase and EBSCO CINAHL Plus. We also searched clinical trials registries for ongoing and unpublished studies, and scanned reference lists of relevant included studies as well as reviews, metaÃƒÂ¢Ã¢â€šÂ¬Ã‚Âanalyses and health technology reports to identify additional studies. There were no restrictions with respect to language, date of publication or study setting. Selection criteria We included randomised controlled trials which compared primary closure with delayed or no closure for traumatic wounds due to mammalian bite. Data collection and analysis Two review authors independently screened titles, abstracts and fullÃƒÂ¢Ã¢â€šÂ¬Ã‚Âtext publications, applied the inclusion criteria, and extracted data. We pooled data using a randomÃƒÂ¢Ã¢â€šÂ¬Ã‚Âeffects model, as appropriate. We used the Cochrane 'Risk of bias' tool and assessed the certainty of the evidence using the GRADE approach. Main results We found three trials (878 participants) that compared primary closure with no closure for dog bites and one trial (120 participants) that compared primary closure with delayed closure. No other mammalian bite studies were identified. The trials were from the UK (one trial), Greece (one trial) and China (two trials). Overall, participants from both sexes and all age groups were represented. We are uncertain whether primary closure improves the proportion of wounds which are infectionÃƒÂ¢Ã¢â€šÂ¬Ã‚Âfree compared with no closure, as the certainty of evidence for this outcome was judged to be very low (risk ratio (RR) 1.01, 95% confidence interval (CI) 0.97 to 1.05; 2 studies, 782 participants; I 2 = 0%). We downgraded the evidence by one level for high risk of bias and two levels for imprecision. There is no clinically important difference in cosmesis (acceptable physical/cosmetic appearance) of dog bite wounds when primary closure is compared with no closure (mean difference (MD) ÃƒÂ¢Ã¢â€šÂ¬Ã‚Â1.31, 95% CI ÃƒÂ¢Ã¢â€šÂ¬Ã‚Â2.03 to ÃƒÂ¢Ã¢â€šÂ¬Ã‚Â0.59; 1 study, 182 participants). The certainty of evidence for this outcome was judged to be moderate (we downgraded our assessment by one level for imprecision). We are uncertain whether primary closure improves the proportion of dog bite wounds that are infectionÃƒÂ¢Ã¢â€šÂ¬Ã‚Âfree compared with delayed closure, as the evidence for this outcome was judged to be very low (RR 0.98, 95% CI 0.90 to 1.07; 1 study, 120 participants; I 2 = 0%). We downgraded the evidence by one level for high risk of bias and two levels for imprecision. None of the four trials reported any adverse outcomes such as death or rabies but they were, in any case, unlikely to have been large enough to have satisfactory power to provide precise estimates for these. Important outcomes like time to complete wound healing, proportion of wounds healed, and length of hospital stay were not evaluated. Authors' conclusions All the studies we identified concerned dog bites. There is no highÃƒÂ¢Ã¢â€šÂ¬Ã‚Âcertainty evidence to support or refute existing recommendations concerning primary closure for dog bites. The potential benefits and harms of primary closure compared with delayed or no closure for mammalian bites remain uncertain and more robust trials are needed. Plain language summary Primary closure (immediate stitches) versus delayed closure (delayed stitches) or no closure (no stitches) for traumatic wounds due to mammalian bite What is the aim of this review? The aim of this review was to find out whether animal bite wounds heal better when they are closed with stitches straight away (primary closure), or if th wounds are left open to heal for a short time before closure (delayed closure) or not stitched at all (no closure). We wanted to find out which wounds healed fastest, and if the method of closure affected the likelihood of wound infection, the appearance of the scar, the length of time patients were in hospital, and more serious side effects such as death. To answer this question, we collected and analysed all relevant studies (randomised controlled trials). Randomised controlled trials are medical studies where people are chosen at random to receive different treatments. This type of trial provides the most reliable health evidence. We found four relevant studies. Key messages All the studies we found concerned dog bites. In terms of wound infection, we cannot be certain whether it is better to close dog bite wounds straight away, or wait a while before stitching, or leave them with no stitches. There was little difference in the appearance of the bite scar. Most of the evidence we found was of low certainty due to the size of the studies and the methods used. What was studied in the review? Mammalian bite wounds from animals such as dogs, cats and monkeys are a common problem throughout the world. In developed countries, many bite wounds are caused by domestic pets. In lowerÃƒÂ¢Ã¢â€šÂ¬Ã‚Âincome countries bites can also be caused by wild animals. Dogs are generally responsible for the majority of bites. Bite wounds are at high risk of infection as microbes are transmitted into the wound from the animal's mouth. In lowerÃƒÂ¢Ã¢â€šÂ¬Ã‚Âincome countries these wound infections can lead to serious complications and in some cases death. The first priorities when treating an animal bite are to stop the flow of blood from the wound, provide pain relief, and prevent infection. This can include appropriate vaccination against tetanus and rabies. It is often recommended that bite wounds are not stitched straight away if infection is suspected, as closing an infected wound could delay healing and be potentially fatal. What are the main results of the review? In July 2019 we searched for randomised controlled trials comparing primary closure versus delayed or no closure for mammalian bite wounds. We found four relevant studies on dog bites. They were carried out in the UK, Greece and China. No other mammalian bite studies were identified. Three of the studies we included compared primary closure with sutures (immediate stitches) with no closure for dog bite wounds. One study compared primary closure with delayed closure for dog bites. The people in the studies were followed, where stated, from 14 days to three months. Overall, participants from both sexes and all age groups were represented. We are uncertain whether primary closure of dog bite wounds increases the proportion of wounds which are infectionÃƒÂ¢Ã¢â€šÂ¬Ã‚Âfree compared with no closure (very lowÃƒÂ¢Ã¢â€šÂ¬Ã‚Âcertainty evidence from two studies including a total of 782 people) and compared with delayed closure (very lowÃƒÂ¢Ã¢â€šÂ¬Ã‚Âcertainty evidence from one study with a total of 120 people). There is little difference in the appearance of dog bite wounds when primary closure is compared with no closure (moderateÃƒÂ¢Ã¢â€šÂ¬Ã‚Âcertainty evidence from one study with a total of 182 participants). None of the included studies reported proportion of wounds healed, the time to complete wound healing, length of hospital stay or adverse events. The number of people in the included studies was small, and the people who assessed the outcomes were aware of which treatment had been given. Both of these are reasons why the results are uncertain. How up to date is this review? We searched for studies that had been published up to July 2019.</t>
  </si>
  <si>
    <t>Background The WHO recognises several specialist rehabilitation provision models; in-patient, outpatient and outreach. Intensive early neurorehabilitation is required after severe Acquired Brain Injury (ABI), usually necessitating in-patient care. In the UK, children receiving specialist neurorehabilitation often remain in-patients for long periods because of the lack of appropriate out-of-hospital provision. Aims To explore feasibility and funding implications of developing a regional specialist neurorehabilitation outreach service to facilitate earlier discharge. Methods Analysis of data on children receiving in-patient neurorehabilitation at a paediatric Regional Neuroscience Centre (RNSC), 2014-2018. Information concerning therapy provision was obtained from Trust Clinical Information System Suite (CISS). Patient dependency and rehabilitation complexity was assessed by Rehabilitation Complexity Scale-Extended (RCS-E), scored by multi-disciplinary team (MDT) at weekly meetings over 15 months. For modelling purposes, a specialist neurorehabilitation outreach tariff equating to 50% in-patient tariff was assumed. Data analysis was undertaken by linear programming model (XpressIveÃƒâ€šÃ‚Â©) and Discrete-Even Simulation (Simul8 Ãƒâ€šÃ‚Â©).Various eligibility criteria for outreach provision were modelled: 1) needing &gt;=1 therapies&lt;3 times/week; 2) Total RCS-E score &lt;9,&lt;11 or&lt;13; 3) Therapy Dependency (TD) +Therapy Intensity (TI) components of RCS-E &lt;5. Results 156 children received neurorehabilitation as in-patients over 4 years. Mean age=7.34 years (range 0.1-17). 66 (55%) were male, 53 (45%) female. 84% had ABI, others acquired spinal injury, acute polyneuropathy or somatisation disorders. 52% lived &gt;40 miles from RNSC, 47%&gt;60 min' drive away. 49% were inpatients 1-28 days; 34%, 29-84 days; 18, 85-168 days; 6,&gt;168 days. Patients showed significant functional improvements between admission to neurorehabilitation and discharge (p&lt;0.001). Modelling suggests 14 outreach centres, including RNSC, would be required to permit 78% patients to access specialist neurorehabilitation &lt;30 mins drive from home; 10 centres would permit 92% to access neurorehabilitation &lt;45 min' drive away; 8 centres would permit 96% to access neurorehabilitation &lt;60 min' drive away. Calculations assuming outreach tariff=50% in-patient tariff, and various RCS data models, suggest annual cost savings ranging from 53,424-166,950; calculations based on CISS data, suggest average savings of 1 05 596 per year (range 98,500-113,526). Conclusion Modelling supports the feasibility and affordability of specialist neurorehabilitation outreach provision, although efficacy remains uncertain.</t>
  </si>
  <si>
    <t>Objectives: Cardiovascular disease (CVD) affects approximately 6 million people in England and costs the NHS an estimated 7 billion a year. A key risk factor for CVD is hypercholesterolaemia. PCSK9 inhibitors, such as alirocumab and evolocumab, are a treatment option for patients who, despite taking the maximum tolerated dose of statins, still have cholesterol higher than recommended levels. This study compares actual prescription of PCSK9 inhibitors with expected use and considers opportunities for improved access to these drugs. Method(s): An analysis of the initial uptake estimates from the NICE resource impact report for alirocumab and evolocumab and actual daily dose (ADD) prescribing data from the NICE innovation scorecard for the same drugs in 2018. The study included a review of the NICE technology appraisal guidance (TAG) for alirocumab (TA393) and evolocumab (TA394), and publications from 2016-2019 relating to uptake of, and guidance and initiatives associated with, PCSK9 inhibitors in England. Result(s): On publication of the TAG for alirocumab and evolocumab in 2016, NICE estimated that there would be 11,542 people receiving PCSK9 inhibitors by 2018. However, analysis of data from the NICE innovation scorecard for 2018 shows that 755,806 ADDs of alirocumab and evolocumab were actually prescribed. This is equivalent to approximately 2,069 people receiving treatment and indicates that uptake of PCSK9 inhibitors was 82% lower than expected in 2018. Conclusion(s): While there is considerable potential for PCSK9 inhibitors to alleviate some of the burden of CVD, prescription of these drugs is considerably lower than expected. Despite price reduction, the cost of PCSK9 inhibitors may remain the main barrier to access to these drugs. Further barriers could include a lack of clear guidance for clinicians, patient identification and, until recently, limited clinical trial data regarding CVD outcomes. New initiatives, such as the Accelerated Access Collaborative, may ultimately lead to improved access to PCSK9 inhibitors. Copyright Ãƒâ€šÃ‚Â© 2019</t>
  </si>
  <si>
    <t>Objective To compare the efficacy, safety, and cost utility of continuous subcutaneous insulin infusion (CSII) with multiple daily injection (MDI) regimens during the first year following diagnosis of type 1 diabetes in children and young people. Design Pragmatic, multicentre, open label, parallel group, randomised controlled trial and economic evaluation. Setting 15 paediatric National Health Service (NHS) diabetes services in England and Wales. The study opened to recruitment in May 2011 and closed in January 2017. Participants Patients aged between 7 months and 15 years, with a new diagnosis of type 1 diabetes were eligible to participate. Patients who had a sibling with the disease, and those who took drug treatments or had additional diagnoses that could have affected glycaemic control were ineligible. Interventions Participants were randomised, stratified by age and treating centre, to start treatment with CSII or MDI within 14 days of diagnosis. Starting doses of aspart (CSII and MDI) and glargine or detemir (MDI) were calculated according to weight and age, and titrated according to blood glucose measurements and according to local clinical practice. Main outcome measures Primary outcome was glycaemic control (as measured by glycated haemoglobin; HbA1c) at 12 months. Secondary outcomes were percentage of patients in each treatment arm with HbA1c within the national target range, incidence of severe hypoglycaemia and diabetic ketoacidosis, change in height and body mass index (as measured by standard deviation scores), insulin requirements (units/kg/day), partial remission rate (insulin dose adjusted HbA1c &lt;9), paediatric quality of life inventory score, and cost utility based on the incremental cost per quality adjusted life year (QALY) gained from an NHS costing perspective. Results 294 participants were randomised and 293 included in intention to treat analyses (CSI, n=144; MDI, n=149). At 12 months, mean HbA1c was comparable with clinically unimportant differences between CSII and MDI participants (60.9 mmol/mol v 58.5 mmol/mol, mean difference 2.4 mmol/mol (95% confidence interval -0.4 to 5.3), P=0.09). Achievement of HbA1c lower than 58 mmol/mol was low among the two groups (66/143 (46%) CSII participants v 78/142 (55%) MDI participants; relative risk 0.84 (95% confidence interval 0.67 to 1.06)). Incidence of severe hypoglycaemia and diabetic ketoacidosis were low in both groups. Fifty four non-serious and 14 serious adverse events were reported during CSII treatment, and 17 non-serious and eight serious adverse events during MDI treatment. Parents (but not children) reported superior PedsQL scores for those patients treated with CSII compared to those treated with MDI. CSII was more expensive than MDI by 1863 (2179; $2474; 95% confidence interval 1620 to 2137) per patient, with no additional QALY gains (difference -0.006 (95% confidence interval -0.031 to 0.018)). Conclusion During the first year following type 1 diabetes diagnosis, no clinical benefit of CSII over MDI was identified in children and young people in the UK setting, and treatment with either regimen was suboptimal in achieving HbA1c thresholds. CSII was not cost effective. Trial registration Current Controlled Trials ISRCTN29255275; European Clinical Trials Database 2010-023792-25. Copyright Ãƒâ€šÃ‚Â© Published by the BMJ Publishing Group Limited.</t>
  </si>
  <si>
    <t>Objectives The cost-effectiveness of molecular pathology testing is highly context dependent. The field is fast-moving, and national health technology assessment may not be relevant or timely for local decision makers. This study illustrates a method of context-specific economic evaluation that can be carried out in a limited timescale without extensive resources.Methods We established a multi-disciplinary group including an oncologist, pathologists and a health economist. We set out diagnostic and treatment pathways and costs using registry data, health technology assessments, guidelines, audit data, and estimates from the group. Sensitivity analysis varied input parameters across plausible ranges. The evaluation setting was the West of Scotland and UK NHS perspective was adopted. The evaluation was assessed against the AdHopHTA checklist for hospital-based health technology assessment.Results A context-specific economic evaluation could be carried out on a timely basis using limited resources. The evaluation met all relevant criteria in the AdHopHTA checklist. Health outcomes were expected to be at least equal to the current strategy. Annual cost savings of 637,000 were estimated resulting primarily from a reduction in the proportion of patients receiving intravenous infusional chemotherapy regimens. The result was not sensitive to any parameter. The data driving the main cost saving came from a small clinical audit. We recommended this finding was confirmed in a larger population.Conclusions The method could be used to evaluate testing changes elsewhere. The results of the case study may be transferable to other jurisdictions where the organization of cancer services is fragmented. Copyright Ãƒâ€šÃ‚Â© 2019 Cambridge University Press.</t>
  </si>
  <si>
    <t>Introduction - Abdominal aortic aneurysm (AAA) screening programmes have been established for men in several countries. Whether screening should be extended to women is uncertain. The objective of this study was to evaluate the cost-effectiveness of population screening for AAA in women, and compare a range of screening options. Methods - A discrete event simulation model was developed to provide a clinically realistic model of screening, surveillance, and elective and emergency AAA repair in women. Input parameters specifically for women were obtained from surgical registries, published literature and national administrative datasets. Screening was modelled for women aged 65 years or over. The model was run for 10-million women, with parameter uncertainty addressed by probabilistic and deterministic sensitivity analyses. UK costs in pounds sterling were converted to Euros based on 2016 average OECD purchasing power parity. Results - The prevalence of AAA (aortic diameter 33.0cm) was estimated as 0.43% in women aged 65 years and 1.15% at age 75. The corresponding attendance rates following invitation to screening were estimated as 73% and 62%. The base-case model adopted the same age at screening (65 years), definition of AAA (33.0cm), surveillance intervals (1 year for 3.0-4.4cm AAAs, 3 months for 4.5-5.4cm) and AAA diameter for consideration of surgery (5.5cm) as in the UK NHS AAA screening programmes. For screening at age 65, per woman invited to screening, the estimated gain in QALYs was 0.00075 (just under one day of life per woman screened), and the incremental cost was 33.51 (36.33) (all values discounted). This gave an incremental cost-effectiveness ratio (ICER) of 45,000 (48,782) per quality-adjusted life-year (QALY) gained (current UK threshold for implementation approximately 20,000 (21,681)). Under the base-case model around 2800 women would need to be invited to screening to prevent one death from AAA and screening would cost 100,000 (108,406) per death from AAA prevented (non-discounted). Sensitivity analyses did not bring the ICER below 20,000 per QALY gained, with the exception of doubling the AAA prevalence to 0.86% where the ICER was 18,000 (19,513). Alternative screening options (increasing the screening age to 70 years, lowering the threshold for considering surgery to 5.0 or 4.5cm, lowering the diameter defining an AAA in women to 2.5cm, and lengthening the surveillance intervals for the smallest AAAs) did not bring the ICER below 30,000 (32,522) per QALY gained when considered either singly or in combination. Conclusion - The current UK cost-effectiveness criteria for a population-based AAA screening programme in women are not currently met. Copyright Ãƒâ€šÃ‚Â© 2019</t>
  </si>
  <si>
    <t>- Background Early dental decay or demineralised lesions (DLs, also known as white spot lesions) can appear on teeth during fixed orthodontic (brace) treatment. Fluoride reduces decay in susceptible individuals, including orthodontic patients. This review compared various forms of topical fluoride to prevent the development of DLs during orthodontic treatment. This is the second update of the Cochrane Review first published in 2004 and previously updated in 2013. Objectives The primary objective was to evaluate whether topical fluoride reduces the proportion of orthodontic patients with new DLs after fixed appliances. The secondary objectives were to examine the effectiveness of different modes of topical fluoride delivery in reducing the proportions of orthodontic patients with new DLs, as well as the severity of lesions, in terms of number, size and colour. ParticipantÃƒÂ¢Ã¢â€šÂ¬Ã‚Âassessed outcomes, such as perception of DLs, and oral healthÃƒÂ¢Ã¢â€šÂ¬Ã‚Ârelated quality of life data were to be included, as would reports of adverse effects. Search methods Cochrane Oral Health's Information Specialist searched the following databases: Cochrane Oral Health's Trials Register (to 1 February 2019), the Cochrane Central Register of Controlled Trials (CENTRAL; 2019, Issue 1) in the Cochrane Library (searched 1 February 2019), MEDLINE Ovid (1946 to 1 February 2019), and Embase Ovid (1980 to 1 February 2019). The US National Institutes of Health Ongoing Trials Register (ClinicalTrials.gov) and the World Health Organization International Clinical Trials Registry Platform were searched for ongoing trials. No restrictions were placed on the language or date of publication when searching the electronic databases. Selection criteria ParallelÃƒÂ¢Ã¢â€šÂ¬Ã‚Âgroup, randomised controlled trials comparing the use of a fluorideÃƒÂ¢Ã¢â€šÂ¬Ã‚Âcontaining product versus a placebo, no treatment or a different type of fluoride treatment, in which the outcome of enamel demineralisation was assessed at the start and at the end of orthodontic treatment. Data collection and analysis At least two review authors independently, in duplicate, conducted risk of bias assessments and extracted data. Authors of trials were contacted to obtain missing data or to ask for clarification of aspects of trial methodology. Cochrane's statistical guidelines were followed. Main results This update includes 10 studies and contains data from nine studies, comparing eight interventions, involving 1798 randomised participants (1580 analysed). One report contained insufficient information and the authors have been contacted. We assessed two studies as at low risk of bias, six at unclear risk of bias, and two at high risk of bias. Two placebo (nonÃƒÂ¢Ã¢â€šÂ¬Ã‚Âfluoride) controlled studies, at low risk of bias, investigated the professional application of varnish (7700 or 10,000 parts per million (ppm) fluoride (F)), every six weeks and found insufficient evidence of a difference regarding its effectiveness in preventing new DLs (risk ratio (RR) 0.52, 95% confidence interval (CI) 0.14 to 1.93; 405 participants; lowÃƒÂ¢Ã¢â€šÂ¬Ã‚Âcertainty evidence). One placebo (nonÃƒÂ¢Ã¢â€šÂ¬Ã‚Âfluoride) controlled study, at unclear risk of bias, provides a low level of certainty that fluoride foam (12,300 ppm F), professionally applied every two months, may reduce the incidence of new DLs (12% versus 49%) after fixed orthodontic treatment (RR 0.26, 95% CI 0.11 to 0.57; 95 participants). One study, at unclear risk of bias, also provides a low level of certainty that use of a highÃƒÂ¢Ã¢â€šÂ¬Ã‚Âconcentration fluoride toothpaste (5000 ppm F) by patients may reduce the incidence of new DLs (18% versus 27%) compared with a conventional fluoride toothpaste (1450 ppm F) (RR 0.68, 95% CI 0.46 to 1.00; 380 participants). There was no evidence for a difference in the proportions of orthodontic patients with new DLs on the teeth after treatment with fixed orthodontic appliances for the following comparisons:ÃƒÂ¢Ã¢â€šÂ¬Ã‚Â¨ ÃƒÂ¢Ã¢â€šÂ¬Ã‚Â an amine fluoride and stannous fluoride toothpaste/mouthrinse combination versus a sodium fluoride toothpaste/mouthrinse,ÃƒÂ¢Ã¢â€šÂ¬Ã‚Â¨ ÃƒÂ¢Ã¢â€šÂ¬Ã‚Â an amine fluoride gel versus a nonÃƒÂ¢Ã¢â€šÂ¬Ã‚Âfluoride placebo applied by participants at home once a week and by professional application every three months,ÃƒÂ¢Ã¢â€šÂ¬Ã‚Â¨ ÃƒÂ¢Ã¢â€šÂ¬Ã‚Â resinÃƒÂ¢Ã¢â€šÂ¬Ã‚Âmodified glass ionomer cement versus lightÃƒÂ¢Ã¢â€šÂ¬Ã‚Âcured composite resin for bonding orthodontic brackets,ÃƒÂ¢Ã¢â€šÂ¬Ã‚Â¨ ÃƒÂ¢Ã¢â€šÂ¬Ã‚Â a 250 ppm F mouthrinse versus 0 ppm F placebo mouthrinse,ÃƒÂ¢Ã¢â€šÂ¬Ã‚Â¨ ÃƒÂ¢Ã¢â€šÂ¬Ã‚Â the use of an intraoral fluorideÃƒÂ¢Ã¢â€šÂ¬Ã‚Âreleasing glass bead device attached to the brace versus a daily fluoride mouthrinse. The last two comparisons involved studies that were assessed at high risk of bias, because a substantial number of participants were lost to followÃƒÂ¢Ã¢â€šÂ¬Ã‚Âup. Unfortunately, although the internal validity and hence the quality of the studies has improved since the first version of the review, they have compared different interventions; therefore, the findings are only considered to provide low level of certainty, because none has been replicated by followÃƒÂ¢Ã¢â€šÂ¬Ã‚Âup studies, in different settings, to confirm external validity. A patientÃƒÂ¢Ã¢â€šÂ¬Ã‚Âreported outcome, such as concern about the aesthetics of any DLs, was still not included as an outcome in any study. Reports of adverse effects from topical fluoride applications were rare and unlikely to be significant. One study involving fluorideÃƒÂ¢Ã¢â€šÂ¬Ã‚Âcontaining glass beads reported numerous breakages. Authors' conclusions This review found a low level of certainty that 12,300 ppm F foam applied by a professional every 6 to 8 weeks throughout fixed orthodontic treatment, might be effective in reducing the proportion of orthodontic patients with new DLs. In addition, there is a low level of certainty that the patient use of a high fluoride toothpaste (5000 ppm F) throughout orthodontic treatment, might be more effective than a conventional fluoride toothpaste. These two comparisons were based on single studies. There was insufficient evidence of a difference regarding the professional application of fluoride varnish (7700 or 10,000 ppm F). Further adequately powered, randomised controlled trials are required to increase the certainty of these findings and to determine the best means of preventing DLs in patients undergoing fixed orthodontic treatment. The most accurate means of assessing adherence with the use of fluoride products by patients and any possible adverse effects also need to be considered. Future studies should follow up participants beyond the end of orthodontic treatment to determine the effect of DLs on patient satisfaction with treatment. Plain language summary Fluorides for preventing early tooth decay (demineralised lesions) during fixed brace treatment Review question ÃƒÂ¢Ã¢â€šÂ¬Ã‚Â¨ Ugly white or brown marks sometimes appear on the teeth during treatment with braces to straighten teeth. These are due to early tooth decay and usually occur with fixed, gluedÃƒÂ¢Ã¢â€šÂ¬Ã‚Âon 'train track', braces, which make it more difficult to clean the teeth. We know that fluoride in toothpaste helps to prevent tooth decay and think that if extra fluoride is given to people wearing fixed braces, it will protect them from getting these marks. The aim of this Cochrane Oral Health's review was to look at how well fluorides help to prevent early tooth decay during fixed brace treatment and to find out the best way to get fluoride to the teeth. Background ÃƒÂ¢Ã¢â€šÂ¬Ã‚Â¨ Wearing a fixed brace makes it harder for people to keep their teeth clean and may also cause pain. Pain can make it more difficult for people to brush their teeth. This can lead to a buildÃƒÂ¢Ã¢â€šÂ¬Ã‚Âup of dental plaque around the brackets that attach the fixed brace to the teeth, and if the plaque stays on the tooth for long enough, it will cause early tooth decay, which looks like white or brown marks (demineralised lesions, also known as white spot lesions). People often wear braces for 18 months or longer and if the decay is left to progress, it can cause holes, which are sometimes bad enough to need fillings to be done in the teeth. Fluoride helps the tooth to heal, reducing tooth decay in people who are at risk of developing it. People receiving fixed brace treatment may be given different forms of fluoride treatment. It is important to think about how the fluoride gets to the teeth. Does the fluoride need to be placed by a dentist or dental nurse, or can people having treatment with braces apply the fluoride to their own teeth? Study characteristics ÃƒÂ¢Ã¢â€šÂ¬Ã‚Â¨ This review is upÃƒÂ¢Ã¢â€šÂ¬Ã‚ÂtoÃƒÂ¢Ã¢â€šÂ¬Ã‚Âdate as of 1 February 2019. The review includes 10 studies but we could only use the information from nine studies involving 1798 randomised people. We have asked for more information about one study. The review looks at eight different ways of applying fluoride to the teeth. People taking part in the studies were all having treatment with fixed braces. The number of people with new decay on the teeth at end of fixed brace treatment, as well as the amount of decay in each person, were measured and counted. We compared the following treatments:ÃƒÂ¢Ã¢â€šÂ¬Ã‚Â¨ ÃƒÂ¢Ã¢â€šÂ¬Ã‚Â dentist or nurseÃƒÂ¢Ã¢â€šÂ¬Ã‚Âapplied fluoride e.g. varnish, gel or foam,ÃƒÂ¢Ã¢â€šÂ¬Ã‚Â¨ ÃƒÂ¢Ã¢â€šÂ¬Ã‚Â patientÃƒÂ¢Ã¢â€šÂ¬Ã‚Âapplied/used fluoride e.g. toothpaste, mouthwash, gel or foam, andÃƒÂ¢Ã¢â€šÂ¬Ã‚Â¨ ÃƒÂ¢Ã¢â€šÂ¬Ã‚Â materials that release fluoride over time e.g. glues, elastic bands. Key results ÃƒÂ¢Ã¢â€šÂ¬Ã‚Â¨ One study showed that when the dentist applies a foam with a high level of fluoride in it onto the teeth every time the patient is seen, this might reduce the risk of new decay. Another study found that if patients use a toothpaste with a higher level of fluoride than normal, then this might also reduce the risk of new marks on their teeth. No studies have shown that other ways of giving the teeth extra fluoride reduced the number and/or size of new decay on teeth in people wearing fixed braces. Harmful effects of the different ways of giving the teeth more fluoride were not reported in any of the included studies. Certainty of the evidence ÃƒÂ¢Ã¢â€šÂ¬Ã‚Â¨ The level of belief we have in these findings is low, due to the lack of studies testing the same fluorides and showing the same results. We suggest that more, wellÃƒÂ¢Ã¢â€šÂ¬Ã‚Âconducted studies should be done in this area.</t>
  </si>
  <si>
    <t>- Background Fetal fibronectin (FFN) is an extracellular matrix glycoprotein localized at the maternalÃƒÂ¢Ã¢â€šÂ¬Ã‚Âfetal interface of the amniotic membranes, between chorion and decidua, where it is concentrated in this area between decidua and trophoblast. In normal conditions, FFN is found at very low levels in cervicovaginal secretions. Levels greater than or equal to 50 ng/mL at or after 22 weeks have been associated with an increased risk of spontaneous preterm birth. In fact, FFN is one of the best predictors of preterm birth in all populations studied so far, and can help in selecting which women are at significant risk for preterm birth. This is an update of a review first published in 2008. Objectives To assess the effectiveness of management based on knowledge of FFN testing results for preventing preterm birth. Search methods For this update, we searched Cochrane Pregnancy and ChildbirthÃƒÂ¢Ã¢â€šÂ¬Ã¢â€žÂ¢s Trials Register (7 September 2018), ClinicalTrials.gov , the WHO International Clinical Trials Registry Platform ( ICTRP ) (7 September 2018), and reference lists of retrieved studies. Selection criteria Randomized controlled trials of pregnant women screened with FFN for risk of preterm birth. Studies included are based exclusively on knowledge of FFN results versus no such knowledge, and we have excluded studies including women with only positive or only negative FFN results. Data collection and analysis Two review authors independently assessed trials for inclusion and risk of bias, extracted data, and checked them for accuracy. The quality of the evidence was assessed using the GRADE approach. Main results We identified 16 trials, of which six were eligible for inclusion. The six included studies randomized 546 women with singleton gestations and threatened preterm labor (PTL) at 23 0/7 to 34 6/7 weeks. A total of 277 women were randomized to knowledge and 269 to no knowledge of FFN. No trials were identified on asymptomatic women or multiple gestations. The risk of bias of included studies was mixed. For selected important outcomes, preterm birth before 37, 34, and 32 weeks, and maternal hospitalization, we graded the quality of the evidence and created a 'Summary of findings' table. For these outcomes, the evidence was graded as mainly low quality due to the imprecision of effect estimates. Management based on knowledge of FFN results may reduce preterm birth before 37 weeks (20.7%) versus controls without such knowledge (29.2%) (risk ratio (RR) 0.72, 95% confidence interval (CI) 0.52 to 1.01; 5 trials; 434 women; lowÃƒÂ¢Ã¢â€šÂ¬Ã‚Âquality evidence). However, management based on knowledge of FFN results may make little or no difference to preterm birth before 34 (RR 1.09, 95% CI 0.54 to 2.18; 4 trials; 357 women; lowÃƒÂ¢Ã¢â€šÂ¬Ã‚Âquality evidence) or maternal hospitalization (RR 1.06, 95% CI 0.79 to 1.43; 5 trials; 441 women; lowÃƒÂ¢Ã¢â€šÂ¬Ã‚Âquality evidence). The evidence for preterm birth before 32 weeks is uncertain because the quality was found to be very low (average RR 0.79, 95% CI 0.16 to 3.96; 4 trials; 357 women; very lowÃƒÂ¢Ã¢â€šÂ¬Ã‚Âquality evidence). For all other outcomes, for which there were available data (preterm birth less than 28 weeks; gestational age at delivery (weeks); birthweight less than 2500 g; perinatal death; tocolysis; steroids for fetal lung maturity; time to evaluate; respiratory distress syndrome; neonatal intensive care unit (NICU) admission; and NICU days), knowledge of FFN results may make little or no difference to the outcomes. Authors' conclusions The evidence from this review suggests that management based on knowledge of FFN results may reduce preterm birth before 37 weeks. However, our confidence in this result is limited as the evidence was found to be of low quality. Effects on other substantive outcomes are uncertain due to serious concerns in study design, inconsistency, and imprecision of effect estimates. No trials were identified on asymptomatic women, or multiple gestations. Future studies are needed that include specific populations (e.g. singleton gestations with symptoms of preterm labor), a study gro p managed with a protocol based on the FFN results, and that report not only maternal but also important perinatal outcomes. CostÃƒÂ¢Ã¢â€šÂ¬Ã‚Âeffectiveness analyses are also needed. Plain language summary Fetal fibronectin testing for reducing the risk of preterm birth What is the issue? To assess the effectiveness of management of pregnant women based on a knowledge of fetal fibronectin test results for preventing preterm birth, compared with not having that knowledge. Fetal fibronectin (FFN) acts as a ÃƒÂ¢Ã¢â€šÂ¬Ã‹Å“glueÃƒÂ¢Ã¢â€šÂ¬Ã¢â€žÂ¢ between the pregnancy and the uterus. Normally very low levels of FFN can be found in secretions of the vagina and cervix. Raised levels at or after 22 weeks have been associated with an increased risk of spontaneous preterm birth. Why is this important? Preterm birth before 37 weeks is the main cause of sickness and death for newborn infants. Most women who give birth preterm have preterm labor symptoms such as contractions but many of the women with symptoms go on to deliver at term (37 weeks or more). Fetal fibronectin (FFN) is a test that can identify the women with symptoms of preterm labor who are most at risk for preterm birth. The level of FFN is measured in secretions from the vagina or cervix. What evidence did we find? We found six randomised controlled studies involving 546 women who were pregnant with one baby and were showing signs of preterm labor at between 23 to 34 weeks' gestation. We graded the following evidence as mainly low quality because of the low number of women in the studies and a wide variation in findings. We found that the number of births before 37 weeks may be slightly reduced when women and their doctors know the results of the FFN test (20.7% versus 29.2%; 5 trials; 434 women). However, knowledge of FFN results may make little or no difference for the other outcomes with available data, including: maternal hospitalization (5 trials; 441 women); use of uterine relaxants (tocolysis) to try to prevent labor; earlier preterm births; womenÃƒÂ¢Ã¢â€šÂ¬Ã¢â€žÂ¢s gestational age at delivery; babies with a birthweight less than 2500 g; newborn deaths; the number of babies with respiratory distress syndrome; giving steroids to mature the unborn babiesÃƒÂ¢Ã¢â€šÂ¬Ã¢â€žÂ¢ lungs; and number of days in a neonatal intensive care unit (NICU). What does this mean? This review of six studies did not find enough evidence to say whether or not the FFN test should be used in the management of women showing signs of preterm labor. A screening test such as FFN can only be considered effective if interventions based on the screening results, such as giving drugs to relax the uterus, reduce the number of preterm births. Further research should be encouraged.</t>
  </si>
  <si>
    <t>Unknown</t>
  </si>
  <si>
    <t>Treatment for hepatorenal syndrome in people with decompensated liver cirrhosis: a network metaÃƒÂ¢Ã¢â€šÂ¬Ã‚Âanalysis</t>
  </si>
  <si>
    <t>- Background Hepatorenal syndrome is defined as renal failure in people with cirrhosis in the absence of other causes. In addition to supportive treatment such as albumin to restore fluid balance, the other potential treatments include systemic vasoconstrictor drugs (such as vasopressin analogues or noradrenaline), renal vasodilator drugs (such as dopamine), transjugular intrahepatic portosystemic shunt (TIPS), and liver support with molecular adsorbent recirculating system (MARS). There is uncertainty over the best treatment regimen for hepatorenal syndrome. Objectives To compare the benefits and harms of different treatments for hepatorenal syndrome in people with decompensated liver cirrhosis. Search methods We searched CENTRAL, MEDLINE, Embase, Science Citation Index Expanded, World Health Organization International Clinical Trials Registry Platform, and trial registers until December 2018 to identify randomised clinical trials on hepatorenal syndrome in people with cirrhosis. Selection criteria We included only randomised clinical trials (irrespective of language, blinding, or publication status) in adults with cirrhosis and hepatorenal syndrome. We excluded randomised clinical trials in which participants had previously undergone liver transplantation. Data collection and analysis Two authors independently identified eligible trials and collected data. The outcomes for this review included mortality, serious adverse events, any adverse events, resolution of hepatorenal syndrome, liver transplantation, and other decompensation events. We performed a network metaÃƒÂ¢Ã¢â€šÂ¬Ã‚Âanalysis with OpenBUGS using Bayesian methods and calculated the odds ratio (OR), rate ratio, hazard ratio (HR), and mean difference (MD) with 95% credible intervals (CrI) based on an availableÃƒÂ¢Ã¢â€šÂ¬Ã‚Âcase analysis, according to National Institute of Health and Care Excellence Decision Support Unit guidance. Main results We included a total of 25 trials (1263 participants; 12 interventions) in the review. TwentyÃƒÂ¢Ã¢â€šÂ¬Ã‚Âthree trials (1185 participants) were included in one or more outcomes. All the trials but two were at high risk of bias, and all the evidence was of low or very low certainty. The trials included participants with liver cirrhosis of varied aetiologies as well as a mixture of type I hepatorenal syndrome only, type II hepatorenal syndrome only, or people with both type I and type II hepatorenal syndrome. Participant age ranged from 42 to 60 years, and the proportion of females ranged from 5.8% to 61.5% in the trials that reported this information. The followÃƒÂ¢Ã¢â€šÂ¬Ã‚Âup in the trials ranged from one week to six months. Overall, 59% of participants died during this period and about 35% of participants recovered from hepatorenal syndrome. The most common interventions compared were albumin plus terlipressin, albumin plus noradrenaline, and albumin alone. There was no evidence of a difference in mortality (22 trials; 1153 participants) at maximal followÃƒÂ¢Ã¢â€šÂ¬Ã‚Âup between the different interventions. None of the trials reported healthÃƒÂ¢Ã¢â€šÂ¬Ã‚Ârelated quality of life. There was no evidence of differences in the proportion of people with serious adverse events (three trials; 428 participants), number of participants with serious adverse events per participant (two trials; 166 participants), proportion of participants with any adverse events (four trials; 402 participants), the proportion of people who underwent liver transplantation at maximal followÃƒÂ¢Ã¢â€šÂ¬Ã‚Âup (four trials; 342 participants), or other features of decompensation at maximal followÃƒÂ¢Ã¢â€šÂ¬Ã‚Âup (one trial; 466 participants). Five trials (293 participants) reported number of any adverse events, and five trials (219 participants) reported treatment costs. Albumin plus noradrenaline had fewer numbers of adverse events per participant (rate ratio 0.51, 95% CrI 0.28 to 0.87). Eighteen trials (1047 participants) reported recovery from hepatorenal syndrome (as per definition of hepatorenal syndrome). In terms of recovery from hepatorenal syndrome, in the direct comparisons, albumin plus midodrine plus octreotide and albumin plus octreotide had lower recovery from hepatorenal syndrome than albumin plus terlipressin (HR 0.04; 95% CrI 0.00 to 0.25 and HR 0.26, 95% CrI 0.07 to 0.80 respectively). There was no evidence of differences between the groups in any of the other direct comparisons. In the network metaÃƒÂ¢Ã¢â€šÂ¬Ã‚Âanalysis, albumin and albumin plus midodrine plus octreotide had lower recovery from hepatorenal syndrome compared with albumin plus terlipressin. Funding: two trials were funded by pharmaceutical companies; five trials were funded by parties who had no vested interest in the results of the trial; and 18 trials did not report the source of funding. Authors' conclusions Based on very lowÃƒÂ¢Ã¢â€šÂ¬Ã‚Âcertainty evidence, there is no evidence of benefit or harm of any of the interventions for hepatorenal syndrome with regards to the following outcomes: allÃƒÂ¢Ã¢â€šÂ¬Ã‚Âcause mortality, serious adverse events (proportion), number of serious adverse events per participant, any adverse events (proportion), liver transplantation, or other decompensation events. LowÃƒÂ¢Ã¢â€šÂ¬Ã‚Âcertainty evidence suggests that albumin plus noradrenaline had fewer 'any adverse events per participant' than albumin plus terlipressin. LowÃƒÂ¢Ã¢â€šÂ¬Ã‚Â or very lowÃƒÂ¢Ã¢â€šÂ¬Ã‚Âcertainty evidence also found that albumin plus midodrine plus octreotide and albumin alone had lower recovery from hepatorenal syndrome compared with albumin plus terlipressin. Future randomised clinical trials should be adequately powered; employ blinding, avoid postÃƒÂ¢Ã¢â€šÂ¬Ã‚Ârandomisation dropouts or planned crossÃƒÂ¢Ã¢â€šÂ¬Ã‚Âovers (or perform an intentionÃƒÂ¢Ã¢â€šÂ¬Ã‚ÂtoÃƒÂ¢Ã¢â€šÂ¬Ã‚Âtreat analysis); and report clinically important outcomes such as mortality, healthÃƒÂ¢Ã¢â€šÂ¬Ã‚Ârelated quality of life, adverse events, and recovery from hepatorenal syndrome. Albumin plus noradrenaline and albumin plus terlipressin appear to be the interventions that should be compared in future trials. Plain language summary Treatment of hepatorenal syndrome What is the aim of this Cochrane review? To find out the best treatment for decreased kidney function (hepatorenal syndrome) in people with liver cirrhosis (a form of advanced liver disease with scarring of the liver) with complications. The authors collected and analysed all relevant studies to answer this question and found 25 randomised controlled trials (participants receive the treatment based on method similar to coin toss or lottery; this is to ensure that the people who receive the different treatments are similar in all aspects except the treatment, so that any differences in the results between the treatments can be attributed to the treatment rather than differences in the type of people who received the treatment). During analysis of data, authors used standard Cochrane techniques, which allows comparison of two treatments at a time. Authors also used advanced techniques, that allow comparison of many treatments at the same time (usually referred as 'network metaÃƒÂ¢Ã¢â€šÂ¬Ã‚Âanalysis' or 'multiple treatment comparisons'). The aim is to gather reliable evidence on the relative benefits and harms of the different treatments. Date of literature search ÃƒÂ¢Ã¢â€šÂ¬Ã‚Â¨ December 2018 Key messages ÃƒÂ¢Ã¢â€šÂ¬Ã‚Â¨ Only two studies were conducted well. The remaining studies had one or more flaws. Therefore, there is high uncertainty in the results of the analysis. The authors could not recommend one treatment over another on the basis of risk of death, serious complications, percentage of people who developed any complication, percentage of participants who underwent liver transplantation (replacement of a diseased liver with a healthy one), or the number of other liver failure events. HealthÃƒÂ¢Ã¢â€šÂ¬Ã‚Ârelated quality of life was not reported in any of the trials. The number of complications of any severity was lower with albumin plus noradrenaline than albumin plus terlipressin. Recovery from hepatorenal syndrome may be lower with albumin plus midodrine plus octreotide and albumin alone than albumin plus terlipressin and albumin plus noradrenaline. Funding source was unclear in 18 studies. Industrial organisations funded two studies and the remaining five studies did not receive any funding from industrial organisations. What was studied in the review? This review studied people of any sex, age, and origin, having advanced liver disease due to various causes, and who had developed hepatorenal syndrome. People were administered different treatments. The review authors excluded studies with liverÃƒÂ¢Ã¢â€šÂ¬Ã‚Âtransplanted participants. Participants age, when reported, ranged from 42 to 60 years. The number of females ranged from 6 to 62 out of 100 in the studies that reported this information. The main treatments compared were albumin alone, albumin plus terlipressin, and albumin plus noradrenaline. The authors gathered and analysed data on death, quality of life, serious and nonÃƒÂ¢Ã¢â€šÂ¬Ã‚Âserious complications, time to liver transplantation, recovery from hepatorenal syndrome, and disappearance of symptoms. What were the main results of the review? The 25 studies included a small number of participants (1263 participants). Study data were sparse. TwentyÃƒÂ¢Ã¢â€šÂ¬Ã‚Âthree studies with 1185 participants provided data for analyses. The followÃƒÂ¢Ã¢â€šÂ¬Ã‚Âup in the trials ranged from one week to six months. The review shows that: ÃƒÂ¢Ã¢â€šÂ¬Ã‚Â About 60 out of every 100 people died within three months, and 35 out of every 100 people recovered from hepatorenal syndrome. ÃƒÂ¢Ã¢â€šÂ¬Ã‚Â The provided treatment may make no difference to the percentage of people who died or developed serious complications, number of serious complications per person, percentage of people who developed complications of any severity, or the percentage of people undergoing liver transplantation. ÃƒÂ¢Ã¢â€šÂ¬Ã‚Â None of the trials reported healthÃƒÂ¢Ã¢â€šÂ¬Ã‚Ârelated quality of life. ÃƒÂ¢Ã¢â€šÂ¬Ã‚Â The number of complications of any severity was lower with albumin plus noradrenaline than albumin plus terlipressin. ÃƒÂ¢Ã¢â€šÂ¬Ã‚Â Recovery from hepatorenal syndrome may be lower with albumin plus midodrine plus octreotide and albumin alone than albumin plus terlipressin and albumin plus noradrenaline. ÃƒÂ¢Ã¢â€šÂ¬Ã‚Â We have very low confidence in the overall results. ÃƒÂ¢Ã¢â€šÂ¬Ã‚Â Future trials with proper design and quality are needed to clarify the best treatment for people with advanced liver disease having hepatorenal syndrome.</t>
  </si>
  <si>
    <t>Perioperative betaÃƒÂ¢Ã¢â€šÂ¬Ã‚Âblockers for preventing surgeryÃƒÂ¢Ã¢â€šÂ¬Ã‚Ârelated mortality and morbidity in adults undergoing nonÃƒÂ¢Ã¢â€šÂ¬Ã‚Âcardiac surgery</t>
  </si>
  <si>
    <t>- Background Randomized controlled trials (RCTs) have yielded conflicting results regarding the ability of betaÃƒÂ¢Ã¢â€šÂ¬Ã‚Âblockers to influence perioperative cardiovascular morbidity and mortality. Thus routine prescription of these drugs in an unselected population remains a controversial issue. A previous version of this review assessing the effectiveness of perioperative betaÃƒÂ¢Ã¢â€šÂ¬Ã‚Âblockers in cardiac and nonÃƒÂ¢Ã¢â€šÂ¬Ã‚Âcardiac surgery was last published in 2018. The previous review has now been split into two reviews according to type of surgery. This is an update, and assesses the evidence in nonÃƒÂ¢Ã¢â€šÂ¬Ã‚Âcardiac surgery only. Objectives To assess the effectiveness of perioperatively administered betaÃƒÂ¢Ã¢â€šÂ¬Ã‚Âblockers for the prevention of surgeryÃƒÂ¢Ã¢â€šÂ¬Ã‚Ârelated mortality and morbidity in adults undergoing nonÃƒÂ¢Ã¢â€šÂ¬Ã‚Âcardiac surgery. Search methods We searched CENTRAL, MEDLINE, Embase, CINAHL, Biosis Previews and Conference Proceedings Citation IndexÃƒÂ¢Ã¢â€šÂ¬Ã‚ÂScience on 28 June 2019. We searched clinical trials registers and grey literature, and conducted backwardÃƒÂ¢Ã¢â€šÂ¬Ã‚Â and forwardÃƒÂ¢Ã¢â€šÂ¬Ã‚Âcitation searching of relevant articles. Selection criteria We included RCTs and quasiÃƒÂ¢Ã¢â€šÂ¬Ã‚Ârandomized studies comparing betaÃƒÂ¢Ã¢â€šÂ¬Ã‚Âblockers with a control (placebo or standard care) administered during the perioperative period to adults undergoing nonÃƒÂ¢Ã¢â€šÂ¬Ã‚Âcardiac surgery. If studies included surgery with different types of anaesthesia, we included them if 70% participants, or at least 100 participants, received general anaesthesia. We excluded studies in which all participants in the standard care control group were given a pharmacological agent that was not given to participants in the intervention group, studies in which all participants in the control group were given a betaÃƒÂ¢Ã¢â€šÂ¬Ã‚Âblocker, and studies in which betaÃƒÂ¢Ã¢â€šÂ¬Ã‚Âblockers were given with an additional agent (e.g. magnesium). We excluded studies that did not measure or report review outcomes. Data collection and analysis Two review authors independently assessed studies for inclusion, extracted data, and assessed risks of bias. We assessed the certainty of evidence with GRADE. Main results We included 83 RCTs with 14,967 participants; we found no quasiÃƒÂ¢Ã¢â€šÂ¬Ã‚Ârandomized studies. All participants were undergoing nonÃƒÂ¢Ã¢â€šÂ¬Ã‚Âcardiac surgery, and types of surgery ranged from low to high risk. Types of betaÃƒÂ¢Ã¢â€šÂ¬Ã‚Âblockers were: propranolol, metoprolol, esmolol, landiolol, nadolol, atenolol, labetalol, oxprenolol, and pindolol. In nine studies, betaÃƒÂ¢Ã¢â€šÂ¬Ã‚Âblockers were titrated according to heart rate or blood pressure. Duration of administration varied between studies, as did the time at which drugs were administered; in most studies, it was intraoperatively, but in 18 studies it was before surgery, in six postoperatively, one multiÃƒÂ¢Ã¢â€šÂ¬Ã‚Âarm study included groups of different timings, and one study did not report timing of drug administration. Overall, we found that more than half of the studies did not sufficiently report methods used for randomization. All studies in which the control was standard care were at high risk of performance bias because of the openÃƒÂ¢Ã¢â€šÂ¬Ã‚Âlabel study design. Only two studies were prospectively registered with clinical trials registers, which limited the assessment of reporting bias. In six studies, participants in the control group were given betaÃƒÂ¢Ã¢â€šÂ¬Ã‚Âblockers as rescue therapy during the study period. The evidence for allÃƒÂ¢Ã¢â€šÂ¬Ã‚Âcause mortality at 30 days was uncertain; based on the risk of death in the control group of 25 per 1000, the effect with betaÃƒÂ¢Ã¢â€šÂ¬Ã‚Âblockers was between two fewer and 13 more per 1000 (risk ratio (RR) 1.17, 95% confidence interval (CI) 0.89 to 1.54; 16 studies, 11,446 participants; lowÃƒÂ¢Ã¢â€šÂ¬Ã‚Âcertainty evidence). BetaÃƒÂ¢Ã¢â€šÂ¬Ã‚Âblockers may reduce the incidence of myocardial infarction by 13 fewer incidences per 1000 (RR 0.72, 95% CI 0.60 to 0.87; 12 studies, 10,520 participants; lowÃƒÂ¢Ã¢â€šÂ¬Ã‚Âcertainty evidence). We found no evidence of a difference in cerebrovascular events (RR 1.65, 95% CI 0.97 to 2.81; 6 studies, 9460 participants; lowÃƒÂ¢Ã¢â€šÂ¬Ã‚Âcertainty evidence), or in ventricular arrhythmias (RR 0.72, 95% CI 0.35 to 1.47; 5 studies, 47 participants; very lowÃƒÂ¢Ã¢â€šÂ¬Ã‚Âcertainty evidence). BetaÃƒÂ¢Ã¢â€šÂ¬Ã‚Âblockers may reduce atrial fibrillation or flutter by 26 fewer incidences per 1000 (RR 0.41, 95% CI 0.21 to 0.79; 9 studies, 9080 participants; lowÃƒÂ¢Ã¢â€šÂ¬Ã‚Âcertainty evidence). However, betaÃƒÂ¢Ã¢â€šÂ¬Ã‚Âblockers may increase bradycardia by 55 more incidences per 1000 (RR 2.49, 95% CI 1.74 to 3.56; 49 studies, 12,239 participants; lowÃƒÂ¢Ã¢â€šÂ¬Ã‚Âcertainty evidence), and hypotension by 44 more per 1000 (RR 1.40, 95% CI 1.29 to 1.51; 49 studies, 12,304 participants; moderateÃƒÂ¢Ã¢â€šÂ¬Ã‚Âcertainty evidence). We downgraded the certainty of the evidence owing to study limitations; some studies had high risks of bias, and the effects were sometimes altered when we excluded studies with a standard care control group (including only placeboÃƒÂ¢Ã¢â€šÂ¬Ã‚Âcontrolled trials showed an increase in early mortality and cerebrovascular events with betaÃƒÂ¢Ã¢â€šÂ¬Ã‚Âblockers). We also downgraded for inconsistency; one large, wellÃƒÂ¢Ã¢â€šÂ¬Ã‚Âconducted, international study found a reduction in myocardial infarction, and an increase in cerebrovascular events and allÃƒÂ¢Ã¢â€šÂ¬Ã‚Âcause mortality, when betaÃƒÂ¢Ã¢â€šÂ¬Ã‚Âblockers were used, but other studies showed no evidence of a difference. We could not explain the reason for the inconsistency in the evidence for ventricular arrhythmias, and we also downgraded this outcome for imprecision because we found few studies with few participants. Authors' conclusions The evidence for early allÃƒÂ¢Ã¢â€šÂ¬Ã‚Âcause mortality with perioperative betaÃƒÂ¢Ã¢â€šÂ¬Ã‚Âblockers was uncertain. We found no evidence of a difference in cerebrovascular events or ventricular arrhythmias, and the certainty of the evidence for these outcomes was low and very low. We found lowÃƒÂ¢Ã¢â€šÂ¬Ã‚Âcertainty evidence that betaÃƒÂ¢Ã¢â€šÂ¬Ã‚Âblockers may reduce atrial fibrillation and myocardial infarctions. However, betaÃƒÂ¢Ã¢â€šÂ¬Ã‚Âblockers may increase bradycardia (lowÃƒÂ¢Ã¢â€šÂ¬Ã‚Âcertainty evidence) and probably increase hypotension (moderateÃƒÂ¢Ã¢â€šÂ¬Ã‚Âcertainty evidence). Further evidence from large placeboÃƒÂ¢Ã¢â€šÂ¬Ã‚Âcontrolled trials is likely to increase the certainty of these findings, and we recommend the assessment of impact on quality of life. We found 18 studies awaiting classification; inclusion of these studies in future updates may also increase the certainty of the evidence. Plain language summary BetaÃƒÂ¢Ã¢â€šÂ¬Ã‚Âblockers to prevent death or serious events after surgery not involving the heart This review assessed evidence from randomized controlled trials (RCTs) on whether betaÃƒÂ¢Ã¢â€šÂ¬Ã‚Âblockers reduce deaths or other serious events when given to people undergoing surgery other than heart surgery. The findings for heart surgery are covered in another review. Background Surgery increases stress in the body, which responds by releasing the hormones adrenaline and noradrenaline. Stress from surgery can lead to death or other serious events such as heart attacks, stroke, or an irregular heartbeat. For surgery that does not involve the heart, an estimated 8% of people may have injury to their heart around the time of surgery. BetaÃƒÂ¢Ã¢â€šÂ¬Ã‚Âblockers are drugs that block the action of adrenaline and noradrenaline on the heart. BetaÃƒÂ¢Ã¢â€šÂ¬Ã‚Âblockers can slow down the heart, and reduce blood pressure, and this may reduce the risk of serious events. However, betaÃƒÂ¢Ã¢â€šÂ¬Ã‚Âblockers may lead to a very low heart rate or very low blood pressure which could increase the risk of death or a stroke. Prevention of early complications after surgery is important, but using betaÃƒÂ¢Ã¢â€šÂ¬Ã‚Âblockers to prevent these complications is controversial. Study characteristics The evidence is current to 28 June 2019. We included 83 RCTs with 14,967 adults who were undergoing different types of surgery other than heart surgery. Eighteen studies are awaiting classification (because we did not have enough details to assess them), and three studies are ongoing. The types of betaÃƒÂ¢Ã¢â€šÂ¬Ã‚Âblockers used in the studies were: propranolol, metoprolol, esmolol, landiolol, nadolol, atenolol, labetalol, oxprenolol, and pindolol. Studies compared these betaÃƒÂ¢Ã¢â€šÂ¬Ã‚Âblockers with either a placebo (disguised to look like a betaÃƒÂ¢Ã¢â€šÂ¬Ã‚Âblocker but containing no medicine) or with standard care. Key results BetaÃƒÂ¢Ã¢â€šÂ¬Ã‚Âblockers may make l ttle or no difference to the number of people who die within 30 days of surgery (16 studies, 11,446 participants; lowÃƒÂ¢Ã¢â€šÂ¬Ã‚Âcertainty evidence), have a stroke (6 studies, 9460 participants; lowÃƒÂ¢Ã¢â€šÂ¬Ã‚Âcertainty evidence), or experience ventricular arrhythmias (irregular heartbeat rhythms, starting in the main chambers of the heart, that are potentially lifeÃƒÂ¢Ã¢â€šÂ¬Ã‚Âthreatening and may need immediate medical treatment; 5 studies, 476 participants; very lowÃƒÂ¢Ã¢â€šÂ¬Ã‚Âcertainty evidence). We found that betaÃƒÂ¢Ã¢â€šÂ¬Ã‚Âblockers may reduce atrial fibrillation (an irregular heartbeat, starting in the atrial chambers of the heart, that increases the risk of stroke if untreated; 9 studies, 9080 participants; low certaintyÃƒÂ¢Ã¢â€šÂ¬Ã‚Âevidence), and the number of people who have a heart attack (12 studies, 10,520 participants; lowÃƒÂ¢Ã¢â€šÂ¬Ã‚Âcertainty evidence). However, taking betaÃƒÂ¢Ã¢â€šÂ¬Ã‚Âblockers may increase the number of people who experience a very low heart rate (49 studies, 12,239 participants; lowÃƒÂ¢Ã¢â€šÂ¬Ã‚Âcertainty evidence), or very low blood pressure (49 studies, 12,304 participants; moderateÃƒÂ¢Ã¢â€šÂ¬Ã‚Âcertainty evidence), around the time of surgery. In a few studies, we also found little or no difference in the number of people who died after 30 days, who died because of a heart problem, or had heart failure. We found no evidence of whether betaÃƒÂ¢Ã¢â€šÂ¬Ã‚Âblockers alter the length of time in hospital. No studies assessed whether people who were given betaÃƒÂ¢Ã¢â€šÂ¬Ã‚Âblockers had a better quality of life after heart surgery. Certainty of the evidence The certainty of the evidence in this review was limited by including some studies that were at high risk of bias, and we noticed that some of our findings were different if we only included placeboÃƒÂ¢Ã¢â€šÂ¬Ã‚Âcontrolled studies or studies that reported how participants were randomized. We also found one large, wellÃƒÂ¢Ã¢â€šÂ¬Ã‚Âconducted, international study that had different findings to the smaller studies. It showed a reduction in heart attacks and an increase in stroke and allÃƒÂ¢Ã¢â€šÂ¬Ã‚Âcause mortality when betaÃƒÂ¢Ã¢â€šÂ¬Ã‚Âblockers were used, whilst the other studies did not show a clear effect. We were also less certain of the findings for outcomes with few studies, such as for ventricular arrhythmias. Conclusion Although betaÃƒÂ¢Ã¢â€šÂ¬Ã‚Âblockers may make little or no difference to the number of people who die within 30 days, have a stroke, or have ventricular arrhythmias, they may reduce atrial fibrillation and heart attacks. Taking betaÃƒÂ¢Ã¢â€šÂ¬Ã‚Âblockers may increase the number of people with a very low heart rate or very low blood pressure around the time of surgery. Further evidence from large, placeboÃƒÂ¢Ã¢â€šÂ¬Ã‚Âcontrolled trials is likely to increase the certainty of these findings, and we recommend the assessment of impact on quality of life.</t>
  </si>
  <si>
    <t>Perioperative betaÃƒÂ¢Ã¢â€šÂ¬Ã‚Âblockers for preventing surgeryÃƒÂ¢Ã¢â€šÂ¬Ã‚Ârelated mortality and morbidity in adults undergoing cardiac surgery</t>
  </si>
  <si>
    <t>- Background Randomized controlled trials (RCTs) have yielded conflicting results regarding the ability of betaÃƒÂ¢Ã¢â€šÂ¬Ã‚Âblockers to influence perioperative cardiovascular morbidity and mortality. Thus routine prescription of these drugs in unselected patients remains a controversial issue. A previous version of this review assessing the effectiveness of perioperative betaÃƒÂ¢Ã¢â€šÂ¬Ã‚Âblockers in cardiac and nonÃƒÂ¢Ã¢â€šÂ¬Ã‚Âcardiac surgery was last published in 2018. The previous review has now been split into two reviews according to type of surgery. This is an update and assesses the evidence in cardiac surgery only. Objectives To assess the effectiveness of perioperatively administered betaÃƒÂ¢Ã¢â€šÂ¬Ã‚Âblockers for the prevention of surgeryÃƒÂ¢Ã¢â€šÂ¬Ã‚Ârelated mortality and morbidity in adults undergoing cardiac surgery. Search methods We searched CENTRAL, MEDLINE, Embase, CINAHL, Biosis Previews and Conference Proceedings Citation IndexÃƒÂ¢Ã¢â€šÂ¬Ã‚ÂScience on 28 June 2019. We searched clinical trials registers and grey literature, and conducted backwardÃƒÂ¢Ã¢â€šÂ¬Ã‚Â and forwardÃƒÂ¢Ã¢â€šÂ¬Ã‚Âcitation searching of relevant articles. Selection criteria We included RCTs and quasiÃƒÂ¢Ã¢â€šÂ¬Ã‚Ârandomized studies comparing betaÃƒÂ¢Ã¢â€šÂ¬Ã‚Âblockers with a control (placebo or standard care) administered during the perioperative period to adults undergoing cardiac surgery. We excluded studies in which all participants in the standard care control group were given a pharmacological agent that was not given to participants in the intervention group, studies in which all participants in the control group were given a betaÃƒÂ¢Ã¢â€šÂ¬Ã‚Âblocker, and studies in which betaÃƒÂ¢Ã¢â€šÂ¬Ã‚Âblockers were given with an additional agent (e.g. magnesium). We excluded studies that did not measure or report review outcomes. Data collection and analysis Two review authors independently assessed studies for inclusion, extracted data, and assessed risks of bias. We assessed the certainty of evidence with GRADE. Main results We included 63 studies with 7768 participants; six studies were quasiÃƒÂ¢Ã¢â€šÂ¬Ã‚Ârandomized and the remaining were RCTs. All participants were undergoing cardiac surgery, and in most studies, at least some of the participants were previously taking betaÃƒÂ¢Ã¢â€šÂ¬Ã‚Âblockers. Types of betaÃƒÂ¢Ã¢â€šÂ¬Ã‚Âblockers were: propranolol, metoprolol, sotalol, esmolol, landiolol, acebutolol, timolol, carvedilol, nadolol, and atenolol. In twelve studies, betaÃƒÂ¢Ã¢â€šÂ¬Ã‚Âblockers were titrated according to heart rate or blood pressure. Duration of administration varied between studies, as did the time at which drugs were administered; in nine studies this was before surgery, in 20 studies during surgery, and in the remaining studies betaÃƒÂ¢Ã¢â€šÂ¬Ã‚Âblockers were started postoperatively. Overall, we found that most studies did not report sufficient details for us to adequately assess risk of bias. In particular, few studies reported methods used to randomize participants to groups. In some studies, participants in the control group were given betaÃƒÂ¢Ã¢â€šÂ¬Ã‚Âblockers as rescue therapy during the study period, and all studies in which the control was standard care were at high risk of performance bias because of the openÃƒÂ¢Ã¢â€šÂ¬Ã‚Âlabel study design. No studies were prospectively registered with clinical trials registers, which limited the assessment of reporting bias. We judged 68% studies to be at high risk of bias in at least one domain. Study authors reported few deaths (7 per 1000 in both the intervention and control groups), and we found lowÃƒÂ¢Ã¢â€šÂ¬Ã‚Âcertainty evidence that betaÃƒÂ¢Ã¢â€šÂ¬Ã‚Âblockers may make little or no difference to allÃƒÂ¢Ã¢â€šÂ¬Ã‚Âcause mortality at 30 days (risk ratio (RR) 0.95, 95% confidence interval (CI) 0.47 to 1.90; 29 studies, 4099 participants). For myocardial infarctions, we found no evidence of a difference in events (RR 1.05, 95% CI 0.72 to 1.52; 25 studies, 3946 participants; lowÃƒÂ¢Ã¢â€šÂ¬Ã‚Âcertainty evidence). Few study authors reported cerebrovascular events, and the evidence was uncertain (RR 1.37, 95% CI 0.51 to 3.67; 5 studies, 1471 participants; very lowÃƒÂ¢Ã¢â€šÂ¬Ã‚Âcertainty evidence). Based on a control risk of 54 per 1000, we found lowÃƒÂ¢Ã¢â€šÂ¬Ã‚Âcertainty evidence that betaÃƒÂ¢Ã¢â€šÂ¬Ã‚Âblockers may reduce episodes of ventr cular arrhythmias by 32 episodes per 1000 (RR 0.40, 95% CI 0.25 to 0.63; 12 studies, 2296 participants). For atrial fibrillation or flutter, there may be 163 fewer incidences with betaÃƒÂ¢Ã¢â€šÂ¬Ã‚Âblockers, based on a control risk of 327 incidences per 1000 (RR 0.50, 95% CI 0.42 to 0.59; 40 studies, 5650 participants; lowÃƒÂ¢Ã¢â€šÂ¬Ã‚Âcertainty evidence). However, the evidence for bradycardia and hypotension was less certain. We found that betaÃƒÂ¢Ã¢â€šÂ¬Ã‚Âblockers may make little or no difference to bradycardia (RR 1.63, 95% CI 0.92 to 2.91; 12 studies, 1640 participants; lowÃƒÂ¢Ã¢â€šÂ¬Ã‚Âcertainty evidence), or hypotension (RR 1.84, 95% CI 0.89 to 3.80; 10 studies, 1538 participants; lowÃƒÂ¢Ã¢â€šÂ¬Ã‚Âcertainty evidence). We used GRADE to downgrade the certainty of evidence. Owing to studies at high risk of bias in at least one domain, we downgraded each outcome for study limitations. Based on effect size calculations in the previous review, we found an insufficient number of participants in all outcomes (except atrial fibrillation) and, for some outcomes, we noted a wide confidence interval; therefore, we also downgraded outcomes owing to imprecision. The evidence for atrial fibrillation and length of hospital stay had a moderate level of statistical heterogeneity which we could not explain, and we, therefore, downgraded these outcomes for inconsistency. Authors' conclusions We found no evidence of a difference in early allÃƒÂ¢Ã¢â€šÂ¬Ã‚Âcause mortality, myocardial infarction, cerebrovascular events, hypotension and bradycardia. However, there may be a reduction in atrial fibrillation and ventricular arrhythmias when betaÃƒÂ¢Ã¢â€šÂ¬Ã‚Âblockers are used. A larger sample size is likely to increase the certainty of this evidence. Four studies awaiting classification may alter the conclusions of this review. Plain language summary BetaÃƒÂ¢Ã¢â€šÂ¬Ã‚Âblockers to prevent death or serious events after heart surgery This review assessed evidence of whether betaÃƒÂ¢Ã¢â€šÂ¬Ã‚Âblockers given around the time of surgery can reduce death or other serious events for people undergoing heart surgery. Background People undergoing heart surgery are at greater risk of complications and death. Heart surgery increases the amount of stress in the body, causing the release of the hormones adrenaline and noradrenaline. This stress can lead to serious events including death, heart attacks, stroke, or an irregular heartbeat. BetaÃƒÂ¢Ã¢â€šÂ¬Ã‚Âblockers are drugs that block the action of adrenaline and noradrenaline on the heart. BetaÃƒÂ¢Ã¢â€šÂ¬Ã‚Âblockers can slow down the heart and reduce blood pressure, and this effect may reduce the risk of serious events. However, they can also lead to a very low heart rate or very low blood pressure, and this effect may increase the risk of death or a stroke. Prevention of complications around the time of surgery is an important safety consideration for people undergoing heart surgery. Study characteristics The evidence is current to 28 June 2019. We included 63 studies with 7768 adults who were undergoing heart surgery, including coronary artery bypass graft and valve replacement surgery. Studies were mostly randomized controlled studies, and six were quasiÃƒÂ¢Ã¢â€šÂ¬Ã‚Ârandomized (participants were allocated to groups by methods such as using hospital record numbers or dates of birth). The types of betaÃƒÂ¢Ã¢â€šÂ¬Ã‚Âblockers were: propranolol, metoprolol, sotalol, esmolol, landiolol, acebutolol, timolol, carvedilol, nadolol, and atenolol. These betaÃƒÂ¢Ã¢â€šÂ¬Ã‚Âblockers were compared with either a placebo (disguised to look like a betaÃƒÂ¢Ã¢â€šÂ¬Ã‚Âblocker but containing no medicine) or with standard care. BetaÃƒÂ¢Ã¢â€šÂ¬Ã‚Âblockers were started before surgery, during surgery or at the latest by the end of the first day after surgery. The length of time betaÃƒÂ¢Ã¢â€šÂ¬Ã‚Âblockers were given varied between studies. In most studies, at least some of the people were already taking betaÃƒÂ¢Ã¢â€šÂ¬Ã‚Âblockers, which would be expected for people who had conditions that needed heart surgery. Key results BetaÃƒÂ¢Ã¢â€šÂ¬Ã‚Âblockers probably make little or no difference to the number of people who die (29 studies, 4099 participants) or have a heart attack (25 studies, 3946 participants) within 30 days of surgery. This w s supported by lowÃƒÂ¢Ã¢â€šÂ¬Ã‚Âcertainty evidence. Few studies reported on people who had a stroke, and we were uncertain whether or not betaÃƒÂ¢Ã¢â€šÂ¬Ã‚Âblockers reduced strokes because the certainty of the evidence was very low (5 studies, 1471 participants). BetaÃƒÂ¢Ã¢â€šÂ¬Ã‚Âblockers may reduce atrial fibrillation, which is an irregular heartbeat starting in the atrial chambers of the heart that increases the risk of stroke if untreated (40 studies, 5650 participants; lowÃƒÂ¢Ã¢â€šÂ¬Ã‚Âcertainty evidence). BetaÃƒÂ¢Ã¢â€šÂ¬Ã‚Âblockers may also reduce ventricular arrhythmias, which are potentially lifeÃƒÂ¢Ã¢â€šÂ¬Ã‚Âthreatening irregular heartbeat rhythms originating in the main chambers of the heart, and which may need immediate medical treatment (12 studies, 2296 participants). We found that betaÃƒÂ¢Ã¢â€šÂ¬Ã‚Âblockers may make little or no difference to whether people experience a very low heart rate or very low blood pressure. We were uncertain whether betaÃƒÂ¢Ã¢â€šÂ¬Ã‚Âblockers made a difference to the number of deaths up to a year after surgery (3 studies, 511 participants), to death because of the heart (4 studies, 320 participants), or to people who had heart failure (3 studies, 311 participants). The certainty of this evidence was very low. People who took betaÃƒÂ¢Ã¢â€šÂ¬Ã‚Âblockers had a shorter hospital stay by about half a day (14 studies, 2450 participants; lowÃƒÂ¢Ã¢â€šÂ¬Ã‚Âcertainty evidence). No studies assessed whether people on betaÃƒÂ¢Ã¢â€šÂ¬Ã‚Âblockers had a better quality of life after heart surgery. Certainty of the evidence The certainty of the evidence in this review was mostly low. We found that many studies reported methods that we believed could influence the results. For example, many studies did not use a placeboÃƒÂ¢Ã¢â€šÂ¬Ã‚Âcontrol and the doctors might, therefore, have treated people differently in each group. We were unable to explain some of the differences that we found in the data for atrial fibrillation. We also needed to have evidence from a larger number of participants to be very confident in our findings. Conclusion BetaÃƒÂ¢Ã¢â€šÂ¬Ã‚Âblockers may be beneficial for people who are undergoing cardiac surgery because they may reduce the number of people who experience atrial fibrillation and ventricular arrhythmias. BetaÃƒÂ¢Ã¢â€šÂ¬Ã‚Âblockers may make little or no difference to the other outcomes in this review, including death, heart attacks or stroke.</t>
  </si>
  <si>
    <t>- Background Cerebral palsy (CP) is the most common cause of physical disabilities in children in highÃƒÂ¢Ã¢â€šÂ¬Ã‚Âincome countries. Spasticity is the most common motor disturbance in CP. Botulinum toxin type A (BoNTÃƒÂ¢Ã¢â€šÂ¬Ã‚ÂA) is considered the firstÃƒÂ¢Ã¢â€šÂ¬Ã‚Âline treatment for focal spasticity in people with CP. Objectives To evaluate the effectiveness and safety of BoNTÃƒÂ¢Ã¢â€šÂ¬Ã‚ÂA compared to other treatments used in the management of lower limb spasticity in children with CP. Search methods We searched CENTRAL, PubMed, four other databases, and two trial registers in October 2018. We also searched the reference lists of relevant studies and reviews and contacted experts in the field. We did not apply any date or language restrictions. Selection criteria Randomised controlled trials of children with CP, aged between birth and 19 years, treated with BoNTÃƒÂ¢Ã¢â€šÂ¬Ã‚ÂA injections in the lower limb muscles compared to other interventions. The primary outcomes were gait analysis and function. The secondary outcomes were joint range of motion, quality of life, satisfaction, spasticity, and adverse events. Data collection and analysis Two review authors independently selected studies, extracted data, assessed risk of bias, and rated the quality of the evidence using GRADE. A third review author arbitrated in case of disagreements. We conducted metaÃƒÂ¢Ã¢â€šÂ¬Ã‚Âanalyses of available data whenever possible, analysing dichotomous data with risk ratios (RR), and continuous data with mean differences (MD) or standardised mean differences (SMD), with 95% confidence intervals (CI). We considered a 5% significance level for all analyses. Whenever possible, we analysed outcomes at the time points at which they were assessed: short term (2 to 8 weeks); medium term (12 to 16 weeks); and long term (&gt; 24 weeks). Main results We included 31 randomised controlled trials assessing 1508 participants. Most studies included ambulatory patients with more than one motor type of CP, and with a mean age of between three and seven years. There was a slight predominance of males. Studies compared BoNTÃƒÂ¢Ã¢â€šÂ¬Ã‚ÂA in the lower limb muscles to usual care or physiotherapy (14 studies), placebo or sham (12 studies), serial casting (4 studies), or orthoses (1 study). We rated studies as at high or unclear risk of bias mainly due to random sequence generation, allocation concealment, blinding of participants and personnel, and blinding of outcome assessment. BoNTÃƒÂ¢Ã¢â€šÂ¬Ã‚ÂA versus usual care or physiotherapy BoNTÃƒÂ¢Ã¢â€šÂ¬Ã‚ÂA might improve overall gait scores at mediumÃƒÂ¢Ã¢â€šÂ¬Ã‚Âterm followÃƒÂ¢Ã¢â€šÂ¬Ã‚Âup (MD 2.80, 95% CI 1.55 to 4.05; 1 study, 40 children; very lowÃƒÂ¢Ã¢â€šÂ¬Ã‚Âquality evidence) and is moderately effective at improving function at shortÃƒÂ¢Ã¢â€šÂ¬Ã‚Âterm (SMD 0.59, 95% CI 0.23 to 0.95; 2 studies, 123 children) and mediumÃƒÂ¢Ã¢â€šÂ¬Ã‚Âterm (SMD 1.04, 95% CI 0.16 to 1.91; 4 studies, 191 children) followÃƒÂ¢Ã¢â€šÂ¬Ã‚Âup (all very lowÃƒÂ¢Ã¢â€šÂ¬Ã‚Âquality evidence). BoNTÃƒÂ¢Ã¢â€šÂ¬Ã‚ÂA improves ankle range of motion, satisfaction, and ankle plantarflexors spasticity at one or more time points (very lowÃƒÂ¢Ã¢â€šÂ¬Ã‚Âquality evidence). The proportion of adverse events in the BoNTÃƒÂ¢Ã¢â€šÂ¬Ã‚ÂA group was 0.37 (95% CI 0.08 to 0.66; I 2 = 95%; very lowÃƒÂ¢Ã¢â€šÂ¬Ã‚Âquality evidence). No adverse events were reported in the control group. BoNTÃƒÂ¢Ã¢â€šÂ¬Ã‚ÂA versus placebo or sham BoNTÃƒÂ¢Ã¢â€šÂ¬Ã‚ÂA improves overall gait scores at shortÃƒÂ¢Ã¢â€šÂ¬Ã‚Âterm (RR 1.66, 95% CI 1.16 to 2.37, P = 0.006; 4 studies, 261 assessments) and mediumÃƒÂ¢Ã¢â€šÂ¬Ã‚Âterm (RR 1.90, 95% CI 1.32 to 2.74, P &lt; 0.001; 3 studies, 248 assessments) followÃƒÂ¢Ã¢â€šÂ¬Ã‚Âup, and may improve peak ankle dorsiflexion in stance (MD 15.90 degrees, 95% CI 4.87 to 26.93, P = 0.005; 1 study, 19 children) and in swing (MD 10.20 degrees, 95% CI 4.01 to 16.39, P = 0.001; 1 study, 19 children) at shortÃƒÂ¢Ã¢â€šÂ¬Ã‚Âterm followÃƒÂ¢Ã¢â€šÂ¬Ã‚Âup (all moderateÃƒÂ¢Ã¢â€šÂ¬Ã‚Âquality evidence). BoNTÃƒÂ¢Ã¢â€šÂ¬Ã‚ÂA is not more effective than placebo or sham at improving function at shortÃƒÂ¢Ã¢â€šÂ¬Ã‚Âterm (SMD 0.24, 95% CI ÃƒÂ¢Ã‹â€ Ã¢â‚¬â„¢0.35 to 0.83, P = 0.42; 4 studies, 305 children) or longÃƒÂ¢Ã¢â€šÂ¬Ã‚Âterm (SMD ÃƒÂ¢Ã‹â€ Ã¢â‚¬â„¢0.07, 95% CI ÃƒÂ¢Ã‹â€ Ã¢â‚¬â„¢0.48 to 0.35, P = 0.76; 2 studies, 91 children) followÃƒÂ¢Ã¢â€šÂ¬Ã‚Âup, but has a small positive effect at mediumÃƒÂ¢Ã¢â€šÂ¬Ã‚Âterm followÃƒÂ¢Ã¢â€šÂ¬Ã‚Âup (SMD 0.28, 95% CI 0.06 to 0.49, P = 0.01; 5 studies, 327 children) (all moderateÃƒÂ¢Ã¢â€šÂ¬Ã‚Âquality evidence). BoNTÃƒÂ¢Ã¢â€šÂ¬Ã‚ÂA improves passive ankle range of motion, satisfaction, and ankle plantarflexors spasticity at one or more time points (moderateÃƒÂ¢Ã¢â€šÂ¬Ã‚Âquality evidence). There was no difference between groups in the rate of adverse events at shortÃƒÂ¢Ã¢â€šÂ¬Ã‚Âterm followÃƒÂ¢Ã¢â€šÂ¬Ã‚Âup (RR 1.29, 95% CI 0.87 to 1.93, P = 0.21; 12 studies, 918 children; moderateÃƒÂ¢Ã¢â€šÂ¬Ã‚Âquality evidence). BoNTÃƒÂ¢Ã¢â€šÂ¬Ã‚ÂA versus serial casting There was no difference between groups for overall gait scores at shortÃƒÂ¢Ã¢â€šÂ¬Ã‚Âterm (MD 0.00, 95% CI ÃƒÂ¢Ã‹â€ Ã¢â‚¬â„¢1.66 to 1.66); mediumÃƒÂ¢Ã¢â€šÂ¬Ã‚Âterm (MD 0.65, 95% CI ÃƒÂ¢Ã‹â€ Ã¢â‚¬â„¢1.21 to 2.51); or longÃƒÂ¢Ã¢â€šÂ¬Ã‚Âterm (MD 0.46, 95% CI ÃƒÂ¢Ã‹â€ Ã¢â‚¬â„¢1.33 to 2.25) followÃƒÂ¢Ã¢â€šÂ¬Ã‚Âup in one study with 18 children (moderateÃƒÂ¢Ã¢â€šÂ¬Ã‚Âquality evidence). BoNTÃƒÂ¢Ã¢â€šÂ¬Ã‚ÂA improved instrumented gait analysis only in terms of ankle dorsiflexion at initial contact (MD 6.59 degrees, 95% CI 1.39 to 11.78, P = 0.01; 2 studies, 47 children). There was no difference between groups for peak ankle dorsiflexion in stance and swing, and gait speed at any time point (moderateÃƒÂ¢Ã¢â€šÂ¬Ã‚Â and lowÃƒÂ¢Ã¢â€šÂ¬Ã‚Âquality evidence). BoNTÃƒÂ¢Ã¢â€šÂ¬Ã‚ÂA is not more effective than serial casting at improving function, ankle range of motion, and spasticity at any time point (moderateÃƒÂ¢Ã¢â€šÂ¬Ã‚Â and lowÃƒÂ¢Ã¢â€šÂ¬Ã‚Âquality evidence). BoNTÃƒÂ¢Ã¢â€šÂ¬Ã‚ÂA is not associated with a higher risk of adverse events than serial casting (RR 0.59, 95% CI 0.03 to 11.03; 3 studies, 64 children; lowÃƒÂ¢Ã¢â€šÂ¬Ã‚Âquality evidence). BoNTÃƒÂ¢Ã¢â€šÂ¬Ã‚ÂA versus orthoses There was no difference between groups for function at mediumÃƒÂ¢Ã¢â€šÂ¬Ã‚Âterm followÃƒÂ¢Ã¢â€šÂ¬Ã‚Âup (MD 11.14, 95% CI ÃƒÂ¢Ã‹â€ Ã¢â‚¬â„¢0.05 to 22.33; 1 study, 43 children), but BoNTÃƒÂ¢Ã¢â€šÂ¬Ã‚ÂA is more effective than orthoses at improving hip range of motion and hip adductors spasticity (all very lowÃƒÂ¢Ã¢â€šÂ¬Ã‚Âquality evidence). Authors' conclusions The quality of the evidence was low or very low for most of the outcomes analysed. We found limited evidence that BoNTÃƒÂ¢Ã¢â€šÂ¬Ã‚ÂA is more effective than placebo or a nonÃƒÂ¢Ã¢â€šÂ¬Ã‚Âplacebo control at improving gait, joint range of motion, satisfaction, and lower limb spasticity in children with CP, whereas the results for function were contradictory. The rate of adverse events with BoNTÃƒÂ¢Ã¢â€šÂ¬Ã‚ÂA is similar to placebo. BoNTÃƒÂ¢Ã¢â€šÂ¬Ã‚ÂA is not more effective than ankle serial casting to treat ankle contractures for any of the assessed outcomes, but is more effective than orthotics at improving range of motion and spasticity. Plain language summary Botulinum toxin type A injections for the treatment of lower limb spasticity in cerebral palsy Background Cerebral palsy (CP) is a nonÃƒÂ¢Ã¢â€šÂ¬Ã‚Âprogressive, lifelong condition resulting from damage to the developing brain. Over time, most children with CP will develop abnormal muscle activity and stiffness/overactivity (spasticity) that affects at least one limb and interferes with their normal movement. Treatments for spasticity include physiotherapy, oral antispasticity drugs (a type of medication that works to relax the muscles and relieve spasticity), casts, splints, orthopaedic surgery, and botulinum toxin A (BoNTÃƒÂ¢Ã¢â€šÂ¬Ã‚ÂA; a poisonous biological substance that is thought to relieve spasticity by reducing muscle overactivity when injected into the muscle). This review looked at the effects of BoNTÃƒÂ¢Ã¢â€šÂ¬Ã‚ÂA. Review question The aim of this review was to assess and summarise scientific studies comparing BoNTÃƒÂ¢Ã¢â€šÂ¬Ã‚ÂA injections to other treatments for lower limb spasticity in children with CP. Study characteristics We found 31 studies assessing 1508 participants. The use of BoNTÃƒÂ¢Ã¢â€šÂ¬Ã‚ÂA in the lower limb muscles was compared to: (1) children's regular care or physiotherapy, (2) placebo (fake injections), (3) a series of belowÃƒÂ¢Ã¢â€šÂ¬Ã‚Âknee plaster casts, and (4) leg splints. Key results Children receiving BoNTÃƒÂ¢Ã¢â€šÂ¬Ã‚ÂA injections tended to have improved walking pattern (gait), joint range of motion, satisfaction with outcome of treatment, and muscle spasms compared with their usual programme of care or physiotherapy, or placebo. Measures of function tended to show only modest improvements in children receiving BoNTÃƒÂ¢Ã¢â€šÂ¬Ã‚ÂA injections. The rate of side effects was similar when comparing BoNTÃƒÂ¢Ã¢â€šÂ¬Ã‚ÂA injections to placebo. BoNTÃƒÂ¢Ã¢â€šÂ¬Ã‚ÂA injections and plaster cas s below the knee produced similar benefits in walking and joint motion and relieving spasms. In addition, BoNTÃƒÂ¢Ã¢â€šÂ¬Ã‚ÂA provided better results in terms of joint range of motion compared to a specific type of splinting (Johnstone pressure splints). Quality of the evidence We considered the quality of the evidence as very low for the comparison BoNTÃƒÂ¢Ã¢â€šÂ¬Ã‚ÂA versus usual care or physiotherapy; moderate for the comparison BoNTÃƒÂ¢Ã¢â€šÂ¬Ã‚ÂA versus placebo; moderate and low for the comparison BoNTÃƒÂ¢Ã¢â€šÂ¬Ã‚ÂA versus plaster casts; and very low for the comparison BoNTÃƒÂ¢Ã¢â€šÂ¬Ã‚ÂA versus splints. Conclusion There is limited evidence that, compared to placebo or regular care, BoNTÃƒÂ¢Ã¢â€šÂ¬Ã‚ÂA improves walking, joint motion, satisfaction with the outcome of treatment, and muscle spasticity in children with CP. The rate of side effects with BoNTÃƒÂ¢Ã¢â€šÂ¬Ã‚ÂA was similar to placebo. BoNTÃƒÂ¢Ã¢â€šÂ¬Ã‚ÂA was no better than plaster casts in any of our analyses, but was better than splints at improving range of motion and spasticity.</t>
  </si>
  <si>
    <t>- Background Heavy menstrual bleeding (HMB) is a significant health problem in premenopausal women; it can reduce their quality of life and can cause social disruption and physical problems such as iron deficiency anaemia. FirstÃƒÂ¢Ã¢â€šÂ¬Ã‚Âline treatment has traditionally consisted of medical therapy (hormonal and nonÃƒÂ¢Ã¢â€šÂ¬Ã‚Âhormonal), but this is not always successful in reducing menstrual bleeding to acceptable levels. Hysterectomy is a definitive treatment, but it is more costly and carries some risk. Endometrial ablation may be an alternative to hysterectomy that preserves the uterus. Many techniques have been developed to 'ablate' (remove) the lining of the endometrium. FirstÃƒÂ¢Ã¢â€šÂ¬Ã‚Âgeneration techniques require visualisation of the uterus with a hysteroscope during the procedure; although it is safe, this procedure requires specific technical skills. Newer techniques for endometrial ablation (secondÃƒÂ¢Ã¢â€šÂ¬Ã‚Â and thirdÃƒÂ¢Ã¢â€šÂ¬Ã‚Âgeneration techniques) have been developed that are quicker than previous approaches because they do not require hysteroscopic visualisation during the procedure. Objectives To compare the efficacy, safety, and acceptability of endometrial destruction techniques to reduce heavy menstrual bleeding (HMB) in premenopausal women. Search methods We searched the Cochrane Gynaecology and Fertility Group Specialised Register of controlled trials, the Cochrane Central Register of Controlled Trials (CENTRAL) in the Cochrane Library, MEDLINE, Embase, CINAHL, and PsycInfo (from inception to May 2018). We also searched trials registers, other sources of unpublished or grey literature, and reference lists of retrieved studies, and we made contact with experts in the field and with pharmaceutical companies that manufacture ablation devices. Selection criteria Randomised controlled trials (RCTs) comparing different endometrial ablation or resection techniques for women reporting HMB without known uterine pathology, other than fibroids outside the uterine cavity and smaller than 3 centimetres, were eligible. Outcomes included improvement in HMB and in quality of life, patient satisfaction, operative outcomes, complications, and the need for further surgery, including hysterectomy. Data collection and analysis Two review authors independently selected trials for inclusion, assessed trials for risk of bias, and extracted data. We contacted study authors for clarification of methods or for additional data. We assessed adverse events only if they were separately measured in the included trials. We undertook comparisons with individual techniques as well as an overall comparison of firstÃƒÂ¢Ã¢â€šÂ¬Ã‚Â and secondÃƒÂ¢Ã¢â€šÂ¬Ã‚Âgeneration ablation methods. Main results We included in this update 28 studies (4287 women) with sample sizes ranging from 20 to 372. Most studies had low risk of bias for randomisation, attrition, and selective reporting. Less than half of these studies had adequate allocation concealment, and most were unblinded. Using GRADE, we determined that the quality of evidence ranged from moderate to very low. We downgraded evidence for risk of bias, imprecision, and inconsistency. Overall comparison of secondÃƒÂ¢Ã¢â€šÂ¬Ã‚Âgeneration versus firstÃƒÂ¢Ã¢â€šÂ¬Ã‚Âgeneration (i.e. gold standard hysteroscopic ablative) techniques revealed no evidence of differences in amenorrhoea at 1 year and 2 to 5 years' followÃƒÂ¢Ã¢â€šÂ¬Ã‚Âup (risk ratio (RR) 0.99, 95% confidence interval (CI) 0.78 to 1.27; 12 studies; 2145 women; IÃƒâ€šÃ‚Â² = 77%; and RR 1.16, 95% CI 0.78 to 1.72; 672 women; 4 studies; IÃƒâ€šÃ‚Â² = 80%; very lowÃƒÂ¢Ã¢â€šÂ¬Ã‚Âquality evidence) and showed subjective improvement at 1 year followÃƒÂ¢Ã¢â€šÂ¬Ã‚Âup based on a Pictorial Blood Assessment Chart (PBAC) (&lt; 75 or acceptable improvement) (RR 1.03, 95% CI 0.98 to 1.09; 5 studies; 1282 women; IÃƒâ€šÃ‚Â² = 0%; and RR 1.12, 95% CI 0.97 to 1.28; 236 women; 1 study; lowÃƒÂ¢Ã¢â€šÂ¬Ã‚Âquality evidence). Study results showed no difference in patient satisfaction between secondÃƒÂ¢Ã¢â€šÂ¬Ã‚Â and firstÃƒÂ¢Ã¢â€šÂ¬Ã‚Âgeneration techniques at 1 year followÃƒÂ¢Ã¢â€šÂ¬Ã‚Âup (RR 1.01, 95% CI 0.98 to 1.04; 11 studies; 1750 women; IÃƒâ€šÃ‚Â² = 36%; lowÃƒÂ¢Ã¢â€šÂ¬Ã‚Âquality evidence) nor at 2 to 5 years' followÃƒÂ¢Ã¢â€šÂ¬Ã‚Âup (RR 1.02, 95% CI 0.93 t 1.13; 672 women; 4 studies; IÃƒâ€šÃ‚Â² = 81%). Compared with firstÃƒÂ¢Ã¢â€šÂ¬Ã‚Âgeneration techniques, secondÃƒÂ¢Ã¢â€šÂ¬Ã‚Âgeneration endometrial ablation techniques were associated with shorter operating times (mean difference (MD) ÃƒÂ¢Ã¢â€šÂ¬Ã‚Â13.52 minutes, 95% CI ÃƒÂ¢Ã¢â€šÂ¬Ã‚Â16.90 to ÃƒÂ¢Ã¢â€šÂ¬Ã‚Â10.13; 9 studies; 1822 women; lowÃƒÂ¢Ã¢â€šÂ¬Ã‚Âquality evidence) and more often were performed under local rather than general anaesthesia (RR 2.8, 95% CI 1.8 to 4.4; 6 studies; 1434 women; lowÃƒÂ¢Ã¢â€šÂ¬Ã‚Âquality evidence). We are uncertain whether perforation rates differed between secondÃƒÂ¢Ã¢â€šÂ¬Ã‚Â and firstÃƒÂ¢Ã¢â€šÂ¬Ã‚Âgeneration techniques (RR 0.32, 95% CI 0.10 to 1.01; 1885 women; 8 studies; IÃƒâ€šÃ‚Â² = 0%). Trials reported little or no difference between secondÃƒÂ¢Ã¢â€šÂ¬Ã‚Â and firstÃƒÂ¢Ã¢â€šÂ¬Ã‚Âgeneration techniques in requirement for additional surgery (ablation or hysterectomy) at 1 year followÃƒÂ¢Ã¢â€šÂ¬Ã‚Âup (RR 0.72, 95% CI 0.41 to 1.26; 6 studies: 935 women; lowÃƒÂ¢Ã¢â€šÂ¬Ã‚Âquality evidence). At 5 years, results showed probably little or no difference between groups in the requirement for hysterectomy (RR 0.85, 95% CI 0.59 to 1.22; 4 studies; 758 women; moderateÃƒÂ¢Ã¢â€šÂ¬Ã‚Âquality evidence). Authors' conclusions Approaches to endometrial ablation have evolved from firstÃƒÂ¢Ã¢â€šÂ¬Ã‚Âgeneration techniques to newer secondÃƒÂ¢Ã¢â€šÂ¬Ã‚Â and thirdÃƒÂ¢Ã¢â€šÂ¬Ã‚Âgeneration approaches. Current evidence suggests that compared to firstÃƒÂ¢Ã¢â€šÂ¬Ã‚Âgeneration techniques (endometrial laser ablation, transcervical resection of the endometrium, rollerball endometrial ablation), secondÃƒÂ¢Ã¢â€šÂ¬Ã‚Âgeneration approaches (thermal balloon endometrial ablation, microwave endometrial ablation, hydrothermal ablation, bipolar radiofrequency endometrial ablation, endometrial cryotherapy) are of equivalent efficacy for heavy menstrual bleeding, with comparable rates of amenorrhoea and improvement on the PBAC. SecondÃƒÂ¢Ã¢â€šÂ¬Ã‚Âgeneration techniques are associated with shorter operating times and are performed more often under local rather than general anaesthesia. It is uncertain whether perforation rates differed between secondÃƒÂ¢Ã¢â€šÂ¬Ã‚Â and firstÃƒÂ¢Ã¢â€šÂ¬Ã‚Âgeneration techniques. Evidence was insufficient to show which secondÃƒÂ¢Ã¢â€šÂ¬Ã‚Âgeneration approaches were superior to others and to reveal the efficacy and safety of thirdÃƒÂ¢Ã¢â€šÂ¬Ã‚Âgeneration approaches versus firstÃƒÂ¢Ã¢â€šÂ¬Ã‚Â and secondÃƒÂ¢Ã¢â€šÂ¬Ã‚Âgeneration techniques. Plain language summary Are newer methods for destroying the lining of the uterus (endometrial ablation) more effective and safer compared to established methods? Review question This review compared the effectiveness, safety, acceptability, and complication rates of firstÃƒÂ¢Ã¢â€šÂ¬Ã‚Â, secondÃƒÂ¢Ã¢â€šÂ¬Ã‚Â and thirdÃƒÂ¢Ã¢â€šÂ¬Ã‚Âgeneration methods available to destroy the endometrium (lining of the uterus) for treatment of heavy menstrual bleeding (heavy periods) in premenopausal women. Background Medication and hysterectomy (surgery to remove the womb) used to be the main treatment options for heavy menstrual bleeding. Both are still effective and safe options, but available new treatments focus on removing the lining of the womb (endometrium) from which the bleeding comes. These procedures involve either removing the endometrium (resection) or destroying it with thermal (heat) energy from a laser, electrical instruments, or other devices (ablation). These treatments can stop or reduce menstrual bleeding. Study characteristics This review identified 28 randomised controlled trials undertaken in 4287 women. Most of the women knew which treatment they were receiving, which may have influenced their judgements about menstrual blood loss and satisfaction. Other aspects of study quality varied among trials. Evidence is current to May 2018. Nineteen of the 28 trials acknowledged that they received funding, supplies of equipment, or technical assistance from the pharmaceutical industry and from equipment manufacturers. Key results ModerateÃƒÂ¢Ã¢â€šÂ¬Ã‚Â to very lowÃƒÂ¢Ã¢â€šÂ¬Ã‚Âquality evidence suggests that firstÃƒÂ¢Ã¢â€šÂ¬Ã‚Â and secondÃƒÂ¢Ã¢â€šÂ¬Ã‚Âgeneration approaches were equally effective in the treatment of HMB. Newer (secondÃƒÂ¢Ã¢â€šÂ¬Ã‚Âgeneration) treatment approaches were safer in terms of rate of fluid overload, cervical lacerations, and haematometra, with similar rates of uterine perforation. The newer approaches (secondÃƒÂ¢Ã¢â€šÂ¬Ã‚Âgeneration ablation) w re quicker and were more likely to be done under local (rather than general) anaesthesia compared with firstÃƒÂ¢Ã¢â€šÂ¬Ã‚Âgeneration approaches. Most women in both groups were satisfied with results of the procedure. Not enough evidence is available to show which secondÃƒÂ¢Ã¢â€šÂ¬Ã‚Âgeneration approaches are superior to others, and information about thirdÃƒÂ¢Ã¢â€šÂ¬Ã‚Âgeneration approaches is not available for comparison. Quality of the evidence Evidence ranged from moderate to very low quality. Few studies were blinded, data were limited, and heterogeneity was substantial for some outcomes, leading to downgrading of the quality of evidence.</t>
  </si>
  <si>
    <t>- Background Heavy menstrual bleeding (HMB) is a menstrual blood loss perceived by women as excessive that affects the health of women of reproductive age, interfering with their physical, emotional, social and material quality of life. Whilst abnormal menstrual bleeding may be associated with underlying pathology, in the present context, HMB is defined as excessive menstrual bleeding in the absence of other systemic or gynaecological disease. The firstÃƒÂ¢Ã¢â€šÂ¬Ã‚Âline therapy is usually medical, avoiding possibly unnecessary surgery. Of the wide variety of medications used to reduce HMB, oral progestogens were originally the most commonly prescribed agents. This review assesses the effectiveness of two different types and regimens of oral progestogens in reducing ovulatory HMB. This is the update of a Cochrane review last updated in 2007, and originally named Effectiveness of cyclical progestagen therapy in reducing heavy menstrual bleeding" (1998). Objectives To determine the effectiveness, safety and tolerability of oral progestogen therapy taken either during the luteal phase (short cycle) or for a longer course of 21 days per cycle (long cycle), in achieving a reduction in menstrual blood loss in women of reproductive age with HMB. Search methods In January 2019 we searched Cochrane Gynaecology and Fertility's specialized register, CENTRAL, MEDLINE, Embase, CINAHL and PsycInfo. We also searched trials registers, other sources of unpublished or grey literature and reference lists of retrieved trials. We also checked citation lists of review articles to identify trials. Selection criteria Randomized controlled trials (RCTs) comparing different treatments for HMB that included cyclical oral progestogens were eligible. Data collection and analysis Two review authors independently selected trials for inclusion, assessed trials for risk of bias and extracted data. We contacted trial authors for clarification of methods or additional data when necessary. We only assessed adverse events if they were separately measured in the included trials. We compared cyclical oral progestogen in different regimens and placebo or other treatments. Our primary outcomes were menstrual blood loss and satisfaction with treatment; the secondary outcomes were number of days of bleeding, quality of life, compliance and acceptability of treatment, adverse events and costs. Main results This review identified 15 randomized controlled trials (RCTs) with 1071 women in total. Most of the women knew which treatment they were receiving, which may have influenced their judgements about menstrual blood loss and satisfaction. Other aspects of trial quality varied among trials. We did not identify any RCTs comparing progestogen treatment with placebo . We assessed comparisons between oral progestogens and other medical therapies separately according to different regimens. ShortÃƒÂ¢Ã¢â€šÂ¬Ã‚Âcycle progestogen therapy during the luteal phase (medroxyprogesterone acetate or norethisterone for 7 to 10 days, from day 15 to 19) was inferior to other medical therapy, including tranexamic acid, danazol and the progestogenÃƒÂ¢Ã¢â€šÂ¬Ã‚Âreleasing intrauterine system (PgÃƒÂ¢Ã¢â€šÂ¬Ã‚ÂIUS (off the market since 2001)), releasing 60 mcg of progesterone daily, with respect to reduction of menstrual blood loss (mean difference (MD) 37.29, 95% confidence interval (CI) 17.67 to 56.91; I 2 = 50%; 6 trials, 145 women, lowÃƒÂ¢Ã¢â€šÂ¬Ã‚Âquality evidence). The rate of satisfaction and the quality of life with treatment was similar in both groups. The number of bleeding days was greater on the short cycle progestogen group compared to other medical treatments. Adverse events (such as gastrointestinal symptoms and weight gain) were more likely with danazol when compared with progestogen treatment. We note that danazol is no longer in general use for treating HMB. LongÃƒÂ¢Ã¢â€šÂ¬Ã‚Âcycle progestogen therapy (medroxyprogesterone acetate or norethisterone), from day 5 to day 26 of the menstrual cycle, is also inferior compared to the levonorgestrelÃƒÂ¢Ã¢â€šÂ¬Ã‚Âreleasing intrauterine system (LNGÃƒÂ¢Ã¢â€šÂ¬Ã‚ÂIUS), tranexamic acid and ormeloxifene, ut may be similar to the combined vaginal ring with respect to reduction of menstrual blood loss (MD 16.88, 95% CI 10.93 to 22.84; I 2 = 87%; 4 trials, 355 women, very lowÃƒÂ¢Ã¢â€šÂ¬Ã‚Âquality evidence). There was no clear evidence of a difference between progestogen therapy long cycle and other medical therapy in terms of headache (OR 1.45, 95% CI 0.40 to 5.31; I 2 = 0%; 2 trials, 189 women; lowÃƒÂ¢Ã¢â€šÂ¬Ã‚Âquality evidence). Breakthrough bleeding or spotting was more likely in women with the LNGÃƒÂ¢Ã¢â€šÂ¬Ã‚ÂIUS (OR 0.18, 95% CI 0.06 to 0.55; I 2 = 0%; 3 trials, 220 women; lowÃƒÂ¢Ã¢â€šÂ¬Ã‚Âquality evidence). No trials reported on days of bleeding or quality of life for this comparison. The evidence supporting these findings was limited by low or very low gradings of quality; thus, we are uncertain about the findings and there is a potential that they may change if we identify other trials. Authors' conclusions LowÃƒÂ¢Ã¢â€šÂ¬Ã‚Â or very lowÃƒÂ¢Ã¢â€šÂ¬Ã‚Âquality evidence suggests that shortÃƒÂ¢Ã¢â€šÂ¬Ã‚Âcourse progestogen was inferior to other medical therapy, including tranexamic acid, danazol and the PgÃƒÂ¢Ã¢â€šÂ¬Ã‚ÂIUS with respect to reduction of menstrual blood loss. Long cycle progestogen therapy (medroxyprogesterone acetate or norethisterone) was also inferior to the LNGÃƒÂ¢Ã¢â€šÂ¬Ã‚ÂIUS, tranexamic acid and ormeloxifene, but may be similar to the combined vaginal ring with respect to reduction of menstrual blood loss. Plain language summary Are cyclical progestogens an effective and safe treatment for heavy menstrual bleeding compared to other medical treatments? Background Heavy menstrual bleeding (HMB) is menstrual bleeding (periods) that interferes with a woman's quality of life, either physical, emotional, social or material, independently of the actual amount of blood loss. Most women with HMB do not have any associated physical cause, such as fibroids, so getting help that does not involve surgery is an attractive alternative. A cyclical progestogen is a hormone tablet that can be taken by mouth for either 10 days or 3 to 4 weeks per month for the treatment of HMB (short or long course cyclical progestogen). Trial characteristics This review identified 15 randomized controlled trials (clinical studies where people are randomly put into one of two or more treatment groups) with 1071 women in total comparing oral progestogens to other medical treatment for HMB (other oral treatments, intrauterine device and vaginal ring). Our primary outcomes were menstrual blood loss and satisfaction with treatment; the secondary outcomes were number of days of bleeding, quality of life, compliance and acceptability of treatment, adverse events and costs. Evidence is current to January 2019. Key results This review of trials found that progestogen hormone tablets taken by mouth for 10 days per month (short course) were less effective at reducing menstrual blood loss when compared to other medical treatments. We are uncertain whether they improved satisfaction or quality of life in women with HMB, or were associated with any difference in adverse effects when compared to other medical treatments. Even though it was less effective at reducing menstrual blood loss, satisfaction with treatment was similar to other medical treatments such as tranexamic acid and PgÃƒÂ¢Ã¢â€šÂ¬Ã‚ÂIUS. We found that progestogen hormone tablets, taken by mouth for three to four weeks from day 5 to 26 of the menstrual cycle (long course), reduced menstrual blood loss but this treatment may be less effective than tranexamic acid, combined hormonal contraceptives and the levonorgestrelÃƒÂ¢Ã¢â€šÂ¬Ã‚Âreleasing intrauterine device. No studies in this comparison reported on quality of life. Satisfaction with treatment was similar to women using the combined vaginal ring, but there were no data to compare satisfaction between long cycle and LNGÃƒÂ¢Ã¢â€šÂ¬Ã‚ÂIUS or tranexamic acid. There was no evidence of a difference in the occurrence of headache, but long course oral progestogens were associated with a significantly lower incidence of breakthrough bleeding compared with other medical treatment. Quality of the evidence The quality of the evidence that compared oral progestogens (shor and long course) to other medical treatments for HMB was either low or very low which means that we are very uncertain of the findings of the review. The main limitations were risk of bias (women and researchers were aware of the treatment they were receiving which was likely to interfere with the responses, and there was a high number of dropouts from studies) and inconsistency (the results varied among studies)."</t>
  </si>
  <si>
    <t>- Background Psychosis is a serious mental condition characterised by a loss of contact with reality. There may be a prodromal period or stage of psychosis, where early signs of symptoms indicating onset of first episode psychosis (FEP) occur. A number of services, incorporating multimodal treatment approaches (pharmacotherapy, psychotherapy and psychosocial interventions), developed worldwide, now focus on this prodromal period with the aim of preventing psychosis in people at risk of developing FEP. Objectives The primary objective is to assess the safety and efficacy of early interventions for people in the prodromal stage of psychosis. The secondary objective is, if possible, to compare the effectiveness of the various different interventions. Search methods We searched Cochrane Schizophrenia's studyÃƒÂ¢Ã¢â€šÂ¬Ã‚Âbased Register of studies (including trials registers) on 8 June 2016 and 4 August 2017. Selection criteria All randomised controlled trials (RCTs) evaluating interventions for participants older than 12 years, who had developed a prodromal stage of psychosis. Data collection and analysis Review authors independently inspected citations, selected studies, extracted data, and assessed study quality. Main results We included 20 studies with 2151 participants. The studies analysed 13 different comparisons. Group A comparisons explored the absolute effects of the experimental intervention. Group B were comparisons within which we could not be clear whether differential interactive effects were also ongoing. Group C comparisons explored differential effects between clearly distinct treatments. A key outcome for this review was ÃƒÂ¢Ã¢â€šÂ¬Ã‹Å“transition to psychosisÃƒÂ¢Ã¢â€šÂ¬Ã¢â€žÂ¢. For details of other main outcomes please see 'Summary of findings' tables. In Group A (comparisons of absolute effects) we found no clear difference between amino acids and placebo (risk ratio (RR) 0.48 95% confidence interval (CI) 0.08 to 2.98; 2 RCTs, 52 participants; very lowÃƒÂ¢Ã¢â€šÂ¬Ã‚Âquality evidence). When omegaÃƒÂ¢Ã¢â€šÂ¬Ã‚Â3 fatty acids were compared to placebo, fewer participants given the omegaÃƒÂ¢Ã¢â€šÂ¬Ã‚Â3 (10%) transitioned to psychosis compared to the placebo group (33%) during longÃƒÂ¢Ã¢â€šÂ¬Ã‚Âterm followÃƒÂ¢Ã¢â€šÂ¬Ã‚Âup of seven years (RR 0.24 95% CI 0.09 to 0.67; 1 RCT, 81 participants; lowÃƒÂ¢Ã¢â€šÂ¬Ã‚Âquality evidence). In Group B (comparisons where complex interactions are probable) and in the subgroup focusing on antipsychotic drugs added to specific care packages, the amisulpiride + needsÃƒÂ¢Ã¢â€šÂ¬Ã‚Âfocused intervention (NFI) compared to NFI comparison (no reporting of transition to psychosis; 1 RCT, 102 participants; very lowÃƒÂ¢Ã¢â€šÂ¬Ã‚Âquality evidence) and the olanzapine + supportive intervention compared to supportive intervention alone comparison (RR 0.58 95% CI 0.28 to 1.18; 1 RCT, 60 participants; very lowÃƒÂ¢Ã¢â€šÂ¬Ã‚Âquality evidence) showed no clear differences between groups. In the second Group B subgroup (cognitive behavioural therapies (CBT)), when CBT + supportive therapy was compared with supportive therapy alone around 8% of participants allocated to the combination of CBT and supportive therapy group transitioned to psychosis during followÃƒÂ¢Ã¢â€šÂ¬Ã‚Âup by 18 months, compared with double that percentage in the supportive therapy alone group (RR 0.45 95% CI 0.23 to 0.89; 2 RCTs, 252 participants; very lowÃƒÂ¢Ã¢â€šÂ¬Ã‚Âquality evidence). The CBT + risperidone versus CBT + placebo comparison identified no clear difference between treatments (RR 1.02 95% CI 0.39 to 2.67; 1 RCT, 87 participants; very lowÃƒÂ¢Ã¢â€šÂ¬Ã‚Âquality evidence) and this also applies to the CBT + needsÃƒÂ¢Ã¢â€šÂ¬Ã‚Âbased intervention (NBI) + risperidone versus NBI comparison (RR 0.75 95% CI 0.39 to 1.46; 1 RCT, 59 participants; very lowÃƒÂ¢Ã¢â€šÂ¬Ã‚Âquality evidence). Group C (differential effects) also involved six comparisons. The first compared CBT with supportive therapy. No clear difference was found for the ÃƒÂ¢Ã¢â€šÂ¬Ã‹Å“transition to psychosisÃƒÂ¢Ã¢â€šÂ¬Ã¢â€žÂ¢ outcome (RR 0.74 95% CI 0.28 to 1.98; 1 RCT, 72 participants; very lowÃƒÂ¢Ã¢â€šÂ¬Ã‚Âquality evidence). The second subgroup compared CBT + supportive intervention was compared with a NBI + supportive intervention, again, data were equivocal, few and of very low quality (RR 6.32 95% CI 0.34 to 117.09; 1 RCT, 57 participants). In the CBT + risperidone versus supportive therapy comparison, again there was no clear difference between groups (RR 0.76 95% CI 0.28 to 2.03; 1 RCT, 71 participants; very lowÃƒÂ¢Ã¢â€šÂ¬Ã‚Âquality evidence). The three other comparisons in Group C demonstrated no clear differences between treatment groups. When cognitive training was compared to active control (tablet games) (no reporting of transition to psychosis; 1 RCT, 62 participants; very low quality data), family treatment compared with enhanced care comparison (RR 0.54 95% CI 0.18 to 1.59; 2 RCTs, 229 participants; very lowÃƒÂ¢Ã¢â€šÂ¬Ã‚Âquality evidence) and integrated treatment compared to standard treatment comparison (RR 0.57 95% CI 0.28 to 1.15; 1 RCT, 79 participants; very lowÃƒÂ¢Ã¢â€šÂ¬Ã‚Âquality evidence) no effects of any of these approaches was evident. Authors' conclusions There has been considerable research effort in this area and several interventions have been trialled. The evidence available suggests that omegaÃƒÂ¢Ã¢â€šÂ¬Ã‚Â3 fatty acids may prevent transition to psychosis but this evidence is low quality and more research is needed to confirm this finding. Other comparisons did not show any clear differences in effect for preventing transition to psychosis but again, the quality of this evidence is very low or low and not strong enough to make firm conclusions. Plain language summary Early interventions for people at risk of developing psychosis Review question Is there highÃƒÂ¢Ã¢â€šÂ¬Ã‚Âquality evidence indicating that interventions for people at risk of developing psychosis are effective? Background Psychoses are serious mental conditions characterised by a loss of contact with reality. The first clear episode of psychosis can be preceded by a 'prodromal' period of at least six months, where a person experiences gradual nonÃƒÂ¢Ã¢â€šÂ¬Ã‚Âspecific changes in thoughts, perceptions, behaviours and functioning. Although an individual is experiencing changes, they have not yet started to experience the more obvious psychotic symptoms such as delusions (fixed false beliefs) or hallucinations (perceptions without a cause). A number of services with treatment approaches that combine pharmacotherapy, psychotherapy and psychosocial treatments, developed worldwide, are now focusing on prevention of psychosis in people at risk by giving treatments during this prodromal period. This review assesses the evidence available concerning the effects of different treatment approaches for people not yet diagnosed with a non affective psychosis but who are in the prodromal stage of psychosis. Searching for evidence On 8 June 2016 and 4 August 2017 we ran electronic searches of the Cochrane Schizophrenia's specialised register of studies in order to find clinical studies that randomly allocated individuals at risk of developing psychosis to receive various treatments for preventing development of psychosis. Evidence found We were able to include 20 studies with 2151 participants. These studies analysed a wide range of treatments. All the review findings are of, at very best, low quality. There is some suggestion from one small study that people at risk of psychosis may benefit from taking omegaÃƒÂ¢Ã¢â€šÂ¬Ã‚Â3 fatty acids in terms of reduced transition to psychosis. Other studies found adding antipsychotic drugs to supportiveÃƒÂ¢Ã¢â€šÂ¬Ã‚Âcare packages did not seem to make much difference in terms of transition to full illness. When cognitive behavioural therapy (CBT) + supportive therapy was compared with supportive therapy alone around 8% of participants treated allocated to the combination of CBT and supportive therapy transitioned to psychosis during followÃƒÂ¢Ã¢â€šÂ¬Ã‚Âup by 18 months, compared with double that percentage in people who just received supportive therapy. This could be important but these data are of very low quality. All other testing of CBT and other packages of care found no clear difference between treatments for transition to psychosis. Conclusions There has been considerable effort and expense invested testing treatment approaches for prevention of the first episode of schizophr nia. Currently, there is some lowÃƒÂ¢Ã¢â€šÂ¬Ã‚Âquality evidence suggesting that omegaÃƒÂ¢Ã¢â€šÂ¬Ã‚Â3 fatty acids may be effective, but there is no highÃƒÂ¢Ã¢â€šÂ¬Ã‚Âquality evidence to suggest that any type of treatment is effective, and no firm conclusions can be made.</t>
  </si>
  <si>
    <t>- Background Acute anterior shoulder dislocation, which is the most common type of dislocation, usually results from an injury. Subsequently, the shoulder is less stable and is more susceptible to reÃƒÂ¢Ã¢â€šÂ¬Ã‚Âdislocation or recurrent instability (e.g. subluxation), especially in active young adults. After closed reduction, most of these injuries are treated with immobilisation of the injured arm in a sling or brace for a few weeks, followed by exercises. This is an update of a Cochrane Review first published in 2006 and last updated in 2014. Objectives To assess the effects (benefits and harms) of conservative interventions after closed reduction of traumatic anterior dislocation of the shoulder. These might include immobilisation, rehabilitative interventions or both. Search methods We searched the Cochrane Bone, Joint and Muscle Trauma Group Specialised Register, the Cochrane Central Register of Controlled Trials, MEDLINE, Embase, CINAHL, PEDro and trial registries. We also searched conference proceedings and reference lists of included studies. Date of last search: May 2018. Selection criteria We included randomised or quasiÃƒÂ¢Ã¢â€šÂ¬Ã‚Ârandomised controlled trials comparing conservative interventions with no treatment, a different intervention or a variant of the intervention (e.g. a different duration) for treating people after closed reduction of a primary traumatic anterior shoulder dislocation. Inclusion was regardless of age, sex or mechanism of injury. Primary outcomes were reÃƒÂ¢Ã¢â€šÂ¬Ã‚Âdislocation, patientÃƒÂ¢Ã¢â€šÂ¬Ã‚Âreported shoulder instability measures and return to preÃƒÂ¢Ã¢â€šÂ¬Ã‚Âinjury activities. Secondary outcomes included participant satisfaction, healthÃƒÂ¢Ã¢â€šÂ¬Ã‚Ârelated quality of life, any instability and adverse events. Data collection and analysis Both review authors independently selected studies, assessed risk of bias and extracted data. We contacted study authors for additional information. We pooled results of comparable groups of studies. We assessed risk of bias with the Cochrane 'Risk of bias' tool and the quality of the evidence with the GRADE approach. Main results We included seven trials (six randomised controlled trials and one quasiÃƒÂ¢Ã¢â€šÂ¬Ã‚Ârandomised controlled trial) with 704 participants; three of these trials (234 participants) are new to this update. The mean age across the trials was 29 years (range 12 to 90 years), and 82% of the participants were male. All trials compared immobilisation in external rotation (with or without an additional abduction component) versus internal rotation (the traditional method) following closed reduction. No trial evaluated any other interventions or comparisons, such as rehabilitation. All trials provided data for a followÃƒÂ¢Ã¢â€šÂ¬Ã‚Âup of one year or longer; the commonest length was two years or longer. All trials were at some risk of bias, commonly performance and detection biases given the lack of blinding. Two trials were at high risk of selection bias and some trials were affected by attrition bias for some outcomes. We rated the certainty of the evidence as very low for all outcomes. We are uncertain whether immobilisation in external rotation makes a difference to the risk of reÃƒÂ¢Ã¢â€šÂ¬Ã‚Âdislocation after 12 months' or longer followÃƒÂ¢Ã¢â€šÂ¬Ã‚Âup compared with immobilisation in internal rotation (55/245 versus 73/243; risk ratio (RR) 0.67, 95% confidence interval (CI) 0.38 to 1.19; 488 participants; 6 studies; IÃƒâ€šÃ‚Â² = 61%; very low certainty evidence). In a moderateÃƒÂ¢Ã¢â€šÂ¬Ã‚Ârisk population with an illustrative risk of 312 per 1000 people experiencing a dislocation in the internal rotation group, this equates to 103 fewer (95% CI 194 fewer to 60 more) reÃƒÂ¢Ã¢â€šÂ¬Ã‚Âdislocations after immobilisation in external rotation. Thus this result covers the possibility of a benefit for each intervention. Individually, the four studies (380 participants) reporting on validated patientÃƒÂ¢Ã¢â€šÂ¬Ã‚Âreported outcome measures for shoulder instability at a minimum of 12 months' followÃƒÂ¢Ã¢â€šÂ¬Ã‚Âup found no evidence of a clinically important difference between the two interventions. We are uncertain of the relative effects of the two methods of immobilisat on on resumption of preÃƒÂ¢Ã¢â€šÂ¬Ã‚Âinjury activities or sports. One study (169 participants) found no evidence of a difference between interventions in the return to preÃƒÂ¢Ã¢â€šÂ¬Ã‚Âinjury activity of the affected arm. Two studies (135 participants) found greater return to sports in the external rotation group in a subgroup of participants who had sustained their injury during sports activities. None of the trials reported on participant satisfaction or healthÃƒÂ¢Ã¢â€šÂ¬Ã‚Ârelated quality of life. We are uncertain whether there is a difference between the two interventions in the number of participants experiencing instability, defined as either reÃƒÂ¢Ã¢â€šÂ¬Ã‚Âdislocation or subluxation (RR 0.84, 95% CI 0.62 to 1.14; 395 participants, 3 studies; very low certainty evidence). Data on adverse events were collected only in an ad hoc way in the seven studies. Reported transient and resolved adverse events" were nine cases of shoulder stiffness or rigidity in the external rotation group and two cases of axillary rash in the internal rotation group. There were three "important" adverse events: hyperaesthesia and moderate hand pain; eighth cervical dermatome paraesthesia; and major movement restriction between 6 and 12 months. It was unclear to what extent these three events could be attributed to the treatment. Authors' conclusions The available evidence from randomised trials is limited to that comparing immobilisation in external versus internal rotation. Overall, the evidence is insufficient to draw firm conclusions about whether immobilisation in external rotation confers any benefit over immobilisation in internal rotation. Considering that there are several unpublished and ongoing trials evaluating immobilisation in external versus internal rotation, the main priority for research on this question consists of the publication of completed trials and the completion and publication of ongoing trials. Meanwhile, evaluation of other interventions, including rehabilitation, is warranted. There is a need for sufficiently large, goodÃƒÂ¢Ã¢â€šÂ¬Ã‚Âquality, wellÃƒÂ¢Ã¢â€šÂ¬Ã‚Âreported randomised controlled trials with longÃƒÂ¢Ã¢â€šÂ¬Ã‚Âterm followÃƒÂ¢Ã¢â€šÂ¬Ã‚Âup. Future research should aim to determine the optimal immobilisation duration, precise indications for immobilisation, optimal rehabilitation interventions, and the acceptability of these different interventions. Plain language summary NonÃƒÂ¢Ã¢â€šÂ¬Ã‚Âsurgical management after nonÃƒÂ¢Ã¢â€šÂ¬Ã‚Âsurgical repositioning of traumatic anterior dislocation of the shoulder Background Acute anterior shoulder dislocation is an injury in which the top end of the upper arm bone is pushed out of the joint socket in a forward direction. Afterwards, the shoulder is less stable, and prone to either partial or complete reÃƒÂ¢Ã¢â€šÂ¬Ã‚Âdislocation, especially in active young adults. Initial treatment involves putting the joint back in place. This is called ÃƒÂ¢Ã¢â€šÂ¬Ã‹Å“closed reductionÃƒÂ¢Ã¢â€šÂ¬Ã¢â€žÂ¢ when it is done without surgery. Subsequent treatment is often conservative (nonÃƒÂ¢Ã¢â€šÂ¬Ã‚Âsurgical) and usually involves a period of immobilisation of the injured arm in a sling or brace, followed by exercises. Review question What are the benefits and harms of different conservative interventions for treating people after closed reduction of a primary traumatic anterior shoulder dislocation? This is an update of a review that was first published in 2006 and last updated in 2014. We reviewed the evidence from clinical studies comparing any conservative intervention (e.g. immobilisation, rehabilitation) versus no treatment or a different intervention, or comparing different variants of an intervention (e.g. different duration). The primary outcomes of interest were reÃƒÂ¢Ã¢â€šÂ¬Ã‚Âdislocation, patientÃƒÂ¢Ã¢â€šÂ¬Ã‚Âreported shoulder instability measures (usually questionnaires) and return to preÃƒÂ¢Ã¢â€šÂ¬Ã‚Âinjury activities. Further outcomes of interest included patientsÃƒÂ¢Ã¢â€šÂ¬Ã¢â€žÂ¢ satisfaction with the intervention, healthÃƒÂ¢Ã¢â€šÂ¬Ã‚Ârelated quality of life and adverse events. Search date We conducted the searches of healthcare literature for this review in May 2018. Study characteristics We identified three new relevant studies in this update. In total, this review now includes seven studies with 704 participants. Most of the participants (82%) were male; the average age across the studies was 29 years (range 12 to 90 years). All of the studies investigated just one comparison: immobilisation in external rotation (when the arm is orientated outwards with the forearm away from the chest) versus immobilisation in internal rotation (the usual sling position, where the arm rests against the chest) following closed reduction. Participants were followed over different lengths of time; the most common duration was two years or longer. Key results We are uncertain whether immobilisation in external rotation makes a difference to the risk of reÃƒÂ¢Ã¢â€šÂ¬Ã‚Âdislocation at oneÃƒÂ¢Ã¢â€šÂ¬Ã‚Âyear or more followÃƒÂ¢Ã¢â€šÂ¬Ã‚Âup compared with immobilisation in internal rotation. None of the four studies reporting on patientÃƒÂ¢Ã¢â€šÂ¬Ã‚Âreported outcome measures for shoulder instability at a minimum of oneÃƒÂ¢Ã¢â€šÂ¬Ã‚Âyear followÃƒÂ¢Ã¢â€šÂ¬Ã‚Âup found evidence of any important difference between the two interventions. We are uncertain of the relative effects of the two methods of immobilisation on resumption of preÃƒÂ¢Ã¢â€šÂ¬Ã‚Âinjury activities or sports. One study found no evidence of a difference between interventions in the return to preÃƒÂ¢Ã¢â€šÂ¬Ã‚Âinjury activity of the affected arm. Two other studies found greater return to sports in the external rotation group in a small group of participants who had sustained their injury during sports activities. None of the trials reported on participant satisfaction or healthÃƒÂ¢Ã¢â€šÂ¬Ã‚Ârelated quality of life. We are uncertain whether there is a difference between the two interventions in the number of participants experiencing instability, defined as either reÃƒÂ¢Ã¢â€šÂ¬Ã‚Âdislocation or subluxation (a partial dislocation). The reporting of adverse events (complications) was unsatisfactory. There were reports of nine cases of shortÃƒÂ¢Ã¢â€šÂ¬Ã‚Âterm shoulder stiffness in the external rotation group and two cases of underÃƒÂ¢Ã¢â€šÂ¬Ã‚Âarm rash in the internal fixation group. There were three more serious adverse events: abnormal sensitivity and hand pain; abnormal sensation such as tingling in the little finger and along to the elbow; and major movement restriction. It was unclear to what extent these three adverse events could be attributed to the treatment. Certainty of the evidence We rated the certainty of the evidence as very low for all outcomes. This was mainly because there were not enough data and we were unsure how reliable the results were from the individual studies. Thus we are uncertain about the estimates of effect. Conclusions Overall, the current evidence is insufficient to inform the choice of immobilisation in external versus internal rotation. There is no evidence to inform on any other conservative interventions following closed reduction of traumatic anterior dislocation of the shoulder."</t>
  </si>
  <si>
    <t>BACKGROUND: Nurse shortages have been identified as central to workforce issues in healthcare systems globally and although interventions to increase the nursing workforce have been implemented, nurses leaving their roles, particularly in the first year after qualification, present a significant barrier to building the nurse workforce. OBJECTIVE(S): To evaluate the characteristics of successful interventions to promote retention and reduce turnover of early career nurses. DESIGN: This is a systematic review DATA SOURCES: Online databases including Academic Search Complete, Medline, Health Policy reference Centre, EMBASE, Psychinfo, CINAHL and the Cochran Library were searched to identify relevant publications in English published between 2001 and April 2018. Studies included evaluated an intervention to increase retention or reduce turnover and used turnover or retention figures as a measure. REVIEW METHODS: The review was conducted according to the Preferred Reporting Items for Systematic Reviews and Meta-analyses (PRISMA) guidelines. Studies were quality-assessed using the Joanna Briggs Institute Critical Appraisal tools for Quasi Experimental and Randomised Controlled Trials. Retention/turnover data were used to guide the comparison between studies and appropriate measures of central tendency and dispersion were calculated and presented, based on the normality of the data. RESULT(S): A total of 11, 656 papers were identified, of which 53 were eligible studies. A wide variety of interventions and components within those interventions were identified to improve nurse retention. Promising interventions appear to be either internship/residency programmes or orientation/transition to practice programmes, lasting between 27-52 weeks, with a teaching and preceptor and mentor component. CONCLUSION(S): Methodological issues impacted on the extent to which conclusions could be drawn, even though a large number of studies were identified. Future research should focus on standardising the reporting of interventions and outcome measures used to evaluate these interventions and carrying out further research with rigorous methodology. Clinical practice areas are recommended to assess their current interventions against the identified criteria to guide development of their effectiveness. Evaluations of cost-effectiveness are considered an important next step to maximise return on investment. Copyright Ãƒâ€šÃ‚Â© 2019 Elsevier Ltd. All rights reserved.</t>
  </si>
  <si>
    <t>include_stage5</t>
  </si>
  <si>
    <t>reason_stage5</t>
  </si>
  <si>
    <t>has_comparator</t>
  </si>
  <si>
    <t>detected_comparator</t>
  </si>
  <si>
    <t>has_primary_outcomes</t>
  </si>
  <si>
    <t>detected_outcomes</t>
  </si>
  <si>
    <t>confidence_stage5</t>
  </si>
  <si>
    <t>Uses usual care comparator and measures cost/QALY outcomes.</t>
  </si>
  <si>
    <t>Usual/Standard care</t>
  </si>
  <si>
    <t>['cost', 'qaly']</t>
  </si>
  <si>
    <t>Uses placebo comparator and measures clinical outcomes.</t>
  </si>
  <si>
    <t>Placebo</t>
  </si>
  <si>
    <t>Other</t>
  </si>
  <si>
    <t>No intervention/Do nothing</t>
  </si>
  <si>
    <t>['clinical', 'impact']</t>
  </si>
  <si>
    <t>['clinical', 'safety']</t>
  </si>
  <si>
    <t>Has comparator and measures clinical outcomes.</t>
  </si>
  <si>
    <t>RCT with comparator and primary outcomes on impact.</t>
  </si>
  <si>
    <t>['cost']</t>
  </si>
  <si>
    <t>['impact']</t>
  </si>
  <si>
    <t>will include relevant outcomes, but none established yet as protocol</t>
  </si>
  <si>
    <t>Does include some relevant outcome data, but main focus is validation of tool</t>
  </si>
  <si>
    <t>comparison and outcomes</t>
  </si>
  <si>
    <t>comparison and impact</t>
  </si>
  <si>
    <t>comparison and outcomes (limited)</t>
  </si>
  <si>
    <t>comparison aed outcomes</t>
  </si>
  <si>
    <t>evidence base very limited</t>
  </si>
  <si>
    <t>comparison and outcomes (uncertain)</t>
  </si>
  <si>
    <t>more prevalence than outcomes/impact</t>
  </si>
  <si>
    <t>guidelines</t>
  </si>
  <si>
    <t>not really tangible outcomes</t>
  </si>
  <si>
    <t>insufficient evidence</t>
  </si>
  <si>
    <t>protocol</t>
  </si>
  <si>
    <t>more validation of model</t>
  </si>
  <si>
    <t>comparsion and outcomes (limited)</t>
  </si>
  <si>
    <t>FF_include_stage5</t>
  </si>
  <si>
    <t>['clinical', 'pro']</t>
  </si>
  <si>
    <t>Head-to-head comparison with primary cost and QALY outcomes.</t>
  </si>
  <si>
    <t>['cost', 'qaly', 'utilization']</t>
  </si>
  <si>
    <t>Randomized controlled trial with clinical outcomes.</t>
  </si>
  <si>
    <t>['clinical', 'time', 'utilization']</t>
  </si>
  <si>
    <t>Uses placebo comparator and measures cost-effectiveness outcomes.</t>
  </si>
  <si>
    <t>Uses pre/post comparison and measures cost and clinical outcomes.</t>
  </si>
  <si>
    <t>['cost', 'clinical', 'time', 'utilization']</t>
  </si>
  <si>
    <t>Network meta-analysis with cost and clinical outcomes.</t>
  </si>
  <si>
    <t>['clinical', 'cost', 'safety']</t>
  </si>
  <si>
    <t>Switch from originator to biosimilar with clinical and cost outcomes.</t>
  </si>
  <si>
    <t>Switching study with clinical and cost outcomes.</t>
  </si>
  <si>
    <t>Uses scenario modelling and measures cost savings and clinical impact.</t>
  </si>
  <si>
    <t>['cost', 'clinical', 'utilization']</t>
  </si>
  <si>
    <t>Uses a comparator and measures cost outcomes.</t>
  </si>
  <si>
    <t>Has comparator and measures cost and utilization outcomes.</t>
  </si>
  <si>
    <t>['cost', 'utilization']</t>
  </si>
  <si>
    <t>Randomised controlled trial with cost and clinical outcomes.</t>
  </si>
  <si>
    <t>['clinical', 'cost', 'qaly', 'safety', 'pro']</t>
  </si>
  <si>
    <t>RCT with control group and clinical outcomes measured.</t>
  </si>
  <si>
    <t>RCTs with control group and clinical outcomes reported.</t>
  </si>
  <si>
    <t>Uses comparison groups and measures clinical and safety outcomes.</t>
  </si>
  <si>
    <t>['clinical', 'safety', 'pro']</t>
  </si>
  <si>
    <t>RCT with head-to-head comparison and clinical outcomes</t>
  </si>
  <si>
    <t>['clinical', 'pro', 'safety']</t>
  </si>
  <si>
    <t>['clinical', 'cost', 'pro', 'safety']</t>
  </si>
  <si>
    <t>Mapping review lacks explicit comparator and primary outcomes</t>
  </si>
  <si>
    <t>['clinical', 'cost']</t>
  </si>
  <si>
    <t>RCTs with comparators and clinical outcomes detected.</t>
  </si>
  <si>
    <t>Uses scenario comparison and measures cost savings.</t>
  </si>
  <si>
    <t>['cost', 'clinical']</t>
  </si>
  <si>
    <t>Uses scenario modelling with cost and QALY outcomes.</t>
  </si>
  <si>
    <t>['cost', 'qaly', 'clinical', 'utilization']</t>
  </si>
  <si>
    <t>Has comparator and measures clinical outcomes</t>
  </si>
  <si>
    <t>Comparative effectiveness and cost-effectiveness analysis conducted.</t>
  </si>
  <si>
    <t>['cost', 'clinical', 'safety', 'pro']</t>
  </si>
  <si>
    <t>['cost', 'qaly', 'clinical']</t>
  </si>
  <si>
    <t>Uses comparator and measures cost and QALYs.</t>
  </si>
  <si>
    <t>RCT with cost and clinical outcomes measured.</t>
  </si>
  <si>
    <t>['cost', 'clinical', 'safety', 'utilization', 'pro']</t>
  </si>
  <si>
    <t>Pre-post comparison with cost and clinical outcomes.</t>
  </si>
  <si>
    <t>['cost', 'clinical', 'pro']</t>
  </si>
  <si>
    <t>No explicit comparator group detected</t>
  </si>
  <si>
    <t>duplicate</t>
  </si>
  <si>
    <t>3 False Positives</t>
  </si>
  <si>
    <t>2 False Negatives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</si>
</sst>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sz val="11"/>
      <color rgb="FFFF0000"/>
      <name val="Aptos Narrow"/>
      <family val="2"/>
      <scheme val="minor"/>
    </font>
    <font>
      <b/>
      <sz val="11"/>
      <color theme="1"/>
      <name val="Aptos Narrow"/>
      <family val="2"/>
      <scheme val="minor"/>
    </font>
    <font>
      <sz val="11"/>
      <color rgb="FF006100"/>
      <name val="Aptos Narrow"/>
      <family val="2"/>
      <scheme val="minor"/>
    </font>
    <font>
      <sz val="11"/>
      <color rgb="FF9C0006"/>
      <name val="Aptos Narrow"/>
      <family val="2"/>
      <scheme val="minor"/>
    </font>
    <font>
      <sz val="11"/>
      <color rgb="FF000000"/>
      <name val="Aptos Narrow"/>
      <family val="2"/>
      <scheme val="minor"/>
    </font>
    <font>
      <b/>
      <sz val="11"/>
      <color rgb="FF000000"/>
      <name val="Aptos Narrow"/>
      <family val="2"/>
      <scheme val="minor"/>
    </font>
  </fonts>
  <fills count="5">
    <fill>
      <patternFill patternType="none"/>
    </fill>
    <fill>
      <patternFill patternType="gray125"/>
    </fill>
    <fill>
      <patternFill patternType="solid">
        <fgColor rgb="FFC6EFCE"/>
        <bgColor rgb="FF000000"/>
      </patternFill>
    </fill>
    <fill>
      <patternFill patternType="solid">
        <fgColor rgb="FFFBE2D5"/>
        <bgColor rgb="FF000000"/>
      </patternFill>
    </fill>
    <fill>
      <patternFill patternType="solid">
        <fgColor rgb="FFFFC7CE"/>
        <bgColor rgb="FF000000"/>
      </patternFill>
    </fill>
  </fills>
  <borders count="3">
    <border>
      <left/>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10">
    <xf numFmtId="0" fontId="0" fillId="0" borderId="0" xfId="0"/>
    <xf numFmtId="0" fontId="0" fillId="0" borderId="0" xfId="0" applyAlignment="1">
      <alignment wrapText="1"/>
    </xf>
    <xf numFmtId="0" fontId="1" fillId="0" borderId="0" xfId="0" applyFont="1"/>
    <xf numFmtId="0" fontId="2" fillId="0" borderId="0" xfId="0" applyFont="1"/>
    <xf numFmtId="0" fontId="3" fillId="2" borderId="0" xfId="0" applyFont="1" applyFill="1"/>
    <xf numFmtId="0" fontId="5" fillId="0" borderId="0" xfId="0" applyFont="1"/>
    <xf numFmtId="0" fontId="5" fillId="3" borderId="0" xfId="0" applyFont="1" applyFill="1"/>
    <xf numFmtId="0" fontId="4" fillId="4" borderId="0" xfId="0" applyFont="1" applyFill="1"/>
    <xf numFmtId="0" fontId="6" fillId="0" borderId="1" xfId="0" applyFont="1" applyBorder="1"/>
    <xf numFmtId="0" fontId="6" fillId="0" borderId="2"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CB2A6B-30B7-4231-94C6-6E4D3269210D}">
  <dimension ref="A1:K31"/>
  <sheetViews>
    <sheetView topLeftCell="D27" workbookViewId="0">
      <selection activeCell="D1" sqref="A1:K31"/>
    </sheetView>
  </sheetViews>
  <sheetFormatPr defaultRowHeight="14.5" x14ac:dyDescent="0.35"/>
  <sheetData>
    <row r="1" spans="1:11" x14ac:dyDescent="0.35">
      <c r="A1" t="s">
        <v>0</v>
      </c>
      <c r="B1" t="s">
        <v>1</v>
      </c>
      <c r="C1" t="s">
        <v>2</v>
      </c>
      <c r="D1" t="s">
        <v>3</v>
      </c>
      <c r="E1" t="s">
        <v>201</v>
      </c>
      <c r="F1" t="s">
        <v>202</v>
      </c>
      <c r="G1" t="s">
        <v>203</v>
      </c>
      <c r="H1" t="s">
        <v>204</v>
      </c>
      <c r="I1" t="s">
        <v>205</v>
      </c>
      <c r="J1" t="s">
        <v>206</v>
      </c>
      <c r="K1" t="s">
        <v>207</v>
      </c>
    </row>
    <row r="2" spans="1:11" x14ac:dyDescent="0.35">
      <c r="A2" t="s">
        <v>8</v>
      </c>
      <c r="B2">
        <v>2019</v>
      </c>
      <c r="C2" t="s">
        <v>9</v>
      </c>
      <c r="D2" t="s">
        <v>175</v>
      </c>
      <c r="E2" t="b">
        <v>1</v>
      </c>
      <c r="F2" t="s">
        <v>208</v>
      </c>
      <c r="G2" t="b">
        <v>1</v>
      </c>
      <c r="H2" t="s">
        <v>209</v>
      </c>
      <c r="I2" t="b">
        <v>1</v>
      </c>
      <c r="J2" t="s">
        <v>210</v>
      </c>
      <c r="K2">
        <v>0.95</v>
      </c>
    </row>
    <row r="3" spans="1:11" x14ac:dyDescent="0.35">
      <c r="A3" t="s">
        <v>10</v>
      </c>
      <c r="B3">
        <v>2019</v>
      </c>
      <c r="C3" t="s">
        <v>11</v>
      </c>
      <c r="D3" t="s">
        <v>186</v>
      </c>
      <c r="E3" t="b">
        <v>1</v>
      </c>
      <c r="F3" t="s">
        <v>211</v>
      </c>
      <c r="G3" t="b">
        <v>1</v>
      </c>
      <c r="H3" t="s">
        <v>212</v>
      </c>
      <c r="I3" t="b">
        <v>1</v>
      </c>
      <c r="J3" t="s">
        <v>237</v>
      </c>
      <c r="K3">
        <v>0.95</v>
      </c>
    </row>
    <row r="4" spans="1:11" x14ac:dyDescent="0.35">
      <c r="A4" t="s">
        <v>12</v>
      </c>
      <c r="B4">
        <v>2019</v>
      </c>
      <c r="C4" t="s">
        <v>13</v>
      </c>
      <c r="D4" t="s">
        <v>176</v>
      </c>
      <c r="E4" t="b">
        <v>1</v>
      </c>
      <c r="F4" t="s">
        <v>238</v>
      </c>
      <c r="G4" t="b">
        <v>1</v>
      </c>
      <c r="H4" t="s">
        <v>213</v>
      </c>
      <c r="I4" t="b">
        <v>1</v>
      </c>
      <c r="J4" t="s">
        <v>239</v>
      </c>
      <c r="K4">
        <v>0.95</v>
      </c>
    </row>
    <row r="5" spans="1:11" x14ac:dyDescent="0.35">
      <c r="A5" t="s">
        <v>14</v>
      </c>
      <c r="B5">
        <v>2019</v>
      </c>
      <c r="C5" t="s">
        <v>15</v>
      </c>
      <c r="D5" t="s">
        <v>187</v>
      </c>
      <c r="E5" t="b">
        <v>1</v>
      </c>
      <c r="F5" t="s">
        <v>240</v>
      </c>
      <c r="G5" t="b">
        <v>1</v>
      </c>
      <c r="H5" t="s">
        <v>214</v>
      </c>
      <c r="I5" t="b">
        <v>1</v>
      </c>
      <c r="J5" t="s">
        <v>241</v>
      </c>
      <c r="K5">
        <v>0.95</v>
      </c>
    </row>
    <row r="6" spans="1:11" x14ac:dyDescent="0.35">
      <c r="A6" t="s">
        <v>19</v>
      </c>
      <c r="B6">
        <v>2019</v>
      </c>
      <c r="C6" t="s">
        <v>20</v>
      </c>
      <c r="D6" t="s">
        <v>177</v>
      </c>
      <c r="E6" t="b">
        <v>1</v>
      </c>
      <c r="F6" t="s">
        <v>242</v>
      </c>
      <c r="G6" t="b">
        <v>1</v>
      </c>
      <c r="H6" t="s">
        <v>212</v>
      </c>
      <c r="I6" t="b">
        <v>1</v>
      </c>
      <c r="J6" t="s">
        <v>210</v>
      </c>
      <c r="K6">
        <v>0.95</v>
      </c>
    </row>
    <row r="7" spans="1:11" x14ac:dyDescent="0.35">
      <c r="A7" t="s">
        <v>21</v>
      </c>
      <c r="B7">
        <v>2019</v>
      </c>
      <c r="C7" t="s">
        <v>22</v>
      </c>
      <c r="D7" t="s">
        <v>178</v>
      </c>
      <c r="E7" t="b">
        <v>1</v>
      </c>
      <c r="F7" t="s">
        <v>243</v>
      </c>
      <c r="G7" t="b">
        <v>1</v>
      </c>
      <c r="H7" t="s">
        <v>213</v>
      </c>
      <c r="I7" t="b">
        <v>1</v>
      </c>
      <c r="J7" t="s">
        <v>244</v>
      </c>
      <c r="K7">
        <v>0.95</v>
      </c>
    </row>
    <row r="8" spans="1:11" x14ac:dyDescent="0.35">
      <c r="A8" t="s">
        <v>23</v>
      </c>
      <c r="B8">
        <v>2019</v>
      </c>
      <c r="C8" t="s">
        <v>189</v>
      </c>
      <c r="D8" t="s">
        <v>190</v>
      </c>
      <c r="E8" t="b">
        <v>1</v>
      </c>
      <c r="F8" t="s">
        <v>245</v>
      </c>
      <c r="G8" t="b">
        <v>1</v>
      </c>
      <c r="H8" t="s">
        <v>213</v>
      </c>
      <c r="I8" t="b">
        <v>1</v>
      </c>
      <c r="J8" t="s">
        <v>246</v>
      </c>
      <c r="K8">
        <v>0.95</v>
      </c>
    </row>
    <row r="9" spans="1:11" x14ac:dyDescent="0.35">
      <c r="A9" t="s">
        <v>24</v>
      </c>
      <c r="B9">
        <v>2019</v>
      </c>
      <c r="C9" t="s">
        <v>25</v>
      </c>
      <c r="D9" t="s">
        <v>26</v>
      </c>
      <c r="E9" t="b">
        <v>1</v>
      </c>
      <c r="F9" t="s">
        <v>247</v>
      </c>
      <c r="G9" t="b">
        <v>1</v>
      </c>
      <c r="H9" t="s">
        <v>213</v>
      </c>
      <c r="I9" t="b">
        <v>1</v>
      </c>
      <c r="J9" t="s">
        <v>246</v>
      </c>
      <c r="K9">
        <v>0.95</v>
      </c>
    </row>
    <row r="10" spans="1:11" x14ac:dyDescent="0.35">
      <c r="A10" t="s">
        <v>27</v>
      </c>
      <c r="B10">
        <v>2019</v>
      </c>
      <c r="C10" t="s">
        <v>28</v>
      </c>
      <c r="D10" t="s">
        <v>29</v>
      </c>
      <c r="E10" t="b">
        <v>1</v>
      </c>
      <c r="F10" t="s">
        <v>248</v>
      </c>
      <c r="G10" t="b">
        <v>1</v>
      </c>
      <c r="H10" t="s">
        <v>213</v>
      </c>
      <c r="I10" t="b">
        <v>1</v>
      </c>
      <c r="J10" t="s">
        <v>246</v>
      </c>
      <c r="K10">
        <v>0.95</v>
      </c>
    </row>
    <row r="11" spans="1:11" x14ac:dyDescent="0.35">
      <c r="A11" t="s">
        <v>31</v>
      </c>
      <c r="B11">
        <v>2019</v>
      </c>
      <c r="C11" t="s">
        <v>179</v>
      </c>
      <c r="D11" t="s">
        <v>180</v>
      </c>
      <c r="E11" t="b">
        <v>1</v>
      </c>
      <c r="F11" t="s">
        <v>217</v>
      </c>
      <c r="G11" t="b">
        <v>1</v>
      </c>
      <c r="H11" t="s">
        <v>213</v>
      </c>
      <c r="I11" t="b">
        <v>1</v>
      </c>
      <c r="J11" t="s">
        <v>216</v>
      </c>
      <c r="K11">
        <v>0.95</v>
      </c>
    </row>
    <row r="12" spans="1:11" x14ac:dyDescent="0.35">
      <c r="A12" t="s">
        <v>32</v>
      </c>
      <c r="B12">
        <v>2019</v>
      </c>
      <c r="C12" t="s">
        <v>33</v>
      </c>
      <c r="D12" t="s">
        <v>181</v>
      </c>
      <c r="E12" t="b">
        <v>1</v>
      </c>
      <c r="F12" t="s">
        <v>249</v>
      </c>
      <c r="G12" t="b">
        <v>1</v>
      </c>
      <c r="H12" t="s">
        <v>213</v>
      </c>
      <c r="I12" t="b">
        <v>1</v>
      </c>
      <c r="J12" t="s">
        <v>250</v>
      </c>
      <c r="K12">
        <v>0.9</v>
      </c>
    </row>
    <row r="13" spans="1:11" x14ac:dyDescent="0.35">
      <c r="A13" t="s">
        <v>42</v>
      </c>
      <c r="B13">
        <v>2019</v>
      </c>
      <c r="C13" t="s">
        <v>43</v>
      </c>
      <c r="D13" t="s">
        <v>44</v>
      </c>
      <c r="E13" t="b">
        <v>1</v>
      </c>
      <c r="F13" t="s">
        <v>251</v>
      </c>
      <c r="G13" t="b">
        <v>1</v>
      </c>
      <c r="H13" t="s">
        <v>213</v>
      </c>
      <c r="I13" t="b">
        <v>1</v>
      </c>
      <c r="J13" t="s">
        <v>219</v>
      </c>
      <c r="K13">
        <v>0.95</v>
      </c>
    </row>
    <row r="14" spans="1:11" x14ac:dyDescent="0.35">
      <c r="A14" t="s">
        <v>45</v>
      </c>
      <c r="B14">
        <v>2019</v>
      </c>
      <c r="C14" t="s">
        <v>46</v>
      </c>
      <c r="D14" t="s">
        <v>182</v>
      </c>
      <c r="E14" t="b">
        <v>1</v>
      </c>
      <c r="F14" t="s">
        <v>252</v>
      </c>
      <c r="G14" t="b">
        <v>1</v>
      </c>
      <c r="H14" t="s">
        <v>213</v>
      </c>
      <c r="I14" t="b">
        <v>1</v>
      </c>
      <c r="J14" t="s">
        <v>253</v>
      </c>
      <c r="K14">
        <v>0.95</v>
      </c>
    </row>
    <row r="15" spans="1:11" x14ac:dyDescent="0.35">
      <c r="A15" t="s">
        <v>47</v>
      </c>
      <c r="B15">
        <v>2019</v>
      </c>
      <c r="C15" t="s">
        <v>48</v>
      </c>
      <c r="D15" t="s">
        <v>183</v>
      </c>
      <c r="E15" t="b">
        <v>1</v>
      </c>
      <c r="F15" t="s">
        <v>254</v>
      </c>
      <c r="G15" t="b">
        <v>1</v>
      </c>
      <c r="H15" t="s">
        <v>213</v>
      </c>
      <c r="I15" t="b">
        <v>1</v>
      </c>
      <c r="J15" t="s">
        <v>255</v>
      </c>
      <c r="K15">
        <v>1</v>
      </c>
    </row>
    <row r="16" spans="1:11" x14ac:dyDescent="0.35">
      <c r="A16" t="s">
        <v>49</v>
      </c>
      <c r="B16">
        <v>2019</v>
      </c>
      <c r="C16" t="s">
        <v>191</v>
      </c>
      <c r="D16" t="s">
        <v>192</v>
      </c>
      <c r="E16" t="b">
        <v>1</v>
      </c>
      <c r="F16" t="s">
        <v>256</v>
      </c>
      <c r="G16" t="b">
        <v>1</v>
      </c>
      <c r="H16" t="s">
        <v>212</v>
      </c>
      <c r="I16" t="b">
        <v>1</v>
      </c>
      <c r="J16" t="s">
        <v>215</v>
      </c>
      <c r="K16">
        <v>0.95</v>
      </c>
    </row>
    <row r="17" spans="1:11" x14ac:dyDescent="0.35">
      <c r="A17" t="s">
        <v>50</v>
      </c>
      <c r="B17">
        <v>2019</v>
      </c>
      <c r="C17" t="s">
        <v>193</v>
      </c>
      <c r="D17" t="s">
        <v>194</v>
      </c>
      <c r="E17" t="b">
        <v>1</v>
      </c>
      <c r="F17" t="s">
        <v>257</v>
      </c>
      <c r="G17" t="b">
        <v>1</v>
      </c>
      <c r="H17" t="s">
        <v>212</v>
      </c>
      <c r="I17" t="b">
        <v>1</v>
      </c>
      <c r="J17" t="s">
        <v>216</v>
      </c>
      <c r="K17">
        <v>0.95</v>
      </c>
    </row>
    <row r="18" spans="1:11" x14ac:dyDescent="0.35">
      <c r="A18" t="s">
        <v>57</v>
      </c>
      <c r="B18">
        <v>2019</v>
      </c>
      <c r="C18" t="s">
        <v>58</v>
      </c>
      <c r="D18" t="s">
        <v>195</v>
      </c>
      <c r="E18" t="b">
        <v>1</v>
      </c>
      <c r="F18" t="s">
        <v>258</v>
      </c>
      <c r="G18" t="b">
        <v>1</v>
      </c>
      <c r="H18" t="s">
        <v>212</v>
      </c>
      <c r="I18" t="b">
        <v>1</v>
      </c>
      <c r="J18" t="s">
        <v>259</v>
      </c>
      <c r="K18">
        <v>0.95</v>
      </c>
    </row>
    <row r="19" spans="1:11" x14ac:dyDescent="0.35">
      <c r="A19" t="s">
        <v>60</v>
      </c>
      <c r="B19">
        <v>2019</v>
      </c>
      <c r="C19" t="s">
        <v>61</v>
      </c>
      <c r="D19" t="s">
        <v>196</v>
      </c>
      <c r="E19" t="b">
        <v>1</v>
      </c>
      <c r="F19" t="s">
        <v>260</v>
      </c>
      <c r="G19" t="b">
        <v>1</v>
      </c>
      <c r="H19" t="s">
        <v>213</v>
      </c>
      <c r="I19" t="b">
        <v>1</v>
      </c>
      <c r="J19" t="s">
        <v>261</v>
      </c>
      <c r="K19">
        <v>0.95</v>
      </c>
    </row>
    <row r="20" spans="1:11" x14ac:dyDescent="0.35">
      <c r="A20" t="s">
        <v>62</v>
      </c>
      <c r="B20">
        <v>2019</v>
      </c>
      <c r="C20" t="s">
        <v>63</v>
      </c>
      <c r="D20" t="s">
        <v>197</v>
      </c>
      <c r="E20" t="b">
        <v>1</v>
      </c>
      <c r="F20" t="s">
        <v>218</v>
      </c>
      <c r="G20" t="b">
        <v>1</v>
      </c>
      <c r="H20" t="s">
        <v>213</v>
      </c>
      <c r="I20" t="b">
        <v>1</v>
      </c>
      <c r="J20" t="s">
        <v>262</v>
      </c>
      <c r="K20">
        <v>0.95</v>
      </c>
    </row>
    <row r="21" spans="1:11" ht="409.5" x14ac:dyDescent="0.35">
      <c r="A21" t="s">
        <v>71</v>
      </c>
      <c r="B21">
        <v>2019</v>
      </c>
      <c r="C21" t="s">
        <v>72</v>
      </c>
      <c r="D21" s="1" t="s">
        <v>73</v>
      </c>
      <c r="E21" t="b">
        <v>0</v>
      </c>
      <c r="F21" t="s">
        <v>263</v>
      </c>
      <c r="G21" t="b">
        <v>0</v>
      </c>
      <c r="H21" t="s">
        <v>188</v>
      </c>
      <c r="I21" t="b">
        <v>0</v>
      </c>
      <c r="J21" t="s">
        <v>264</v>
      </c>
      <c r="K21">
        <v>0.8</v>
      </c>
    </row>
    <row r="22" spans="1:11" x14ac:dyDescent="0.35">
      <c r="A22" t="s">
        <v>74</v>
      </c>
      <c r="B22">
        <v>2019</v>
      </c>
      <c r="C22" t="s">
        <v>75</v>
      </c>
      <c r="D22" t="s">
        <v>198</v>
      </c>
      <c r="E22" t="b">
        <v>1</v>
      </c>
      <c r="F22" t="s">
        <v>265</v>
      </c>
      <c r="G22" t="b">
        <v>1</v>
      </c>
      <c r="H22" t="s">
        <v>212</v>
      </c>
      <c r="I22" t="b">
        <v>1</v>
      </c>
      <c r="J22" t="s">
        <v>216</v>
      </c>
      <c r="K22">
        <v>0.95</v>
      </c>
    </row>
    <row r="23" spans="1:11" x14ac:dyDescent="0.35">
      <c r="A23" t="s">
        <v>76</v>
      </c>
      <c r="B23">
        <v>2019</v>
      </c>
      <c r="C23" t="s">
        <v>77</v>
      </c>
      <c r="D23" t="s">
        <v>184</v>
      </c>
      <c r="E23" t="b">
        <v>1</v>
      </c>
      <c r="F23" t="s">
        <v>266</v>
      </c>
      <c r="G23" t="b">
        <v>1</v>
      </c>
      <c r="H23" t="s">
        <v>213</v>
      </c>
      <c r="I23" t="b">
        <v>1</v>
      </c>
      <c r="J23" t="s">
        <v>267</v>
      </c>
      <c r="K23">
        <v>0.95</v>
      </c>
    </row>
    <row r="24" spans="1:11" x14ac:dyDescent="0.35">
      <c r="A24" t="s">
        <v>78</v>
      </c>
      <c r="B24">
        <v>2019</v>
      </c>
      <c r="C24" t="s">
        <v>79</v>
      </c>
      <c r="D24" t="s">
        <v>185</v>
      </c>
      <c r="E24" t="b">
        <v>1</v>
      </c>
      <c r="F24" t="s">
        <v>268</v>
      </c>
      <c r="G24" t="b">
        <v>1</v>
      </c>
      <c r="H24" t="s">
        <v>213</v>
      </c>
      <c r="I24" t="b">
        <v>1</v>
      </c>
      <c r="J24" t="s">
        <v>269</v>
      </c>
      <c r="K24">
        <v>0.95</v>
      </c>
    </row>
    <row r="25" spans="1:11" x14ac:dyDescent="0.35">
      <c r="A25" t="s">
        <v>83</v>
      </c>
      <c r="B25">
        <v>2019</v>
      </c>
      <c r="C25" t="s">
        <v>84</v>
      </c>
      <c r="D25" t="s">
        <v>199</v>
      </c>
      <c r="E25" t="b">
        <v>1</v>
      </c>
      <c r="F25" t="s">
        <v>270</v>
      </c>
      <c r="G25" t="b">
        <v>1</v>
      </c>
      <c r="H25" t="s">
        <v>213</v>
      </c>
      <c r="I25" t="b">
        <v>1</v>
      </c>
      <c r="J25" t="s">
        <v>261</v>
      </c>
      <c r="K25">
        <v>0.9</v>
      </c>
    </row>
    <row r="26" spans="1:11" ht="409.5" x14ac:dyDescent="0.35">
      <c r="A26" t="s">
        <v>85</v>
      </c>
      <c r="B26">
        <v>2019</v>
      </c>
      <c r="C26" t="s">
        <v>86</v>
      </c>
      <c r="D26" s="1" t="s">
        <v>87</v>
      </c>
      <c r="E26" t="b">
        <v>1</v>
      </c>
      <c r="F26" t="s">
        <v>271</v>
      </c>
      <c r="G26" t="b">
        <v>1</v>
      </c>
      <c r="H26" t="s">
        <v>213</v>
      </c>
      <c r="I26" t="b">
        <v>1</v>
      </c>
      <c r="J26" t="s">
        <v>272</v>
      </c>
      <c r="K26">
        <v>0.95</v>
      </c>
    </row>
    <row r="27" spans="1:11" x14ac:dyDescent="0.35">
      <c r="A27" t="s">
        <v>91</v>
      </c>
      <c r="B27">
        <v>2019</v>
      </c>
      <c r="C27" t="s">
        <v>92</v>
      </c>
      <c r="D27" t="s">
        <v>93</v>
      </c>
      <c r="E27" t="b">
        <v>1</v>
      </c>
      <c r="F27" t="s">
        <v>268</v>
      </c>
      <c r="G27" t="b">
        <v>1</v>
      </c>
      <c r="H27" t="s">
        <v>213</v>
      </c>
      <c r="I27" t="b">
        <v>1</v>
      </c>
      <c r="J27" t="s">
        <v>273</v>
      </c>
      <c r="K27">
        <v>0.95</v>
      </c>
    </row>
    <row r="28" spans="1:11" x14ac:dyDescent="0.35">
      <c r="A28" t="s">
        <v>94</v>
      </c>
      <c r="B28">
        <v>2019</v>
      </c>
      <c r="C28" t="s">
        <v>95</v>
      </c>
      <c r="D28" t="s">
        <v>96</v>
      </c>
      <c r="E28" t="b">
        <v>1</v>
      </c>
      <c r="F28" t="s">
        <v>274</v>
      </c>
      <c r="G28" t="b">
        <v>1</v>
      </c>
      <c r="H28" t="s">
        <v>214</v>
      </c>
      <c r="I28" t="b">
        <v>1</v>
      </c>
      <c r="J28" t="s">
        <v>210</v>
      </c>
      <c r="K28">
        <v>0.95</v>
      </c>
    </row>
    <row r="29" spans="1:11" x14ac:dyDescent="0.35">
      <c r="A29" t="s">
        <v>99</v>
      </c>
      <c r="B29">
        <v>2019</v>
      </c>
      <c r="C29" t="s">
        <v>100</v>
      </c>
      <c r="D29" t="s">
        <v>101</v>
      </c>
      <c r="E29" t="b">
        <v>1</v>
      </c>
      <c r="F29" t="s">
        <v>275</v>
      </c>
      <c r="G29" t="b">
        <v>1</v>
      </c>
      <c r="H29" t="s">
        <v>209</v>
      </c>
      <c r="I29" t="b">
        <v>1</v>
      </c>
      <c r="J29" t="s">
        <v>276</v>
      </c>
      <c r="K29">
        <v>1</v>
      </c>
    </row>
    <row r="30" spans="1:11" x14ac:dyDescent="0.35">
      <c r="A30" t="s">
        <v>103</v>
      </c>
      <c r="B30">
        <v>2019</v>
      </c>
      <c r="C30" t="s">
        <v>104</v>
      </c>
      <c r="D30" t="s">
        <v>105</v>
      </c>
      <c r="E30" t="b">
        <v>1</v>
      </c>
      <c r="F30" t="s">
        <v>277</v>
      </c>
      <c r="G30" t="b">
        <v>1</v>
      </c>
      <c r="H30" t="s">
        <v>213</v>
      </c>
      <c r="I30" t="b">
        <v>1</v>
      </c>
      <c r="J30" t="s">
        <v>278</v>
      </c>
      <c r="K30">
        <v>0.95</v>
      </c>
    </row>
    <row r="31" spans="1:11" x14ac:dyDescent="0.35">
      <c r="A31" t="s">
        <v>106</v>
      </c>
      <c r="B31">
        <v>2019</v>
      </c>
      <c r="C31" t="s">
        <v>107</v>
      </c>
      <c r="D31" t="s">
        <v>200</v>
      </c>
      <c r="E31" t="b">
        <v>0</v>
      </c>
      <c r="F31" t="s">
        <v>279</v>
      </c>
      <c r="G31" t="b">
        <v>0</v>
      </c>
      <c r="H31" t="s">
        <v>188</v>
      </c>
      <c r="I31" t="b">
        <v>1</v>
      </c>
      <c r="J31" t="s">
        <v>220</v>
      </c>
      <c r="K31">
        <v>0.8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56000-B170-40EA-8241-FE1490451DA5}">
  <dimension ref="A1:A31"/>
  <sheetViews>
    <sheetView workbookViewId="0">
      <selection activeCell="D8" sqref="D8"/>
    </sheetView>
  </sheetViews>
  <sheetFormatPr defaultRowHeight="14.5" x14ac:dyDescent="0.35"/>
  <sheetData>
    <row r="1" spans="1:1" x14ac:dyDescent="0.35">
      <c r="A1" t="s">
        <v>0</v>
      </c>
    </row>
    <row r="2" spans="1:1" x14ac:dyDescent="0.35">
      <c r="A2" t="s">
        <v>8</v>
      </c>
    </row>
    <row r="3" spans="1:1" x14ac:dyDescent="0.35">
      <c r="A3" t="s">
        <v>10</v>
      </c>
    </row>
    <row r="4" spans="1:1" x14ac:dyDescent="0.35">
      <c r="A4" t="s">
        <v>12</v>
      </c>
    </row>
    <row r="5" spans="1:1" x14ac:dyDescent="0.35">
      <c r="A5" t="s">
        <v>14</v>
      </c>
    </row>
    <row r="6" spans="1:1" x14ac:dyDescent="0.35">
      <c r="A6" t="s">
        <v>19</v>
      </c>
    </row>
    <row r="7" spans="1:1" x14ac:dyDescent="0.35">
      <c r="A7" t="s">
        <v>21</v>
      </c>
    </row>
    <row r="8" spans="1:1" x14ac:dyDescent="0.35">
      <c r="A8" t="s">
        <v>23</v>
      </c>
    </row>
    <row r="9" spans="1:1" x14ac:dyDescent="0.35">
      <c r="A9" t="s">
        <v>24</v>
      </c>
    </row>
    <row r="10" spans="1:1" x14ac:dyDescent="0.35">
      <c r="A10" t="s">
        <v>27</v>
      </c>
    </row>
    <row r="11" spans="1:1" x14ac:dyDescent="0.35">
      <c r="A11" t="s">
        <v>31</v>
      </c>
    </row>
    <row r="12" spans="1:1" x14ac:dyDescent="0.35">
      <c r="A12" t="s">
        <v>32</v>
      </c>
    </row>
    <row r="13" spans="1:1" x14ac:dyDescent="0.35">
      <c r="A13" t="s">
        <v>42</v>
      </c>
    </row>
    <row r="14" spans="1:1" x14ac:dyDescent="0.35">
      <c r="A14" t="s">
        <v>45</v>
      </c>
    </row>
    <row r="15" spans="1:1" x14ac:dyDescent="0.35">
      <c r="A15" t="s">
        <v>47</v>
      </c>
    </row>
    <row r="16" spans="1:1" x14ac:dyDescent="0.35">
      <c r="A16" t="s">
        <v>49</v>
      </c>
    </row>
    <row r="17" spans="1:1" x14ac:dyDescent="0.35">
      <c r="A17" t="s">
        <v>50</v>
      </c>
    </row>
    <row r="18" spans="1:1" x14ac:dyDescent="0.35">
      <c r="A18" t="s">
        <v>57</v>
      </c>
    </row>
    <row r="19" spans="1:1" x14ac:dyDescent="0.35">
      <c r="A19" t="s">
        <v>60</v>
      </c>
    </row>
    <row r="20" spans="1:1" x14ac:dyDescent="0.35">
      <c r="A20" t="s">
        <v>62</v>
      </c>
    </row>
    <row r="21" spans="1:1" x14ac:dyDescent="0.35">
      <c r="A21" t="s">
        <v>71</v>
      </c>
    </row>
    <row r="22" spans="1:1" x14ac:dyDescent="0.35">
      <c r="A22" t="s">
        <v>74</v>
      </c>
    </row>
    <row r="23" spans="1:1" x14ac:dyDescent="0.35">
      <c r="A23" t="s">
        <v>76</v>
      </c>
    </row>
    <row r="24" spans="1:1" x14ac:dyDescent="0.35">
      <c r="A24" t="s">
        <v>78</v>
      </c>
    </row>
    <row r="25" spans="1:1" x14ac:dyDescent="0.35">
      <c r="A25" t="s">
        <v>83</v>
      </c>
    </row>
    <row r="26" spans="1:1" x14ac:dyDescent="0.35">
      <c r="A26" t="s">
        <v>85</v>
      </c>
    </row>
    <row r="27" spans="1:1" x14ac:dyDescent="0.35">
      <c r="A27" t="s">
        <v>91</v>
      </c>
    </row>
    <row r="28" spans="1:1" x14ac:dyDescent="0.35">
      <c r="A28" t="s">
        <v>94</v>
      </c>
    </row>
    <row r="29" spans="1:1" x14ac:dyDescent="0.35">
      <c r="A29" t="s">
        <v>99</v>
      </c>
    </row>
    <row r="30" spans="1:1" x14ac:dyDescent="0.35">
      <c r="A30" t="s">
        <v>103</v>
      </c>
    </row>
    <row r="31" spans="1:1" x14ac:dyDescent="0.35">
      <c r="A31" t="s">
        <v>106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E4052-2545-45A0-857B-B79114EE9774}">
  <sheetPr filterMode="1"/>
  <dimension ref="A1:H52"/>
  <sheetViews>
    <sheetView workbookViewId="0">
      <selection activeCell="E1" sqref="E1:H1048576"/>
    </sheetView>
  </sheetViews>
  <sheetFormatPr defaultRowHeight="14.5" x14ac:dyDescent="0.35"/>
  <cols>
    <col min="2" max="2" width="10.81640625" customWidth="1"/>
    <col min="3" max="3" width="13.54296875" customWidth="1"/>
    <col min="4" max="4" width="13.26953125" customWidth="1"/>
  </cols>
  <sheetData>
    <row r="1" spans="1:8" ht="15" thickBot="1" x14ac:dyDescent="0.4">
      <c r="A1" t="s">
        <v>108</v>
      </c>
      <c r="B1" t="s">
        <v>1</v>
      </c>
      <c r="C1" t="s">
        <v>2</v>
      </c>
      <c r="D1" t="s">
        <v>3</v>
      </c>
      <c r="E1" s="8" t="s">
        <v>109</v>
      </c>
      <c r="F1" s="9" t="s">
        <v>110</v>
      </c>
      <c r="G1" t="s">
        <v>236</v>
      </c>
      <c r="H1" t="s">
        <v>174</v>
      </c>
    </row>
    <row r="2" spans="1:8" hidden="1" x14ac:dyDescent="0.35">
      <c r="A2" t="s">
        <v>4</v>
      </c>
      <c r="B2">
        <v>2019</v>
      </c>
      <c r="C2" t="s">
        <v>5</v>
      </c>
      <c r="D2" t="s">
        <v>111</v>
      </c>
      <c r="E2" s="4" t="s">
        <v>112</v>
      </c>
      <c r="F2" s="5" t="s">
        <v>223</v>
      </c>
      <c r="G2" t="b">
        <f>IF(E2="Include", TRUE, FALSE)</f>
        <v>1</v>
      </c>
      <c r="H2" t="e">
        <f>VLOOKUP(A2,ID_Lookup!A:A,1,FALSE)</f>
        <v>#N/A</v>
      </c>
    </row>
    <row r="3" spans="1:8" hidden="1" x14ac:dyDescent="0.35">
      <c r="A3" t="s">
        <v>6</v>
      </c>
      <c r="B3">
        <v>2019</v>
      </c>
      <c r="C3" t="s">
        <v>7</v>
      </c>
      <c r="D3" t="s">
        <v>113</v>
      </c>
      <c r="E3" s="4" t="s">
        <v>112</v>
      </c>
      <c r="F3" s="5" t="s">
        <v>224</v>
      </c>
      <c r="G3" t="b">
        <f t="shared" ref="G3:G52" si="0">IF(E3="Include", TRUE, FALSE)</f>
        <v>1</v>
      </c>
      <c r="H3" t="e">
        <f>VLOOKUP(A3,ID_Lookup!A:A,1,FALSE)</f>
        <v>#N/A</v>
      </c>
    </row>
    <row r="4" spans="1:8" x14ac:dyDescent="0.35">
      <c r="A4" t="s">
        <v>8</v>
      </c>
      <c r="B4">
        <v>2019</v>
      </c>
      <c r="C4" t="s">
        <v>9</v>
      </c>
      <c r="D4" t="s">
        <v>114</v>
      </c>
      <c r="E4" s="4" t="s">
        <v>112</v>
      </c>
      <c r="F4" s="5" t="s">
        <v>223</v>
      </c>
      <c r="G4" t="b">
        <f t="shared" si="0"/>
        <v>1</v>
      </c>
      <c r="H4" t="str">
        <f>VLOOKUP(A4,ID_Lookup!A:A,1,FALSE)</f>
        <v>J502</v>
      </c>
    </row>
    <row r="5" spans="1:8" x14ac:dyDescent="0.35">
      <c r="A5" t="s">
        <v>10</v>
      </c>
      <c r="B5">
        <v>2019</v>
      </c>
      <c r="C5" t="s">
        <v>11</v>
      </c>
      <c r="D5" t="s">
        <v>115</v>
      </c>
      <c r="E5" s="4" t="s">
        <v>112</v>
      </c>
      <c r="F5" s="5" t="s">
        <v>223</v>
      </c>
      <c r="G5" t="b">
        <f t="shared" si="0"/>
        <v>1</v>
      </c>
      <c r="H5" t="str">
        <f>VLOOKUP(A5,ID_Lookup!A:A,1,FALSE)</f>
        <v>J503</v>
      </c>
    </row>
    <row r="6" spans="1:8" x14ac:dyDescent="0.35">
      <c r="A6" t="s">
        <v>12</v>
      </c>
      <c r="B6">
        <v>2019</v>
      </c>
      <c r="C6" t="s">
        <v>13</v>
      </c>
      <c r="D6" t="s">
        <v>116</v>
      </c>
      <c r="E6" s="4" t="s">
        <v>112</v>
      </c>
      <c r="F6" s="5" t="s">
        <v>223</v>
      </c>
      <c r="G6" t="b">
        <f t="shared" si="0"/>
        <v>1</v>
      </c>
      <c r="H6" t="str">
        <f>VLOOKUP(A6,ID_Lookup!A:A,1,FALSE)</f>
        <v>J504</v>
      </c>
    </row>
    <row r="7" spans="1:8" x14ac:dyDescent="0.35">
      <c r="A7" t="s">
        <v>14</v>
      </c>
      <c r="B7">
        <v>2019</v>
      </c>
      <c r="C7" t="s">
        <v>15</v>
      </c>
      <c r="D7" t="s">
        <v>117</v>
      </c>
      <c r="E7" s="4" t="s">
        <v>112</v>
      </c>
      <c r="F7" s="5" t="s">
        <v>223</v>
      </c>
      <c r="G7" t="b">
        <f t="shared" si="0"/>
        <v>1</v>
      </c>
      <c r="H7" t="str">
        <f>VLOOKUP(A7,ID_Lookup!A:A,1,FALSE)</f>
        <v>J505</v>
      </c>
    </row>
    <row r="8" spans="1:8" hidden="1" x14ac:dyDescent="0.35">
      <c r="A8" t="s">
        <v>16</v>
      </c>
      <c r="B8">
        <v>2019</v>
      </c>
      <c r="C8" t="s">
        <v>17</v>
      </c>
      <c r="D8" t="s">
        <v>118</v>
      </c>
      <c r="E8" s="4" t="s">
        <v>112</v>
      </c>
      <c r="F8" s="5" t="s">
        <v>225</v>
      </c>
      <c r="G8" t="b">
        <f t="shared" si="0"/>
        <v>1</v>
      </c>
      <c r="H8" t="e">
        <f>VLOOKUP(A8,ID_Lookup!A:A,1,FALSE)</f>
        <v>#N/A</v>
      </c>
    </row>
    <row r="9" spans="1:8" hidden="1" x14ac:dyDescent="0.35">
      <c r="A9" t="s">
        <v>18</v>
      </c>
      <c r="B9">
        <v>2019</v>
      </c>
      <c r="C9" t="s">
        <v>119</v>
      </c>
      <c r="D9" t="s">
        <v>120</v>
      </c>
      <c r="E9" s="4" t="s">
        <v>112</v>
      </c>
      <c r="F9" s="5" t="s">
        <v>223</v>
      </c>
      <c r="G9" t="b">
        <f t="shared" si="0"/>
        <v>1</v>
      </c>
      <c r="H9" t="e">
        <f>VLOOKUP(A9,ID_Lookup!A:A,1,FALSE)</f>
        <v>#N/A</v>
      </c>
    </row>
    <row r="10" spans="1:8" x14ac:dyDescent="0.35">
      <c r="A10" t="s">
        <v>19</v>
      </c>
      <c r="B10">
        <v>2019</v>
      </c>
      <c r="C10" t="s">
        <v>20</v>
      </c>
      <c r="D10" t="s">
        <v>121</v>
      </c>
      <c r="E10" s="4" t="s">
        <v>112</v>
      </c>
      <c r="F10" s="5" t="s">
        <v>223</v>
      </c>
      <c r="G10" t="b">
        <f t="shared" si="0"/>
        <v>1</v>
      </c>
      <c r="H10" t="str">
        <f>VLOOKUP(A10,ID_Lookup!A:A,1,FALSE)</f>
        <v>J508</v>
      </c>
    </row>
    <row r="11" spans="1:8" x14ac:dyDescent="0.35">
      <c r="A11" t="s">
        <v>21</v>
      </c>
      <c r="B11">
        <v>2019</v>
      </c>
      <c r="C11" t="s">
        <v>22</v>
      </c>
      <c r="D11" t="s">
        <v>122</v>
      </c>
      <c r="E11" s="4" t="s">
        <v>112</v>
      </c>
      <c r="F11" s="5" t="s">
        <v>223</v>
      </c>
      <c r="G11" t="b">
        <f t="shared" si="0"/>
        <v>1</v>
      </c>
      <c r="H11" t="str">
        <f>VLOOKUP(A11,ID_Lookup!A:A,1,FALSE)</f>
        <v>J509</v>
      </c>
    </row>
    <row r="12" spans="1:8" x14ac:dyDescent="0.35">
      <c r="A12" t="s">
        <v>23</v>
      </c>
      <c r="B12">
        <v>2019</v>
      </c>
      <c r="C12" t="s">
        <v>123</v>
      </c>
      <c r="D12" t="s">
        <v>124</v>
      </c>
      <c r="E12" s="4" t="s">
        <v>112</v>
      </c>
      <c r="F12" s="5" t="s">
        <v>226</v>
      </c>
      <c r="G12" t="b">
        <f t="shared" si="0"/>
        <v>1</v>
      </c>
      <c r="H12" t="str">
        <f>VLOOKUP(A12,ID_Lookup!A:A,1,FALSE)</f>
        <v>J510</v>
      </c>
    </row>
    <row r="13" spans="1:8" x14ac:dyDescent="0.35">
      <c r="A13" t="s">
        <v>24</v>
      </c>
      <c r="B13">
        <v>2019</v>
      </c>
      <c r="C13" t="s">
        <v>25</v>
      </c>
      <c r="D13" t="s">
        <v>26</v>
      </c>
      <c r="E13" s="4" t="s">
        <v>112</v>
      </c>
      <c r="F13" s="5" t="s">
        <v>223</v>
      </c>
      <c r="G13" t="b">
        <f t="shared" si="0"/>
        <v>1</v>
      </c>
      <c r="H13" t="str">
        <f>VLOOKUP(A13,ID_Lookup!A:A,1,FALSE)</f>
        <v>J511</v>
      </c>
    </row>
    <row r="14" spans="1:8" x14ac:dyDescent="0.35">
      <c r="A14" t="s">
        <v>27</v>
      </c>
      <c r="B14">
        <v>2019</v>
      </c>
      <c r="C14" t="s">
        <v>28</v>
      </c>
      <c r="D14" t="s">
        <v>29</v>
      </c>
      <c r="E14" s="4" t="s">
        <v>112</v>
      </c>
      <c r="F14" s="6" t="s">
        <v>280</v>
      </c>
      <c r="G14" t="b">
        <f t="shared" si="0"/>
        <v>1</v>
      </c>
      <c r="H14" t="str">
        <f>VLOOKUP(A14,ID_Lookup!A:A,1,FALSE)</f>
        <v>J512</v>
      </c>
    </row>
    <row r="15" spans="1:8" hidden="1" x14ac:dyDescent="0.35">
      <c r="A15" t="s">
        <v>30</v>
      </c>
      <c r="B15">
        <v>2019</v>
      </c>
      <c r="C15" t="s">
        <v>125</v>
      </c>
      <c r="D15" t="s">
        <v>126</v>
      </c>
      <c r="E15" s="4" t="s">
        <v>112</v>
      </c>
      <c r="F15" s="5" t="s">
        <v>223</v>
      </c>
      <c r="G15" t="b">
        <f t="shared" si="0"/>
        <v>1</v>
      </c>
      <c r="H15" t="e">
        <f>VLOOKUP(A15,ID_Lookup!A:A,1,FALSE)</f>
        <v>#N/A</v>
      </c>
    </row>
    <row r="16" spans="1:8" x14ac:dyDescent="0.35">
      <c r="A16" t="s">
        <v>31</v>
      </c>
      <c r="B16">
        <v>2019</v>
      </c>
      <c r="C16" t="s">
        <v>127</v>
      </c>
      <c r="D16" t="s">
        <v>128</v>
      </c>
      <c r="E16" s="7" t="s">
        <v>173</v>
      </c>
      <c r="F16" s="5" t="s">
        <v>227</v>
      </c>
      <c r="G16" t="b">
        <f t="shared" si="0"/>
        <v>0</v>
      </c>
      <c r="H16" t="str">
        <f>VLOOKUP(A16,ID_Lookup!A:A,1,FALSE)</f>
        <v>J514</v>
      </c>
    </row>
    <row r="17" spans="1:8" x14ac:dyDescent="0.35">
      <c r="A17" t="s">
        <v>32</v>
      </c>
      <c r="B17">
        <v>2019</v>
      </c>
      <c r="C17" t="s">
        <v>33</v>
      </c>
      <c r="D17" t="s">
        <v>129</v>
      </c>
      <c r="E17" s="4" t="s">
        <v>112</v>
      </c>
      <c r="F17" s="5" t="s">
        <v>223</v>
      </c>
      <c r="G17" t="b">
        <f t="shared" si="0"/>
        <v>1</v>
      </c>
      <c r="H17" t="str">
        <f>VLOOKUP(A17,ID_Lookup!A:A,1,FALSE)</f>
        <v>J515</v>
      </c>
    </row>
    <row r="18" spans="1:8" hidden="1" x14ac:dyDescent="0.35">
      <c r="A18" t="s">
        <v>34</v>
      </c>
      <c r="B18">
        <v>2019</v>
      </c>
      <c r="C18" t="s">
        <v>35</v>
      </c>
      <c r="D18" t="s">
        <v>130</v>
      </c>
      <c r="E18" s="4" t="s">
        <v>112</v>
      </c>
      <c r="F18" s="5" t="s">
        <v>223</v>
      </c>
      <c r="G18" t="b">
        <f t="shared" si="0"/>
        <v>1</v>
      </c>
      <c r="H18" t="e">
        <f>VLOOKUP(A18,ID_Lookup!A:A,1,FALSE)</f>
        <v>#N/A</v>
      </c>
    </row>
    <row r="19" spans="1:8" s="2" customFormat="1" hidden="1" x14ac:dyDescent="0.35">
      <c r="A19" t="s">
        <v>36</v>
      </c>
      <c r="B19">
        <v>2019</v>
      </c>
      <c r="C19" t="s">
        <v>37</v>
      </c>
      <c r="D19" t="s">
        <v>131</v>
      </c>
      <c r="E19" s="4" t="s">
        <v>112</v>
      </c>
      <c r="F19" s="5" t="s">
        <v>223</v>
      </c>
      <c r="G19" s="2" t="b">
        <f t="shared" si="0"/>
        <v>1</v>
      </c>
      <c r="H19" t="e">
        <f>VLOOKUP(A19,ID_Lookup!A:A,1,FALSE)</f>
        <v>#N/A</v>
      </c>
    </row>
    <row r="20" spans="1:8" hidden="1" x14ac:dyDescent="0.35">
      <c r="A20" t="s">
        <v>38</v>
      </c>
      <c r="B20">
        <v>2019</v>
      </c>
      <c r="C20" t="s">
        <v>39</v>
      </c>
      <c r="D20" t="s">
        <v>132</v>
      </c>
      <c r="E20" s="4" t="s">
        <v>112</v>
      </c>
      <c r="F20" s="5" t="s">
        <v>224</v>
      </c>
      <c r="G20" t="b">
        <f t="shared" si="0"/>
        <v>1</v>
      </c>
      <c r="H20" t="e">
        <f>VLOOKUP(A20,ID_Lookup!A:A,1,FALSE)</f>
        <v>#N/A</v>
      </c>
    </row>
    <row r="21" spans="1:8" hidden="1" x14ac:dyDescent="0.35">
      <c r="A21" t="s">
        <v>40</v>
      </c>
      <c r="B21">
        <v>2019</v>
      </c>
      <c r="C21" t="s">
        <v>41</v>
      </c>
      <c r="D21" t="s">
        <v>133</v>
      </c>
      <c r="E21" s="4" t="s">
        <v>112</v>
      </c>
      <c r="F21" s="5" t="s">
        <v>223</v>
      </c>
      <c r="G21" t="b">
        <f t="shared" si="0"/>
        <v>1</v>
      </c>
      <c r="H21" t="e">
        <f>VLOOKUP(A21,ID_Lookup!A:A,1,FALSE)</f>
        <v>#N/A</v>
      </c>
    </row>
    <row r="22" spans="1:8" x14ac:dyDescent="0.35">
      <c r="A22" t="s">
        <v>42</v>
      </c>
      <c r="B22">
        <v>2019</v>
      </c>
      <c r="C22" t="s">
        <v>43</v>
      </c>
      <c r="D22" t="s">
        <v>44</v>
      </c>
      <c r="E22" s="4" t="s">
        <v>112</v>
      </c>
      <c r="F22" s="5" t="s">
        <v>223</v>
      </c>
      <c r="G22" t="b">
        <f t="shared" si="0"/>
        <v>1</v>
      </c>
      <c r="H22" t="str">
        <f>VLOOKUP(A22,ID_Lookup!A:A,1,FALSE)</f>
        <v>J520</v>
      </c>
    </row>
    <row r="23" spans="1:8" x14ac:dyDescent="0.35">
      <c r="A23" t="s">
        <v>45</v>
      </c>
      <c r="B23">
        <v>2019</v>
      </c>
      <c r="C23" t="s">
        <v>46</v>
      </c>
      <c r="D23" t="s">
        <v>134</v>
      </c>
      <c r="E23" s="4" t="s">
        <v>112</v>
      </c>
      <c r="F23" s="5" t="s">
        <v>223</v>
      </c>
      <c r="G23" t="b">
        <f t="shared" si="0"/>
        <v>1</v>
      </c>
      <c r="H23" t="str">
        <f>VLOOKUP(A23,ID_Lookup!A:A,1,FALSE)</f>
        <v>J521</v>
      </c>
    </row>
    <row r="24" spans="1:8" x14ac:dyDescent="0.35">
      <c r="A24" t="s">
        <v>47</v>
      </c>
      <c r="B24">
        <v>2019</v>
      </c>
      <c r="C24" t="s">
        <v>48</v>
      </c>
      <c r="D24" t="s">
        <v>135</v>
      </c>
      <c r="E24" s="4" t="s">
        <v>112</v>
      </c>
      <c r="F24" s="5" t="s">
        <v>223</v>
      </c>
      <c r="G24" t="b">
        <f t="shared" si="0"/>
        <v>1</v>
      </c>
      <c r="H24" t="str">
        <f>VLOOKUP(A24,ID_Lookup!A:A,1,FALSE)</f>
        <v>J522</v>
      </c>
    </row>
    <row r="25" spans="1:8" x14ac:dyDescent="0.35">
      <c r="A25" t="s">
        <v>49</v>
      </c>
      <c r="B25">
        <v>2019</v>
      </c>
      <c r="C25" t="s">
        <v>136</v>
      </c>
      <c r="D25" t="s">
        <v>137</v>
      </c>
      <c r="E25" s="4" t="s">
        <v>112</v>
      </c>
      <c r="F25" s="5" t="s">
        <v>228</v>
      </c>
      <c r="G25" t="b">
        <f t="shared" si="0"/>
        <v>1</v>
      </c>
      <c r="H25" t="str">
        <f>VLOOKUP(A25,ID_Lookup!A:A,1,FALSE)</f>
        <v>J523</v>
      </c>
    </row>
    <row r="26" spans="1:8" x14ac:dyDescent="0.35">
      <c r="A26" t="s">
        <v>50</v>
      </c>
      <c r="B26">
        <v>2019</v>
      </c>
      <c r="C26" t="s">
        <v>138</v>
      </c>
      <c r="D26" t="s">
        <v>139</v>
      </c>
      <c r="E26" s="4" t="s">
        <v>112</v>
      </c>
      <c r="F26" s="5" t="s">
        <v>225</v>
      </c>
      <c r="G26" t="b">
        <f t="shared" si="0"/>
        <v>1</v>
      </c>
      <c r="H26" t="str">
        <f>VLOOKUP(A26,ID_Lookup!A:A,1,FALSE)</f>
        <v>J524</v>
      </c>
    </row>
    <row r="27" spans="1:8" hidden="1" x14ac:dyDescent="0.35">
      <c r="A27" t="s">
        <v>51</v>
      </c>
      <c r="B27">
        <v>2019</v>
      </c>
      <c r="C27" t="s">
        <v>52</v>
      </c>
      <c r="D27" t="s">
        <v>53</v>
      </c>
      <c r="E27" s="7" t="s">
        <v>173</v>
      </c>
      <c r="F27" s="5" t="s">
        <v>229</v>
      </c>
      <c r="G27" t="b">
        <f t="shared" si="0"/>
        <v>0</v>
      </c>
      <c r="H27" t="e">
        <f>VLOOKUP(A27,ID_Lookup!A:A,1,FALSE)</f>
        <v>#N/A</v>
      </c>
    </row>
    <row r="28" spans="1:8" hidden="1" x14ac:dyDescent="0.35">
      <c r="A28" t="s">
        <v>54</v>
      </c>
      <c r="B28">
        <v>2019</v>
      </c>
      <c r="C28" t="s">
        <v>55</v>
      </c>
      <c r="D28" t="s">
        <v>56</v>
      </c>
      <c r="E28" s="7" t="s">
        <v>173</v>
      </c>
      <c r="F28" s="5" t="s">
        <v>230</v>
      </c>
      <c r="G28" t="b">
        <f t="shared" si="0"/>
        <v>0</v>
      </c>
      <c r="H28" t="e">
        <f>VLOOKUP(A28,ID_Lookup!A:A,1,FALSE)</f>
        <v>#N/A</v>
      </c>
    </row>
    <row r="29" spans="1:8" x14ac:dyDescent="0.35">
      <c r="A29" t="s">
        <v>57</v>
      </c>
      <c r="B29">
        <v>2019</v>
      </c>
      <c r="C29" t="s">
        <v>58</v>
      </c>
      <c r="D29" t="s">
        <v>140</v>
      </c>
      <c r="E29" s="4" t="s">
        <v>112</v>
      </c>
      <c r="F29" s="5" t="s">
        <v>225</v>
      </c>
      <c r="G29" t="b">
        <f t="shared" si="0"/>
        <v>1</v>
      </c>
      <c r="H29" t="str">
        <f>VLOOKUP(A29,ID_Lookup!A:A,1,FALSE)</f>
        <v>J527</v>
      </c>
    </row>
    <row r="30" spans="1:8" hidden="1" x14ac:dyDescent="0.35">
      <c r="A30" t="s">
        <v>59</v>
      </c>
      <c r="B30">
        <v>2019</v>
      </c>
      <c r="C30" t="s">
        <v>141</v>
      </c>
      <c r="D30" t="s">
        <v>142</v>
      </c>
      <c r="E30" s="4" t="s">
        <v>112</v>
      </c>
      <c r="F30" s="5" t="s">
        <v>223</v>
      </c>
      <c r="G30" t="b">
        <f t="shared" si="0"/>
        <v>1</v>
      </c>
      <c r="H30" t="e">
        <f>VLOOKUP(A30,ID_Lookup!A:A,1,FALSE)</f>
        <v>#N/A</v>
      </c>
    </row>
    <row r="31" spans="1:8" x14ac:dyDescent="0.35">
      <c r="A31" t="s">
        <v>60</v>
      </c>
      <c r="B31">
        <v>2019</v>
      </c>
      <c r="C31" t="s">
        <v>61</v>
      </c>
      <c r="D31" t="s">
        <v>143</v>
      </c>
      <c r="E31" s="4" t="s">
        <v>112</v>
      </c>
      <c r="F31" s="5" t="s">
        <v>223</v>
      </c>
      <c r="G31" t="b">
        <f t="shared" si="0"/>
        <v>1</v>
      </c>
      <c r="H31" t="str">
        <f>VLOOKUP(A31,ID_Lookup!A:A,1,FALSE)</f>
        <v>J529</v>
      </c>
    </row>
    <row r="32" spans="1:8" x14ac:dyDescent="0.35">
      <c r="A32" t="s">
        <v>62</v>
      </c>
      <c r="B32">
        <v>2019</v>
      </c>
      <c r="C32" t="s">
        <v>63</v>
      </c>
      <c r="D32" t="s">
        <v>144</v>
      </c>
      <c r="E32" s="4" t="s">
        <v>112</v>
      </c>
      <c r="F32" s="5" t="s">
        <v>225</v>
      </c>
      <c r="G32" t="b">
        <f t="shared" si="0"/>
        <v>1</v>
      </c>
      <c r="H32" t="str">
        <f>VLOOKUP(A32,ID_Lookup!A:A,1,FALSE)</f>
        <v>J530</v>
      </c>
    </row>
    <row r="33" spans="1:8" hidden="1" x14ac:dyDescent="0.35">
      <c r="A33" t="s">
        <v>64</v>
      </c>
      <c r="B33">
        <v>2019</v>
      </c>
      <c r="C33" t="s">
        <v>65</v>
      </c>
      <c r="D33" t="s">
        <v>145</v>
      </c>
      <c r="E33" s="7" t="s">
        <v>173</v>
      </c>
      <c r="F33" s="5" t="s">
        <v>229</v>
      </c>
      <c r="G33" t="b">
        <f t="shared" si="0"/>
        <v>0</v>
      </c>
      <c r="H33" t="e">
        <f>VLOOKUP(A33,ID_Lookup!A:A,1,FALSE)</f>
        <v>#N/A</v>
      </c>
    </row>
    <row r="34" spans="1:8" hidden="1" x14ac:dyDescent="0.35">
      <c r="A34" t="s">
        <v>66</v>
      </c>
      <c r="B34">
        <v>2019</v>
      </c>
      <c r="C34" t="s">
        <v>67</v>
      </c>
      <c r="D34" t="s">
        <v>68</v>
      </c>
      <c r="E34" s="7" t="s">
        <v>173</v>
      </c>
      <c r="F34" s="5" t="s">
        <v>231</v>
      </c>
      <c r="G34" t="b">
        <f t="shared" si="0"/>
        <v>0</v>
      </c>
      <c r="H34" t="e">
        <f>VLOOKUP(A34,ID_Lookup!A:A,1,FALSE)</f>
        <v>#N/A</v>
      </c>
    </row>
    <row r="35" spans="1:8" hidden="1" x14ac:dyDescent="0.35">
      <c r="A35" t="s">
        <v>69</v>
      </c>
      <c r="B35">
        <v>2019</v>
      </c>
      <c r="C35" t="s">
        <v>70</v>
      </c>
      <c r="D35" t="s">
        <v>146</v>
      </c>
      <c r="E35" s="7" t="s">
        <v>173</v>
      </c>
      <c r="F35" s="5" t="s">
        <v>221</v>
      </c>
      <c r="G35" t="b">
        <f t="shared" si="0"/>
        <v>0</v>
      </c>
      <c r="H35" t="e">
        <f>VLOOKUP(A35,ID_Lookup!A:A,1,FALSE)</f>
        <v>#N/A</v>
      </c>
    </row>
    <row r="36" spans="1:8" ht="409.5" x14ac:dyDescent="0.35">
      <c r="A36" t="s">
        <v>71</v>
      </c>
      <c r="B36">
        <v>2019</v>
      </c>
      <c r="C36" t="s">
        <v>72</v>
      </c>
      <c r="D36" s="1" t="s">
        <v>73</v>
      </c>
      <c r="E36" s="4" t="s">
        <v>112</v>
      </c>
      <c r="F36" s="5" t="s">
        <v>225</v>
      </c>
      <c r="G36" t="b">
        <f t="shared" si="0"/>
        <v>1</v>
      </c>
      <c r="H36" t="str">
        <f>VLOOKUP(A36,ID_Lookup!A:A,1,FALSE)</f>
        <v>J534</v>
      </c>
    </row>
    <row r="37" spans="1:8" x14ac:dyDescent="0.35">
      <c r="A37" t="s">
        <v>74</v>
      </c>
      <c r="B37">
        <v>2019</v>
      </c>
      <c r="C37" t="s">
        <v>75</v>
      </c>
      <c r="D37" t="s">
        <v>147</v>
      </c>
      <c r="E37" s="4" t="s">
        <v>112</v>
      </c>
      <c r="F37" s="5" t="s">
        <v>225</v>
      </c>
      <c r="G37" t="b">
        <f t="shared" si="0"/>
        <v>1</v>
      </c>
      <c r="H37" t="str">
        <f>VLOOKUP(A37,ID_Lookup!A:A,1,FALSE)</f>
        <v>J535</v>
      </c>
    </row>
    <row r="38" spans="1:8" x14ac:dyDescent="0.35">
      <c r="A38" t="s">
        <v>76</v>
      </c>
      <c r="B38">
        <v>2019</v>
      </c>
      <c r="C38" t="s">
        <v>77</v>
      </c>
      <c r="D38" t="s">
        <v>148</v>
      </c>
      <c r="E38" s="4" t="s">
        <v>112</v>
      </c>
      <c r="F38" s="5" t="s">
        <v>223</v>
      </c>
      <c r="G38" t="b">
        <f t="shared" si="0"/>
        <v>1</v>
      </c>
      <c r="H38" t="str">
        <f>VLOOKUP(A38,ID_Lookup!A:A,1,FALSE)</f>
        <v>J536</v>
      </c>
    </row>
    <row r="39" spans="1:8" x14ac:dyDescent="0.35">
      <c r="A39" t="s">
        <v>78</v>
      </c>
      <c r="B39">
        <v>2019</v>
      </c>
      <c r="C39" t="s">
        <v>79</v>
      </c>
      <c r="D39" t="s">
        <v>149</v>
      </c>
      <c r="E39" s="4" t="s">
        <v>112</v>
      </c>
      <c r="F39" s="5" t="s">
        <v>223</v>
      </c>
      <c r="G39" t="b">
        <f t="shared" si="0"/>
        <v>1</v>
      </c>
      <c r="H39" t="str">
        <f>VLOOKUP(A39,ID_Lookup!A:A,1,FALSE)</f>
        <v>J537</v>
      </c>
    </row>
    <row r="40" spans="1:8" hidden="1" x14ac:dyDescent="0.35">
      <c r="A40" t="s">
        <v>80</v>
      </c>
      <c r="B40">
        <v>2019</v>
      </c>
      <c r="C40" t="s">
        <v>81</v>
      </c>
      <c r="D40" t="s">
        <v>150</v>
      </c>
      <c r="E40" s="7" t="s">
        <v>173</v>
      </c>
      <c r="F40" s="5" t="s">
        <v>232</v>
      </c>
      <c r="G40" t="b">
        <f t="shared" si="0"/>
        <v>0</v>
      </c>
      <c r="H40" t="e">
        <f>VLOOKUP(A40,ID_Lookup!A:A,1,FALSE)</f>
        <v>#N/A</v>
      </c>
    </row>
    <row r="41" spans="1:8" hidden="1" x14ac:dyDescent="0.35">
      <c r="A41" t="s">
        <v>82</v>
      </c>
      <c r="B41">
        <v>2019</v>
      </c>
      <c r="C41" t="s">
        <v>151</v>
      </c>
      <c r="D41" t="s">
        <v>152</v>
      </c>
      <c r="E41" s="7" t="s">
        <v>173</v>
      </c>
      <c r="F41" s="5" t="s">
        <v>232</v>
      </c>
      <c r="G41" t="b">
        <f t="shared" si="0"/>
        <v>0</v>
      </c>
      <c r="H41" t="e">
        <f>VLOOKUP(A41,ID_Lookup!A:A,1,FALSE)</f>
        <v>#N/A</v>
      </c>
    </row>
    <row r="42" spans="1:8" x14ac:dyDescent="0.35">
      <c r="A42" t="s">
        <v>83</v>
      </c>
      <c r="B42">
        <v>2019</v>
      </c>
      <c r="C42" t="s">
        <v>84</v>
      </c>
      <c r="D42" t="s">
        <v>153</v>
      </c>
      <c r="E42" s="7" t="s">
        <v>173</v>
      </c>
      <c r="F42" s="5" t="s">
        <v>232</v>
      </c>
      <c r="G42" t="b">
        <f t="shared" si="0"/>
        <v>0</v>
      </c>
      <c r="H42" t="str">
        <f>VLOOKUP(A42,ID_Lookup!A:A,1,FALSE)</f>
        <v>J540</v>
      </c>
    </row>
    <row r="43" spans="1:8" ht="409.5" x14ac:dyDescent="0.35">
      <c r="A43" t="s">
        <v>85</v>
      </c>
      <c r="B43">
        <v>2019</v>
      </c>
      <c r="C43" t="s">
        <v>86</v>
      </c>
      <c r="D43" s="1" t="s">
        <v>87</v>
      </c>
      <c r="E43" s="4" t="s">
        <v>112</v>
      </c>
      <c r="F43" s="5" t="s">
        <v>223</v>
      </c>
      <c r="G43" t="b">
        <f t="shared" si="0"/>
        <v>1</v>
      </c>
      <c r="H43" t="str">
        <f>VLOOKUP(A43,ID_Lookup!A:A,1,FALSE)</f>
        <v>J541</v>
      </c>
    </row>
    <row r="44" spans="1:8" hidden="1" x14ac:dyDescent="0.35">
      <c r="A44" t="s">
        <v>88</v>
      </c>
      <c r="B44">
        <v>2019</v>
      </c>
      <c r="C44" t="s">
        <v>154</v>
      </c>
      <c r="D44" t="s">
        <v>155</v>
      </c>
      <c r="E44" s="4" t="s">
        <v>112</v>
      </c>
      <c r="F44" s="5" t="s">
        <v>225</v>
      </c>
      <c r="G44" t="b">
        <f t="shared" si="0"/>
        <v>1</v>
      </c>
      <c r="H44" t="e">
        <f>VLOOKUP(A44,ID_Lookup!A:A,1,FALSE)</f>
        <v>#N/A</v>
      </c>
    </row>
    <row r="45" spans="1:8" hidden="1" x14ac:dyDescent="0.35">
      <c r="A45" t="s">
        <v>89</v>
      </c>
      <c r="B45">
        <v>2019</v>
      </c>
      <c r="C45" t="s">
        <v>90</v>
      </c>
      <c r="D45" t="s">
        <v>156</v>
      </c>
      <c r="E45" s="7" t="s">
        <v>173</v>
      </c>
      <c r="F45" s="5" t="s">
        <v>233</v>
      </c>
      <c r="G45" t="b">
        <f t="shared" si="0"/>
        <v>0</v>
      </c>
      <c r="H45" t="e">
        <f>VLOOKUP(A45,ID_Lookup!A:A,1,FALSE)</f>
        <v>#N/A</v>
      </c>
    </row>
    <row r="46" spans="1:8" x14ac:dyDescent="0.35">
      <c r="A46" t="s">
        <v>91</v>
      </c>
      <c r="B46">
        <v>2019</v>
      </c>
      <c r="C46" t="s">
        <v>92</v>
      </c>
      <c r="D46" t="s">
        <v>93</v>
      </c>
      <c r="E46" s="7" t="s">
        <v>173</v>
      </c>
      <c r="F46" s="5" t="s">
        <v>234</v>
      </c>
      <c r="G46" t="b">
        <f t="shared" si="0"/>
        <v>0</v>
      </c>
      <c r="H46" t="str">
        <f>VLOOKUP(A46,ID_Lookup!A:A,1,FALSE)</f>
        <v>J544</v>
      </c>
    </row>
    <row r="47" spans="1:8" x14ac:dyDescent="0.35">
      <c r="A47" t="s">
        <v>94</v>
      </c>
      <c r="B47">
        <v>2019</v>
      </c>
      <c r="C47" t="s">
        <v>95</v>
      </c>
      <c r="D47" t="s">
        <v>96</v>
      </c>
      <c r="E47" s="4" t="s">
        <v>112</v>
      </c>
      <c r="F47" s="4" t="s">
        <v>222</v>
      </c>
      <c r="G47" t="b">
        <f t="shared" si="0"/>
        <v>1</v>
      </c>
      <c r="H47" t="str">
        <f>VLOOKUP(A47,ID_Lookup!A:A,1,FALSE)</f>
        <v>J545</v>
      </c>
    </row>
    <row r="48" spans="1:8" hidden="1" x14ac:dyDescent="0.35">
      <c r="A48" t="s">
        <v>97</v>
      </c>
      <c r="B48">
        <v>2019</v>
      </c>
      <c r="C48" t="s">
        <v>98</v>
      </c>
      <c r="D48" t="s">
        <v>157</v>
      </c>
      <c r="E48" s="7" t="s">
        <v>173</v>
      </c>
      <c r="F48" s="5" t="s">
        <v>233</v>
      </c>
      <c r="G48" t="b">
        <f t="shared" si="0"/>
        <v>0</v>
      </c>
      <c r="H48" t="e">
        <f>VLOOKUP(A48,ID_Lookup!A:A,1,FALSE)</f>
        <v>#N/A</v>
      </c>
    </row>
    <row r="49" spans="1:8" x14ac:dyDescent="0.35">
      <c r="A49" t="s">
        <v>99</v>
      </c>
      <c r="B49">
        <v>2019</v>
      </c>
      <c r="C49" t="s">
        <v>100</v>
      </c>
      <c r="D49" t="s">
        <v>101</v>
      </c>
      <c r="E49" s="4" t="s">
        <v>112</v>
      </c>
      <c r="F49" s="5" t="s">
        <v>223</v>
      </c>
      <c r="G49" t="b">
        <f t="shared" si="0"/>
        <v>1</v>
      </c>
      <c r="H49" t="str">
        <f>VLOOKUP(A49,ID_Lookup!A:A,1,FALSE)</f>
        <v>J547</v>
      </c>
    </row>
    <row r="50" spans="1:8" hidden="1" x14ac:dyDescent="0.35">
      <c r="A50" t="s">
        <v>102</v>
      </c>
      <c r="B50">
        <v>2019</v>
      </c>
      <c r="C50" t="s">
        <v>158</v>
      </c>
      <c r="D50" t="s">
        <v>159</v>
      </c>
      <c r="E50" s="7" t="s">
        <v>173</v>
      </c>
      <c r="F50" s="5" t="s">
        <v>232</v>
      </c>
      <c r="G50" t="b">
        <f t="shared" si="0"/>
        <v>0</v>
      </c>
      <c r="H50" t="e">
        <f>VLOOKUP(A50,ID_Lookup!A:A,1,FALSE)</f>
        <v>#N/A</v>
      </c>
    </row>
    <row r="51" spans="1:8" x14ac:dyDescent="0.35">
      <c r="A51" t="s">
        <v>103</v>
      </c>
      <c r="B51">
        <v>2019</v>
      </c>
      <c r="C51" t="s">
        <v>104</v>
      </c>
      <c r="D51" t="s">
        <v>105</v>
      </c>
      <c r="E51" s="4" t="s">
        <v>112</v>
      </c>
      <c r="F51" s="5" t="s">
        <v>223</v>
      </c>
      <c r="G51" t="b">
        <f t="shared" si="0"/>
        <v>1</v>
      </c>
      <c r="H51" t="str">
        <f>VLOOKUP(A51,ID_Lookup!A:A,1,FALSE)</f>
        <v>J549</v>
      </c>
    </row>
    <row r="52" spans="1:8" x14ac:dyDescent="0.35">
      <c r="A52" t="s">
        <v>106</v>
      </c>
      <c r="B52">
        <v>2019</v>
      </c>
      <c r="C52" t="s">
        <v>107</v>
      </c>
      <c r="D52" t="s">
        <v>160</v>
      </c>
      <c r="E52" s="4" t="s">
        <v>112</v>
      </c>
      <c r="F52" s="5" t="s">
        <v>235</v>
      </c>
      <c r="G52" t="b">
        <f t="shared" si="0"/>
        <v>1</v>
      </c>
      <c r="H52" t="str">
        <f>VLOOKUP(A52,ID_Lookup!A:A,1,FALSE)</f>
        <v>J550</v>
      </c>
    </row>
  </sheetData>
  <autoFilter ref="A1:H52" xr:uid="{5D3E4052-2545-45A0-857B-B79114EE9774}">
    <filterColumn colId="7">
      <filters>
        <filter val="J502"/>
        <filter val="J503"/>
        <filter val="J504"/>
        <filter val="J505"/>
        <filter val="J508"/>
        <filter val="J509"/>
        <filter val="J510"/>
        <filter val="J511"/>
        <filter val="J512"/>
        <filter val="J514"/>
        <filter val="J515"/>
        <filter val="J520"/>
        <filter val="J521"/>
        <filter val="J522"/>
        <filter val="J523"/>
        <filter val="J524"/>
        <filter val="J527"/>
        <filter val="J529"/>
        <filter val="J530"/>
        <filter val="J534"/>
        <filter val="J535"/>
        <filter val="J536"/>
        <filter val="J537"/>
        <filter val="J540"/>
        <filter val="J541"/>
        <filter val="J544"/>
        <filter val="J545"/>
        <filter val="J547"/>
        <filter val="J549"/>
        <filter val="J550"/>
      </filters>
    </filterColumn>
  </autoFilter>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5A4A9-643F-403F-8F39-91437DA8F632}">
  <sheetPr filterMode="1"/>
  <dimension ref="A1:N31"/>
  <sheetViews>
    <sheetView workbookViewId="0">
      <selection sqref="A1:XFD31"/>
    </sheetView>
  </sheetViews>
  <sheetFormatPr defaultRowHeight="14.5" x14ac:dyDescent="0.35"/>
  <sheetData>
    <row r="1" spans="1:14" ht="18.5" customHeight="1" thickBot="1" x14ac:dyDescent="0.4">
      <c r="A1" t="s">
        <v>0</v>
      </c>
      <c r="B1" t="s">
        <v>1</v>
      </c>
      <c r="C1" t="s">
        <v>2</v>
      </c>
      <c r="D1" t="s">
        <v>3</v>
      </c>
      <c r="E1" t="s">
        <v>201</v>
      </c>
      <c r="F1" t="s">
        <v>202</v>
      </c>
      <c r="G1" t="s">
        <v>203</v>
      </c>
      <c r="H1" t="s">
        <v>204</v>
      </c>
      <c r="I1" t="s">
        <v>205</v>
      </c>
      <c r="J1" t="s">
        <v>206</v>
      </c>
      <c r="K1" t="s">
        <v>207</v>
      </c>
      <c r="L1" s="8" t="s">
        <v>109</v>
      </c>
      <c r="M1" s="9" t="s">
        <v>110</v>
      </c>
      <c r="N1" t="s">
        <v>236</v>
      </c>
    </row>
    <row r="2" spans="1:14" hidden="1" x14ac:dyDescent="0.35">
      <c r="A2" t="s">
        <v>8</v>
      </c>
      <c r="B2">
        <v>2019</v>
      </c>
      <c r="C2" t="s">
        <v>9</v>
      </c>
      <c r="D2" t="s">
        <v>175</v>
      </c>
      <c r="E2" t="b">
        <v>1</v>
      </c>
      <c r="F2" t="s">
        <v>208</v>
      </c>
      <c r="G2" t="b">
        <v>1</v>
      </c>
      <c r="H2" t="s">
        <v>209</v>
      </c>
      <c r="I2" t="b">
        <v>1</v>
      </c>
      <c r="J2" t="s">
        <v>210</v>
      </c>
      <c r="K2">
        <v>0.95</v>
      </c>
      <c r="L2" s="4" t="s">
        <v>112</v>
      </c>
      <c r="M2" s="5" t="s">
        <v>223</v>
      </c>
      <c r="N2" t="b">
        <v>1</v>
      </c>
    </row>
    <row r="3" spans="1:14" hidden="1" x14ac:dyDescent="0.35">
      <c r="A3" t="s">
        <v>10</v>
      </c>
      <c r="B3">
        <v>2019</v>
      </c>
      <c r="C3" t="s">
        <v>11</v>
      </c>
      <c r="D3" t="s">
        <v>186</v>
      </c>
      <c r="E3" t="b">
        <v>1</v>
      </c>
      <c r="F3" t="s">
        <v>211</v>
      </c>
      <c r="G3" t="b">
        <v>1</v>
      </c>
      <c r="H3" t="s">
        <v>212</v>
      </c>
      <c r="I3" t="b">
        <v>1</v>
      </c>
      <c r="J3" t="s">
        <v>237</v>
      </c>
      <c r="K3">
        <v>0.95</v>
      </c>
      <c r="L3" s="4" t="s">
        <v>112</v>
      </c>
      <c r="M3" s="5" t="s">
        <v>223</v>
      </c>
      <c r="N3" t="b">
        <v>1</v>
      </c>
    </row>
    <row r="4" spans="1:14" hidden="1" x14ac:dyDescent="0.35">
      <c r="A4" t="s">
        <v>12</v>
      </c>
      <c r="B4">
        <v>2019</v>
      </c>
      <c r="C4" t="s">
        <v>13</v>
      </c>
      <c r="D4" t="s">
        <v>176</v>
      </c>
      <c r="E4" t="b">
        <v>1</v>
      </c>
      <c r="F4" t="s">
        <v>238</v>
      </c>
      <c r="G4" t="b">
        <v>1</v>
      </c>
      <c r="H4" t="s">
        <v>213</v>
      </c>
      <c r="I4" t="b">
        <v>1</v>
      </c>
      <c r="J4" t="s">
        <v>239</v>
      </c>
      <c r="K4">
        <v>0.95</v>
      </c>
      <c r="L4" s="4" t="s">
        <v>112</v>
      </c>
      <c r="M4" s="5" t="s">
        <v>223</v>
      </c>
      <c r="N4" t="b">
        <v>1</v>
      </c>
    </row>
    <row r="5" spans="1:14" hidden="1" x14ac:dyDescent="0.35">
      <c r="A5" t="s">
        <v>14</v>
      </c>
      <c r="B5">
        <v>2019</v>
      </c>
      <c r="C5" t="s">
        <v>15</v>
      </c>
      <c r="D5" t="s">
        <v>187</v>
      </c>
      <c r="E5" t="b">
        <v>1</v>
      </c>
      <c r="F5" t="s">
        <v>240</v>
      </c>
      <c r="G5" t="b">
        <v>1</v>
      </c>
      <c r="H5" t="s">
        <v>214</v>
      </c>
      <c r="I5" t="b">
        <v>1</v>
      </c>
      <c r="J5" t="s">
        <v>241</v>
      </c>
      <c r="K5">
        <v>0.95</v>
      </c>
      <c r="L5" s="4" t="s">
        <v>112</v>
      </c>
      <c r="M5" s="5" t="s">
        <v>223</v>
      </c>
      <c r="N5" t="b">
        <v>1</v>
      </c>
    </row>
    <row r="6" spans="1:14" hidden="1" x14ac:dyDescent="0.35">
      <c r="A6" t="s">
        <v>19</v>
      </c>
      <c r="B6">
        <v>2019</v>
      </c>
      <c r="C6" t="s">
        <v>20</v>
      </c>
      <c r="D6" t="s">
        <v>177</v>
      </c>
      <c r="E6" t="b">
        <v>1</v>
      </c>
      <c r="F6" t="s">
        <v>242</v>
      </c>
      <c r="G6" t="b">
        <v>1</v>
      </c>
      <c r="H6" t="s">
        <v>212</v>
      </c>
      <c r="I6" t="b">
        <v>1</v>
      </c>
      <c r="J6" t="s">
        <v>210</v>
      </c>
      <c r="K6">
        <v>0.95</v>
      </c>
      <c r="L6" s="4" t="s">
        <v>112</v>
      </c>
      <c r="M6" s="5" t="s">
        <v>223</v>
      </c>
      <c r="N6" t="b">
        <v>1</v>
      </c>
    </row>
    <row r="7" spans="1:14" hidden="1" x14ac:dyDescent="0.35">
      <c r="A7" t="s">
        <v>21</v>
      </c>
      <c r="B7">
        <v>2019</v>
      </c>
      <c r="C7" t="s">
        <v>22</v>
      </c>
      <c r="D7" t="s">
        <v>178</v>
      </c>
      <c r="E7" t="b">
        <v>1</v>
      </c>
      <c r="F7" t="s">
        <v>243</v>
      </c>
      <c r="G7" t="b">
        <v>1</v>
      </c>
      <c r="H7" t="s">
        <v>213</v>
      </c>
      <c r="I7" t="b">
        <v>1</v>
      </c>
      <c r="J7" t="s">
        <v>244</v>
      </c>
      <c r="K7">
        <v>0.95</v>
      </c>
      <c r="L7" s="4" t="s">
        <v>112</v>
      </c>
      <c r="M7" s="5" t="s">
        <v>223</v>
      </c>
      <c r="N7" t="b">
        <v>1</v>
      </c>
    </row>
    <row r="8" spans="1:14" hidden="1" x14ac:dyDescent="0.35">
      <c r="A8" t="s">
        <v>23</v>
      </c>
      <c r="B8">
        <v>2019</v>
      </c>
      <c r="C8" t="s">
        <v>189</v>
      </c>
      <c r="D8" t="s">
        <v>190</v>
      </c>
      <c r="E8" t="b">
        <v>1</v>
      </c>
      <c r="F8" t="s">
        <v>245</v>
      </c>
      <c r="G8" t="b">
        <v>1</v>
      </c>
      <c r="H8" t="s">
        <v>213</v>
      </c>
      <c r="I8" t="b">
        <v>1</v>
      </c>
      <c r="J8" t="s">
        <v>246</v>
      </c>
      <c r="K8">
        <v>0.95</v>
      </c>
      <c r="L8" s="4" t="s">
        <v>112</v>
      </c>
      <c r="M8" s="5" t="s">
        <v>226</v>
      </c>
      <c r="N8" t="b">
        <v>1</v>
      </c>
    </row>
    <row r="9" spans="1:14" hidden="1" x14ac:dyDescent="0.35">
      <c r="A9" t="s">
        <v>24</v>
      </c>
      <c r="B9">
        <v>2019</v>
      </c>
      <c r="C9" t="s">
        <v>25</v>
      </c>
      <c r="D9" t="s">
        <v>26</v>
      </c>
      <c r="E9" t="b">
        <v>1</v>
      </c>
      <c r="F9" t="s">
        <v>247</v>
      </c>
      <c r="G9" t="b">
        <v>1</v>
      </c>
      <c r="H9" t="s">
        <v>213</v>
      </c>
      <c r="I9" t="b">
        <v>1</v>
      </c>
      <c r="J9" t="s">
        <v>246</v>
      </c>
      <c r="K9">
        <v>0.95</v>
      </c>
      <c r="L9" s="4" t="s">
        <v>112</v>
      </c>
      <c r="M9" s="5" t="s">
        <v>223</v>
      </c>
      <c r="N9" t="b">
        <v>1</v>
      </c>
    </row>
    <row r="10" spans="1:14" hidden="1" x14ac:dyDescent="0.35">
      <c r="A10" t="s">
        <v>27</v>
      </c>
      <c r="B10">
        <v>2019</v>
      </c>
      <c r="C10" t="s">
        <v>28</v>
      </c>
      <c r="D10" t="s">
        <v>29</v>
      </c>
      <c r="E10" t="b">
        <v>1</v>
      </c>
      <c r="F10" t="s">
        <v>248</v>
      </c>
      <c r="G10" t="b">
        <v>1</v>
      </c>
      <c r="H10" t="s">
        <v>213</v>
      </c>
      <c r="I10" t="b">
        <v>1</v>
      </c>
      <c r="J10" t="s">
        <v>246</v>
      </c>
      <c r="K10">
        <v>0.95</v>
      </c>
      <c r="L10" s="4" t="s">
        <v>112</v>
      </c>
      <c r="M10" s="6" t="s">
        <v>280</v>
      </c>
      <c r="N10" t="b">
        <v>1</v>
      </c>
    </row>
    <row r="11" spans="1:14" hidden="1" x14ac:dyDescent="0.35">
      <c r="A11" t="s">
        <v>31</v>
      </c>
      <c r="B11">
        <v>2019</v>
      </c>
      <c r="C11" t="s">
        <v>179</v>
      </c>
      <c r="D11" t="s">
        <v>180</v>
      </c>
      <c r="E11" t="b">
        <v>1</v>
      </c>
      <c r="F11" t="s">
        <v>217</v>
      </c>
      <c r="G11" t="b">
        <v>1</v>
      </c>
      <c r="H11" t="s">
        <v>213</v>
      </c>
      <c r="I11" t="b">
        <v>1</v>
      </c>
      <c r="J11" t="s">
        <v>216</v>
      </c>
      <c r="K11">
        <v>0.95</v>
      </c>
      <c r="L11" s="7" t="s">
        <v>173</v>
      </c>
      <c r="M11" s="5" t="s">
        <v>227</v>
      </c>
      <c r="N11" t="b">
        <v>0</v>
      </c>
    </row>
    <row r="12" spans="1:14" hidden="1" x14ac:dyDescent="0.35">
      <c r="A12" t="s">
        <v>32</v>
      </c>
      <c r="B12">
        <v>2019</v>
      </c>
      <c r="C12" t="s">
        <v>33</v>
      </c>
      <c r="D12" t="s">
        <v>181</v>
      </c>
      <c r="E12" t="b">
        <v>1</v>
      </c>
      <c r="F12" t="s">
        <v>249</v>
      </c>
      <c r="G12" t="b">
        <v>1</v>
      </c>
      <c r="H12" t="s">
        <v>213</v>
      </c>
      <c r="I12" t="b">
        <v>1</v>
      </c>
      <c r="J12" t="s">
        <v>250</v>
      </c>
      <c r="K12">
        <v>0.9</v>
      </c>
      <c r="L12" s="4" t="s">
        <v>112</v>
      </c>
      <c r="M12" s="5" t="s">
        <v>223</v>
      </c>
      <c r="N12" t="b">
        <v>1</v>
      </c>
    </row>
    <row r="13" spans="1:14" hidden="1" x14ac:dyDescent="0.35">
      <c r="A13" t="s">
        <v>42</v>
      </c>
      <c r="B13">
        <v>2019</v>
      </c>
      <c r="C13" t="s">
        <v>43</v>
      </c>
      <c r="D13" t="s">
        <v>44</v>
      </c>
      <c r="E13" t="b">
        <v>1</v>
      </c>
      <c r="F13" t="s">
        <v>251</v>
      </c>
      <c r="G13" t="b">
        <v>1</v>
      </c>
      <c r="H13" t="s">
        <v>213</v>
      </c>
      <c r="I13" t="b">
        <v>1</v>
      </c>
      <c r="J13" t="s">
        <v>219</v>
      </c>
      <c r="K13">
        <v>0.95</v>
      </c>
      <c r="L13" s="4" t="s">
        <v>112</v>
      </c>
      <c r="M13" s="5" t="s">
        <v>223</v>
      </c>
      <c r="N13" t="b">
        <v>1</v>
      </c>
    </row>
    <row r="14" spans="1:14" hidden="1" x14ac:dyDescent="0.35">
      <c r="A14" t="s">
        <v>45</v>
      </c>
      <c r="B14">
        <v>2019</v>
      </c>
      <c r="C14" t="s">
        <v>46</v>
      </c>
      <c r="D14" t="s">
        <v>182</v>
      </c>
      <c r="E14" t="b">
        <v>1</v>
      </c>
      <c r="F14" t="s">
        <v>252</v>
      </c>
      <c r="G14" t="b">
        <v>1</v>
      </c>
      <c r="H14" t="s">
        <v>213</v>
      </c>
      <c r="I14" t="b">
        <v>1</v>
      </c>
      <c r="J14" t="s">
        <v>253</v>
      </c>
      <c r="K14">
        <v>0.95</v>
      </c>
      <c r="L14" s="4" t="s">
        <v>112</v>
      </c>
      <c r="M14" s="5" t="s">
        <v>223</v>
      </c>
      <c r="N14" t="b">
        <v>1</v>
      </c>
    </row>
    <row r="15" spans="1:14" hidden="1" x14ac:dyDescent="0.35">
      <c r="A15" t="s">
        <v>47</v>
      </c>
      <c r="B15">
        <v>2019</v>
      </c>
      <c r="C15" t="s">
        <v>48</v>
      </c>
      <c r="D15" t="s">
        <v>183</v>
      </c>
      <c r="E15" t="b">
        <v>1</v>
      </c>
      <c r="F15" t="s">
        <v>254</v>
      </c>
      <c r="G15" t="b">
        <v>1</v>
      </c>
      <c r="H15" t="s">
        <v>213</v>
      </c>
      <c r="I15" t="b">
        <v>1</v>
      </c>
      <c r="J15" t="s">
        <v>255</v>
      </c>
      <c r="K15">
        <v>1</v>
      </c>
      <c r="L15" s="4" t="s">
        <v>112</v>
      </c>
      <c r="M15" s="5" t="s">
        <v>223</v>
      </c>
      <c r="N15" t="b">
        <v>1</v>
      </c>
    </row>
    <row r="16" spans="1:14" hidden="1" x14ac:dyDescent="0.35">
      <c r="A16" t="s">
        <v>49</v>
      </c>
      <c r="B16">
        <v>2019</v>
      </c>
      <c r="C16" t="s">
        <v>191</v>
      </c>
      <c r="D16" t="s">
        <v>192</v>
      </c>
      <c r="E16" t="b">
        <v>1</v>
      </c>
      <c r="F16" t="s">
        <v>256</v>
      </c>
      <c r="G16" t="b">
        <v>1</v>
      </c>
      <c r="H16" t="s">
        <v>212</v>
      </c>
      <c r="I16" t="b">
        <v>1</v>
      </c>
      <c r="J16" t="s">
        <v>215</v>
      </c>
      <c r="K16">
        <v>0.95</v>
      </c>
      <c r="L16" s="4" t="s">
        <v>112</v>
      </c>
      <c r="M16" s="5" t="s">
        <v>228</v>
      </c>
      <c r="N16" t="b">
        <v>1</v>
      </c>
    </row>
    <row r="17" spans="1:14" hidden="1" x14ac:dyDescent="0.35">
      <c r="A17" t="s">
        <v>50</v>
      </c>
      <c r="B17">
        <v>2019</v>
      </c>
      <c r="C17" t="s">
        <v>193</v>
      </c>
      <c r="D17" t="s">
        <v>194</v>
      </c>
      <c r="E17" t="b">
        <v>1</v>
      </c>
      <c r="F17" t="s">
        <v>257</v>
      </c>
      <c r="G17" t="b">
        <v>1</v>
      </c>
      <c r="H17" t="s">
        <v>212</v>
      </c>
      <c r="I17" t="b">
        <v>1</v>
      </c>
      <c r="J17" t="s">
        <v>216</v>
      </c>
      <c r="K17">
        <v>0.95</v>
      </c>
      <c r="L17" s="4" t="s">
        <v>112</v>
      </c>
      <c r="M17" s="5" t="s">
        <v>225</v>
      </c>
      <c r="N17" t="b">
        <v>1</v>
      </c>
    </row>
    <row r="18" spans="1:14" hidden="1" x14ac:dyDescent="0.35">
      <c r="A18" t="s">
        <v>57</v>
      </c>
      <c r="B18">
        <v>2019</v>
      </c>
      <c r="C18" t="s">
        <v>58</v>
      </c>
      <c r="D18" t="s">
        <v>195</v>
      </c>
      <c r="E18" t="b">
        <v>1</v>
      </c>
      <c r="F18" t="s">
        <v>258</v>
      </c>
      <c r="G18" t="b">
        <v>1</v>
      </c>
      <c r="H18" t="s">
        <v>212</v>
      </c>
      <c r="I18" t="b">
        <v>1</v>
      </c>
      <c r="J18" t="s">
        <v>259</v>
      </c>
      <c r="K18">
        <v>0.95</v>
      </c>
      <c r="L18" s="4" t="s">
        <v>112</v>
      </c>
      <c r="M18" s="5" t="s">
        <v>225</v>
      </c>
      <c r="N18" t="b">
        <v>1</v>
      </c>
    </row>
    <row r="19" spans="1:14" hidden="1" x14ac:dyDescent="0.35">
      <c r="A19" t="s">
        <v>60</v>
      </c>
      <c r="B19">
        <v>2019</v>
      </c>
      <c r="C19" t="s">
        <v>61</v>
      </c>
      <c r="D19" t="s">
        <v>196</v>
      </c>
      <c r="E19" t="b">
        <v>1</v>
      </c>
      <c r="F19" t="s">
        <v>260</v>
      </c>
      <c r="G19" t="b">
        <v>1</v>
      </c>
      <c r="H19" t="s">
        <v>213</v>
      </c>
      <c r="I19" t="b">
        <v>1</v>
      </c>
      <c r="J19" t="s">
        <v>261</v>
      </c>
      <c r="K19">
        <v>0.95</v>
      </c>
      <c r="L19" s="4" t="s">
        <v>112</v>
      </c>
      <c r="M19" s="5" t="s">
        <v>223</v>
      </c>
      <c r="N19" t="b">
        <v>1</v>
      </c>
    </row>
    <row r="20" spans="1:14" hidden="1" x14ac:dyDescent="0.35">
      <c r="A20" t="s">
        <v>62</v>
      </c>
      <c r="B20">
        <v>2019</v>
      </c>
      <c r="C20" t="s">
        <v>63</v>
      </c>
      <c r="D20" t="s">
        <v>197</v>
      </c>
      <c r="E20" t="b">
        <v>1</v>
      </c>
      <c r="F20" t="s">
        <v>218</v>
      </c>
      <c r="G20" t="b">
        <v>1</v>
      </c>
      <c r="H20" t="s">
        <v>213</v>
      </c>
      <c r="I20" t="b">
        <v>1</v>
      </c>
      <c r="J20" t="s">
        <v>262</v>
      </c>
      <c r="K20">
        <v>0.95</v>
      </c>
      <c r="L20" s="4" t="s">
        <v>112</v>
      </c>
      <c r="M20" s="5" t="s">
        <v>225</v>
      </c>
      <c r="N20" t="b">
        <v>1</v>
      </c>
    </row>
    <row r="21" spans="1:14" ht="23" customHeight="1" x14ac:dyDescent="0.35">
      <c r="A21" t="s">
        <v>71</v>
      </c>
      <c r="B21">
        <v>2019</v>
      </c>
      <c r="C21" t="s">
        <v>72</v>
      </c>
      <c r="D21" s="1" t="s">
        <v>73</v>
      </c>
      <c r="E21" t="b">
        <v>0</v>
      </c>
      <c r="F21" t="s">
        <v>263</v>
      </c>
      <c r="G21" t="b">
        <v>0</v>
      </c>
      <c r="H21" t="s">
        <v>188</v>
      </c>
      <c r="I21" t="b">
        <v>0</v>
      </c>
      <c r="J21" t="s">
        <v>264</v>
      </c>
      <c r="K21">
        <v>0.8</v>
      </c>
      <c r="L21" s="4" t="s">
        <v>112</v>
      </c>
      <c r="M21" s="5" t="s">
        <v>225</v>
      </c>
      <c r="N21" t="b">
        <v>1</v>
      </c>
    </row>
    <row r="22" spans="1:14" hidden="1" x14ac:dyDescent="0.35">
      <c r="A22" t="s">
        <v>74</v>
      </c>
      <c r="B22">
        <v>2019</v>
      </c>
      <c r="C22" t="s">
        <v>75</v>
      </c>
      <c r="D22" t="s">
        <v>198</v>
      </c>
      <c r="E22" t="b">
        <v>1</v>
      </c>
      <c r="F22" t="s">
        <v>265</v>
      </c>
      <c r="G22" t="b">
        <v>1</v>
      </c>
      <c r="H22" t="s">
        <v>212</v>
      </c>
      <c r="I22" t="b">
        <v>1</v>
      </c>
      <c r="J22" t="s">
        <v>216</v>
      </c>
      <c r="K22">
        <v>0.95</v>
      </c>
      <c r="L22" s="4" t="s">
        <v>112</v>
      </c>
      <c r="M22" s="5" t="s">
        <v>225</v>
      </c>
      <c r="N22" t="b">
        <v>1</v>
      </c>
    </row>
    <row r="23" spans="1:14" hidden="1" x14ac:dyDescent="0.35">
      <c r="A23" t="s">
        <v>76</v>
      </c>
      <c r="B23">
        <v>2019</v>
      </c>
      <c r="C23" t="s">
        <v>77</v>
      </c>
      <c r="D23" t="s">
        <v>184</v>
      </c>
      <c r="E23" t="b">
        <v>1</v>
      </c>
      <c r="F23" t="s">
        <v>266</v>
      </c>
      <c r="G23" t="b">
        <v>1</v>
      </c>
      <c r="H23" t="s">
        <v>213</v>
      </c>
      <c r="I23" t="b">
        <v>1</v>
      </c>
      <c r="J23" t="s">
        <v>267</v>
      </c>
      <c r="K23">
        <v>0.95</v>
      </c>
      <c r="L23" s="4" t="s">
        <v>112</v>
      </c>
      <c r="M23" s="5" t="s">
        <v>223</v>
      </c>
      <c r="N23" t="b">
        <v>1</v>
      </c>
    </row>
    <row r="24" spans="1:14" hidden="1" x14ac:dyDescent="0.35">
      <c r="A24" t="s">
        <v>78</v>
      </c>
      <c r="B24">
        <v>2019</v>
      </c>
      <c r="C24" t="s">
        <v>79</v>
      </c>
      <c r="D24" t="s">
        <v>185</v>
      </c>
      <c r="E24" t="b">
        <v>1</v>
      </c>
      <c r="F24" t="s">
        <v>268</v>
      </c>
      <c r="G24" t="b">
        <v>1</v>
      </c>
      <c r="H24" t="s">
        <v>213</v>
      </c>
      <c r="I24" t="b">
        <v>1</v>
      </c>
      <c r="J24" t="s">
        <v>269</v>
      </c>
      <c r="K24">
        <v>0.95</v>
      </c>
      <c r="L24" s="4" t="s">
        <v>112</v>
      </c>
      <c r="M24" s="5" t="s">
        <v>223</v>
      </c>
      <c r="N24" t="b">
        <v>1</v>
      </c>
    </row>
    <row r="25" spans="1:14" hidden="1" x14ac:dyDescent="0.35">
      <c r="A25" t="s">
        <v>83</v>
      </c>
      <c r="B25">
        <v>2019</v>
      </c>
      <c r="C25" t="s">
        <v>84</v>
      </c>
      <c r="D25" t="s">
        <v>199</v>
      </c>
      <c r="E25" t="b">
        <v>1</v>
      </c>
      <c r="F25" t="s">
        <v>270</v>
      </c>
      <c r="G25" t="b">
        <v>1</v>
      </c>
      <c r="H25" t="s">
        <v>213</v>
      </c>
      <c r="I25" t="b">
        <v>1</v>
      </c>
      <c r="J25" t="s">
        <v>261</v>
      </c>
      <c r="K25">
        <v>0.9</v>
      </c>
      <c r="L25" s="7" t="s">
        <v>173</v>
      </c>
      <c r="M25" s="5" t="s">
        <v>232</v>
      </c>
      <c r="N25" t="b">
        <v>0</v>
      </c>
    </row>
    <row r="26" spans="1:14" ht="409.5" hidden="1" x14ac:dyDescent="0.35">
      <c r="A26" t="s">
        <v>85</v>
      </c>
      <c r="B26">
        <v>2019</v>
      </c>
      <c r="C26" t="s">
        <v>86</v>
      </c>
      <c r="D26" s="1" t="s">
        <v>87</v>
      </c>
      <c r="E26" t="b">
        <v>1</v>
      </c>
      <c r="F26" t="s">
        <v>271</v>
      </c>
      <c r="G26" t="b">
        <v>1</v>
      </c>
      <c r="H26" t="s">
        <v>213</v>
      </c>
      <c r="I26" t="b">
        <v>1</v>
      </c>
      <c r="J26" t="s">
        <v>272</v>
      </c>
      <c r="K26">
        <v>0.95</v>
      </c>
      <c r="L26" s="4" t="s">
        <v>112</v>
      </c>
      <c r="M26" s="5" t="s">
        <v>223</v>
      </c>
      <c r="N26" t="b">
        <v>1</v>
      </c>
    </row>
    <row r="27" spans="1:14" hidden="1" x14ac:dyDescent="0.35">
      <c r="A27" t="s">
        <v>91</v>
      </c>
      <c r="B27">
        <v>2019</v>
      </c>
      <c r="C27" t="s">
        <v>92</v>
      </c>
      <c r="D27" t="s">
        <v>93</v>
      </c>
      <c r="E27" t="b">
        <v>1</v>
      </c>
      <c r="F27" t="s">
        <v>268</v>
      </c>
      <c r="G27" t="b">
        <v>1</v>
      </c>
      <c r="H27" t="s">
        <v>213</v>
      </c>
      <c r="I27" t="b">
        <v>1</v>
      </c>
      <c r="J27" t="s">
        <v>273</v>
      </c>
      <c r="K27">
        <v>0.95</v>
      </c>
      <c r="L27" s="7" t="s">
        <v>173</v>
      </c>
      <c r="M27" s="5" t="s">
        <v>234</v>
      </c>
      <c r="N27" t="b">
        <v>0</v>
      </c>
    </row>
    <row r="28" spans="1:14" hidden="1" x14ac:dyDescent="0.35">
      <c r="A28" t="s">
        <v>94</v>
      </c>
      <c r="B28">
        <v>2019</v>
      </c>
      <c r="C28" t="s">
        <v>95</v>
      </c>
      <c r="D28" t="s">
        <v>96</v>
      </c>
      <c r="E28" t="b">
        <v>1</v>
      </c>
      <c r="F28" t="s">
        <v>274</v>
      </c>
      <c r="G28" t="b">
        <v>1</v>
      </c>
      <c r="H28" t="s">
        <v>214</v>
      </c>
      <c r="I28" t="b">
        <v>1</v>
      </c>
      <c r="J28" t="s">
        <v>210</v>
      </c>
      <c r="K28">
        <v>0.95</v>
      </c>
      <c r="L28" s="4" t="s">
        <v>112</v>
      </c>
      <c r="M28" s="4" t="s">
        <v>222</v>
      </c>
      <c r="N28" t="b">
        <v>1</v>
      </c>
    </row>
    <row r="29" spans="1:14" hidden="1" x14ac:dyDescent="0.35">
      <c r="A29" t="s">
        <v>99</v>
      </c>
      <c r="B29">
        <v>2019</v>
      </c>
      <c r="C29" t="s">
        <v>100</v>
      </c>
      <c r="D29" t="s">
        <v>101</v>
      </c>
      <c r="E29" t="b">
        <v>1</v>
      </c>
      <c r="F29" t="s">
        <v>275</v>
      </c>
      <c r="G29" t="b">
        <v>1</v>
      </c>
      <c r="H29" t="s">
        <v>209</v>
      </c>
      <c r="I29" t="b">
        <v>1</v>
      </c>
      <c r="J29" t="s">
        <v>276</v>
      </c>
      <c r="K29">
        <v>1</v>
      </c>
      <c r="L29" s="4" t="s">
        <v>112</v>
      </c>
      <c r="M29" s="5" t="s">
        <v>223</v>
      </c>
      <c r="N29" t="b">
        <v>1</v>
      </c>
    </row>
    <row r="30" spans="1:14" hidden="1" x14ac:dyDescent="0.35">
      <c r="A30" t="s">
        <v>103</v>
      </c>
      <c r="B30">
        <v>2019</v>
      </c>
      <c r="C30" t="s">
        <v>104</v>
      </c>
      <c r="D30" t="s">
        <v>105</v>
      </c>
      <c r="E30" t="b">
        <v>1</v>
      </c>
      <c r="F30" t="s">
        <v>277</v>
      </c>
      <c r="G30" t="b">
        <v>1</v>
      </c>
      <c r="H30" t="s">
        <v>213</v>
      </c>
      <c r="I30" t="b">
        <v>1</v>
      </c>
      <c r="J30" t="s">
        <v>278</v>
      </c>
      <c r="K30">
        <v>0.95</v>
      </c>
      <c r="L30" s="4" t="s">
        <v>112</v>
      </c>
      <c r="M30" s="5" t="s">
        <v>223</v>
      </c>
      <c r="N30" t="b">
        <v>1</v>
      </c>
    </row>
    <row r="31" spans="1:14" x14ac:dyDescent="0.35">
      <c r="A31" t="s">
        <v>106</v>
      </c>
      <c r="B31">
        <v>2019</v>
      </c>
      <c r="C31" t="s">
        <v>107</v>
      </c>
      <c r="D31" t="s">
        <v>200</v>
      </c>
      <c r="E31" t="b">
        <v>0</v>
      </c>
      <c r="F31" t="s">
        <v>279</v>
      </c>
      <c r="G31" t="b">
        <v>0</v>
      </c>
      <c r="H31" t="s">
        <v>188</v>
      </c>
      <c r="I31" t="b">
        <v>1</v>
      </c>
      <c r="J31" t="s">
        <v>220</v>
      </c>
      <c r="K31">
        <v>0.8</v>
      </c>
      <c r="L31" s="4" t="s">
        <v>112</v>
      </c>
      <c r="M31" s="5" t="s">
        <v>235</v>
      </c>
      <c r="N31" t="b">
        <v>1</v>
      </c>
    </row>
  </sheetData>
  <autoFilter ref="A1:N31" xr:uid="{1235A4A9-643F-403F-8F39-91437DA8F632}">
    <filterColumn colId="4">
      <filters>
        <filter val="FALSE"/>
      </filters>
    </filterColumn>
    <filterColumn colId="11">
      <filters>
        <filter val="Include"/>
      </filters>
    </filterColumn>
  </autoFilter>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27BCB-4710-4D9A-A38E-921B487297AE}">
  <dimension ref="A1:N28"/>
  <sheetViews>
    <sheetView tabSelected="1" workbookViewId="0">
      <selection activeCell="E5" sqref="E5"/>
    </sheetView>
  </sheetViews>
  <sheetFormatPr defaultRowHeight="14.5" x14ac:dyDescent="0.35"/>
  <cols>
    <col min="1" max="1" width="16.26953125" bestFit="1" customWidth="1"/>
  </cols>
  <sheetData>
    <row r="1" spans="1:14" x14ac:dyDescent="0.35">
      <c r="A1" t="s">
        <v>165</v>
      </c>
    </row>
    <row r="2" spans="1:14" x14ac:dyDescent="0.35">
      <c r="B2" t="s">
        <v>163</v>
      </c>
      <c r="C2" t="s">
        <v>164</v>
      </c>
    </row>
    <row r="3" spans="1:14" x14ac:dyDescent="0.35">
      <c r="A3" t="s">
        <v>161</v>
      </c>
      <c r="B3">
        <f>COUNTIFS('Merged results table'!$E:$E,TRUE,'Merged results table'!$N:$N,TRUE)</f>
        <v>25</v>
      </c>
      <c r="C3">
        <f>COUNTIFS('Merged results table'!$E:$E,TRUE,'Merged results table'!$N:$N,FALSE)</f>
        <v>3</v>
      </c>
    </row>
    <row r="4" spans="1:14" x14ac:dyDescent="0.35">
      <c r="A4" t="s">
        <v>162</v>
      </c>
      <c r="B4">
        <f>COUNTIFS('Merged results table'!$E:$E,FALSE,'Merged results table'!$N:$N,TRUE)</f>
        <v>2</v>
      </c>
      <c r="C4">
        <f>COUNTIFS('Merged results table'!$E:$E,FALSE,'Merged results table'!$N:$N,FALSE)</f>
        <v>0</v>
      </c>
    </row>
    <row r="6" spans="1:14" x14ac:dyDescent="0.35">
      <c r="A6" t="s">
        <v>168</v>
      </c>
      <c r="B6">
        <f>B3</f>
        <v>25</v>
      </c>
    </row>
    <row r="7" spans="1:14" x14ac:dyDescent="0.35">
      <c r="A7" t="s">
        <v>169</v>
      </c>
      <c r="B7">
        <f>C4</f>
        <v>0</v>
      </c>
    </row>
    <row r="8" spans="1:14" x14ac:dyDescent="0.35">
      <c r="A8" t="s">
        <v>170</v>
      </c>
      <c r="B8">
        <f>C3</f>
        <v>3</v>
      </c>
    </row>
    <row r="9" spans="1:14" x14ac:dyDescent="0.35">
      <c r="A9" t="s">
        <v>171</v>
      </c>
      <c r="B9">
        <f>B4</f>
        <v>2</v>
      </c>
    </row>
    <row r="11" spans="1:14" x14ac:dyDescent="0.35">
      <c r="A11" t="s">
        <v>166</v>
      </c>
      <c r="B11">
        <f>(B3+C4)/(B3+B4+C3+C4)</f>
        <v>0.83333333333333337</v>
      </c>
    </row>
    <row r="12" spans="1:14" x14ac:dyDescent="0.35">
      <c r="A12" t="s">
        <v>167</v>
      </c>
      <c r="B12">
        <f>B3/(B3+B4)</f>
        <v>0.92592592592592593</v>
      </c>
    </row>
    <row r="14" spans="1:14" x14ac:dyDescent="0.35">
      <c r="A14" s="3" t="s">
        <v>172</v>
      </c>
    </row>
    <row r="15" spans="1:14" x14ac:dyDescent="0.35">
      <c r="A15" s="3" t="s">
        <v>281</v>
      </c>
    </row>
    <row r="16" spans="1:14" ht="15" thickBot="1" x14ac:dyDescent="0.4">
      <c r="A16" t="s">
        <v>0</v>
      </c>
      <c r="B16" t="s">
        <v>1</v>
      </c>
      <c r="C16" t="s">
        <v>2</v>
      </c>
      <c r="D16" t="s">
        <v>3</v>
      </c>
      <c r="E16" t="s">
        <v>201</v>
      </c>
      <c r="F16" t="s">
        <v>202</v>
      </c>
      <c r="G16" t="s">
        <v>203</v>
      </c>
      <c r="H16" t="s">
        <v>204</v>
      </c>
      <c r="I16" t="s">
        <v>205</v>
      </c>
      <c r="J16" t="s">
        <v>206</v>
      </c>
      <c r="K16" t="s">
        <v>207</v>
      </c>
      <c r="L16" s="8" t="s">
        <v>109</v>
      </c>
      <c r="M16" s="9" t="s">
        <v>110</v>
      </c>
      <c r="N16" t="s">
        <v>236</v>
      </c>
    </row>
    <row r="17" spans="1:14" x14ac:dyDescent="0.35">
      <c r="A17" t="s">
        <v>31</v>
      </c>
      <c r="B17">
        <v>2019</v>
      </c>
      <c r="C17" t="s">
        <v>179</v>
      </c>
      <c r="D17" t="s">
        <v>180</v>
      </c>
      <c r="E17" t="b">
        <v>1</v>
      </c>
      <c r="F17" t="s">
        <v>217</v>
      </c>
      <c r="G17" t="b">
        <v>1</v>
      </c>
      <c r="H17" t="s">
        <v>213</v>
      </c>
      <c r="I17" t="b">
        <v>1</v>
      </c>
      <c r="J17" t="s">
        <v>216</v>
      </c>
      <c r="K17">
        <v>0.95</v>
      </c>
      <c r="L17" s="7" t="s">
        <v>173</v>
      </c>
      <c r="M17" s="5" t="s">
        <v>227</v>
      </c>
      <c r="N17" t="b">
        <v>0</v>
      </c>
    </row>
    <row r="18" spans="1:14" x14ac:dyDescent="0.35">
      <c r="A18" t="s">
        <v>83</v>
      </c>
      <c r="B18">
        <v>2019</v>
      </c>
      <c r="C18" t="s">
        <v>84</v>
      </c>
      <c r="D18" t="s">
        <v>199</v>
      </c>
      <c r="E18" t="b">
        <v>1</v>
      </c>
      <c r="F18" t="s">
        <v>270</v>
      </c>
      <c r="G18" t="b">
        <v>1</v>
      </c>
      <c r="H18" t="s">
        <v>213</v>
      </c>
      <c r="I18" t="b">
        <v>1</v>
      </c>
      <c r="J18" t="s">
        <v>261</v>
      </c>
      <c r="K18">
        <v>0.9</v>
      </c>
      <c r="L18" s="7" t="s">
        <v>173</v>
      </c>
      <c r="M18" s="5" t="s">
        <v>232</v>
      </c>
      <c r="N18" t="b">
        <v>0</v>
      </c>
    </row>
    <row r="19" spans="1:14" x14ac:dyDescent="0.35">
      <c r="A19" t="s">
        <v>91</v>
      </c>
      <c r="B19">
        <v>2019</v>
      </c>
      <c r="C19" t="s">
        <v>92</v>
      </c>
      <c r="D19" t="s">
        <v>93</v>
      </c>
      <c r="E19" t="b">
        <v>1</v>
      </c>
      <c r="F19" t="s">
        <v>268</v>
      </c>
      <c r="G19" t="b">
        <v>1</v>
      </c>
      <c r="H19" t="s">
        <v>213</v>
      </c>
      <c r="I19" t="b">
        <v>1</v>
      </c>
      <c r="J19" t="s">
        <v>273</v>
      </c>
      <c r="K19">
        <v>0.95</v>
      </c>
      <c r="L19" s="7" t="s">
        <v>173</v>
      </c>
      <c r="M19" s="5" t="s">
        <v>234</v>
      </c>
      <c r="N19" t="b">
        <v>0</v>
      </c>
    </row>
    <row r="21" spans="1:14" x14ac:dyDescent="0.35">
      <c r="A21" s="3" t="s">
        <v>282</v>
      </c>
    </row>
    <row r="22" spans="1:14" ht="18.5" customHeight="1" thickBot="1" x14ac:dyDescent="0.4">
      <c r="A22" t="s">
        <v>0</v>
      </c>
      <c r="B22" t="s">
        <v>1</v>
      </c>
      <c r="C22" t="s">
        <v>2</v>
      </c>
      <c r="D22" t="s">
        <v>3</v>
      </c>
      <c r="E22" t="s">
        <v>201</v>
      </c>
      <c r="F22" t="s">
        <v>202</v>
      </c>
      <c r="G22" t="s">
        <v>203</v>
      </c>
      <c r="H22" t="s">
        <v>204</v>
      </c>
      <c r="I22" t="s">
        <v>205</v>
      </c>
      <c r="J22" t="s">
        <v>206</v>
      </c>
      <c r="K22" t="s">
        <v>207</v>
      </c>
      <c r="L22" s="8" t="s">
        <v>109</v>
      </c>
      <c r="M22" s="9" t="s">
        <v>110</v>
      </c>
      <c r="N22" t="s">
        <v>236</v>
      </c>
    </row>
    <row r="23" spans="1:14" ht="23" customHeight="1" x14ac:dyDescent="0.35">
      <c r="A23" t="s">
        <v>71</v>
      </c>
      <c r="B23">
        <v>2019</v>
      </c>
      <c r="C23" t="s">
        <v>72</v>
      </c>
      <c r="D23" s="1" t="s">
        <v>73</v>
      </c>
      <c r="E23" t="b">
        <v>0</v>
      </c>
      <c r="F23" t="s">
        <v>263</v>
      </c>
      <c r="G23" t="b">
        <v>0</v>
      </c>
      <c r="H23" t="s">
        <v>188</v>
      </c>
      <c r="I23" t="b">
        <v>0</v>
      </c>
      <c r="J23" t="s">
        <v>264</v>
      </c>
      <c r="K23">
        <v>0.8</v>
      </c>
      <c r="L23" s="4" t="s">
        <v>112</v>
      </c>
      <c r="M23" s="5" t="s">
        <v>225</v>
      </c>
      <c r="N23" t="b">
        <v>1</v>
      </c>
    </row>
    <row r="24" spans="1:14" x14ac:dyDescent="0.35">
      <c r="A24" t="s">
        <v>106</v>
      </c>
      <c r="B24">
        <v>2019</v>
      </c>
      <c r="C24" t="s">
        <v>107</v>
      </c>
      <c r="D24" t="s">
        <v>200</v>
      </c>
      <c r="E24" t="b">
        <v>0</v>
      </c>
      <c r="F24" t="s">
        <v>279</v>
      </c>
      <c r="G24" t="b">
        <v>0</v>
      </c>
      <c r="H24" t="s">
        <v>188</v>
      </c>
      <c r="I24" t="b">
        <v>1</v>
      </c>
      <c r="J24" t="s">
        <v>220</v>
      </c>
      <c r="K24">
        <v>0.8</v>
      </c>
      <c r="L24" s="4" t="s">
        <v>112</v>
      </c>
      <c r="M24" s="5" t="s">
        <v>235</v>
      </c>
      <c r="N24" t="b">
        <v>1</v>
      </c>
    </row>
    <row r="28" spans="1:14" ht="17.5" customHeight="1" x14ac:dyDescent="0.35">
      <c r="D28" s="1"/>
    </row>
  </sheetData>
  <pageMargins left="0.7" right="0.7" top="0.75" bottom="0.75" header="0.3" footer="0.3"/>
</worksheet>
</file>

<file path=docMetadata/LabelInfo.xml><?xml version="1.0" encoding="utf-8"?>
<clbl:labelList xmlns:clbl="http://schemas.microsoft.com/office/2020/mipLabelMetadata">
  <clbl:label id="{37c354b2-85b0-47f5-b222-07b48d774ee3}" enabled="0" method="" siteId="{37c354b2-85b0-47f5-b222-07b48d774ee3}"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Stage_5_API_50</vt:lpstr>
      <vt:lpstr>ID_Lookup</vt:lpstr>
      <vt:lpstr>Stage_5_FF_50</vt:lpstr>
      <vt:lpstr>Merged results table</vt:lpstr>
      <vt:lpstr>Evaluating Results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CAREY, Oliver (NHS MIDLANDS AND LANCASHIRE COMMISSIONING SUPPORT UNIT)</dc:creator>
  <cp:lastModifiedBy>CAREY, Oliver (NHS MIDLANDS AND LANCASHIRE COMMISSIONI</cp:lastModifiedBy>
  <dcterms:created xsi:type="dcterms:W3CDTF">2025-09-03T10:40:47Z</dcterms:created>
  <dcterms:modified xsi:type="dcterms:W3CDTF">2025-09-05T13:06:21Z</dcterms:modified>
</cp:coreProperties>
</file>