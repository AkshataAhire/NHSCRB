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NM2.TP5IJ4AX\Downloads\"/>
    </mc:Choice>
  </mc:AlternateContent>
  <xr:revisionPtr revIDLastSave="0" documentId="8_{67CFB92D-0DA4-4100-8162-E1ABD21EE89F}" xr6:coauthVersionLast="47" xr6:coauthVersionMax="47" xr10:uidLastSave="{00000000-0000-0000-0000-000000000000}"/>
  <bookViews>
    <workbookView xWindow="-110" yWindow="-110" windowWidth="19420" windowHeight="10300" xr2:uid="{B8823764-DD6E-4E3A-86EE-9ED73D7460D8}"/>
  </bookViews>
  <sheets>
    <sheet name="361_articles - manual screening"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 i="1" l="1"/>
  <c r="X3" i="1"/>
  <c r="X2" i="1"/>
  <c r="X1" i="1"/>
  <c r="W7" i="1"/>
  <c r="W6" i="1"/>
  <c r="W5" i="1"/>
  <c r="W4" i="1"/>
  <c r="W3" i="1"/>
  <c r="W2" i="1"/>
  <c r="W1" i="1"/>
</calcChain>
</file>

<file path=xl/sharedStrings.xml><?xml version="1.0" encoding="utf-8"?>
<sst xmlns="http://schemas.openxmlformats.org/spreadsheetml/2006/main" count="879" uniqueCount="237">
  <si>
    <t>Unique ID</t>
  </si>
  <si>
    <t>Year</t>
  </si>
  <si>
    <t>Title</t>
  </si>
  <si>
    <t>Abstract</t>
  </si>
  <si>
    <t>Stage 1</t>
  </si>
  <si>
    <t>Stage 2</t>
  </si>
  <si>
    <t>Stage 3</t>
  </si>
  <si>
    <t>Stage 4</t>
  </si>
  <si>
    <t>Stage 5</t>
  </si>
  <si>
    <t>Stage 6</t>
  </si>
  <si>
    <t>Stage 7</t>
  </si>
  <si>
    <t>FF screen</t>
  </si>
  <si>
    <t>FF reason</t>
  </si>
  <si>
    <t>J500</t>
  </si>
  <si>
    <t>The lifetime costs of pediatric abusive head trauma and a cost-effectiveness analysis of the Period of Purple crying program in British Columbia, Canada</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</si>
  <si>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</si>
  <si>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</si>
  <si>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Date and language ok</t>
  </si>
  <si>
    <t>Exclude</t>
  </si>
  <si>
    <t>Not UK</t>
  </si>
  <si>
    <t>unclear from abstract</t>
  </si>
  <si>
    <t>Correct study type</t>
  </si>
  <si>
    <t>Includes comparison group and relevant outcomes</t>
  </si>
  <si>
    <t>Prevention</t>
  </si>
  <si>
    <t>avoided costs</t>
  </si>
  <si>
    <t>J501</t>
  </si>
  <si>
    <t>Impact of Weekend Treatment on Short-term and Long-term Survival Following Urgent Repair of Ruptured Aortic Aneurysms in Germany</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</si>
  <si>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</si>
  <si>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hospital</t>
  </si>
  <si>
    <t>No relevant outcomes</t>
  </si>
  <si>
    <t>No shift</t>
  </si>
  <si>
    <t>Not cash releasing</t>
  </si>
  <si>
    <t>J502</t>
  </si>
  <si>
    <t>Pdb16 Assessment of Cost-Effectiveness of a 0.2 Mcg/Day Fluocinolone Acetonide (Fac) Implant in Patients with Chronic Diabetic Macular Oedema (Dmo) in an Eye with Cataract</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</si>
  <si>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</si>
  <si>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UK</t>
  </si>
  <si>
    <t>NHS</t>
  </si>
  <si>
    <t>cost effective</t>
  </si>
  <si>
    <t>J503</t>
  </si>
  <si>
    <t>Fluorides for preventing early tooth decay (demineralised lesions) during fixed brace treatment</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</si>
  <si>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</si>
  <si>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includes UK</t>
  </si>
  <si>
    <t>includes hospitals and orthodontists etc</t>
  </si>
  <si>
    <t>J504</t>
  </si>
  <si>
    <t>Pmh28 Assessing the Life-Cycle Value Added of Second-Generation Antipsychotics in Sweden and the Uk: The Case of Risperidone</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</si>
  <si>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</si>
  <si>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Prevention?</t>
  </si>
  <si>
    <t>net monetary benefit</t>
  </si>
  <si>
    <t>J505</t>
  </si>
  <si>
    <t>Fetal fibronectin testing for reducing the risk of preterm birth</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</si>
  <si>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</si>
  <si>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includes hospitals</t>
  </si>
  <si>
    <t>J506</t>
  </si>
  <si>
    <t>Cervical assessment by ultrasound for preventing preterm delivery</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</si>
  <si>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</si>
  <si>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J507</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</si>
  <si>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</si>
  <si>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</si>
  <si>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doesn't include UK</t>
  </si>
  <si>
    <t>various settings</t>
  </si>
  <si>
    <t>J508</t>
  </si>
  <si>
    <t>Adalimumab for non-infectious uveitis: Is it cost-effective?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</si>
  <si>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</si>
  <si>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J509</t>
  </si>
  <si>
    <t>Burden of varicella complications in secondary care, England, 2004 to 2017</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</si>
  <si>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</si>
  <si>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England</t>
  </si>
  <si>
    <t>J510</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</si>
  <si>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</si>
  <si>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</si>
  <si>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limited evidence of cost saving</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</si>
  <si>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</si>
  <si>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</si>
  <si>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</si>
  <si>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UK health setting</t>
  </si>
  <si>
    <t>No figure in abstract for costs saved</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</si>
  <si>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</si>
  <si>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</si>
  <si>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</si>
  <si>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</si>
  <si>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</si>
  <si>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</si>
  <si>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potential to be cost saving, but no figure</t>
  </si>
  <si>
    <t>J514</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</si>
  <si>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</si>
  <si>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</si>
  <si>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J515</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</si>
  <si>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</si>
  <si>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</si>
  <si>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community health</t>
  </si>
  <si>
    <t>Includes comparison and relevant outcomes</t>
  </si>
  <si>
    <t>Community</t>
  </si>
  <si>
    <t>Cost saving</t>
  </si>
  <si>
    <t>J516</t>
  </si>
  <si>
    <t>Mixed exercise training for adults with fibromyalgia</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</si>
  <si>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</si>
  <si>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J517</t>
  </si>
  <si>
    <t>The health economics of ankle and foot sprains and fractures: A systematic review of English-language published papers. Part 2: The direct and indirect costs of injury</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</si>
  <si>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</si>
  <si>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unclear from abstract if it includes UK studies</t>
  </si>
  <si>
    <t>health settings</t>
  </si>
  <si>
    <t>J518</t>
  </si>
  <si>
    <t>143. Chiropractors treating patients with acute lower back pain in a spine treatment pathway model: a five-year prospective cohort study</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</si>
  <si>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</si>
  <si>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J519</t>
  </si>
  <si>
    <t>Lateral flow urine lipoarabinomannan assay for detecting active tuberculosis in people living with HIV</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</si>
  <si>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</si>
  <si>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cost effective (in some studies)</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</si>
  <si>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</si>
  <si>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</si>
  <si>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</si>
  <si>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cost saving</t>
  </si>
  <si>
    <t>J521</t>
  </si>
  <si>
    <t>Pcv98 Pcsk9 Inhibitors: An Analysis of Current Uptake and Potential Opportunities in England</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</si>
  <si>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</si>
  <si>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J522</t>
  </si>
  <si>
    <t>Continuous subcutaneous insulin infusion versus multiple daily injection regimens in children and young people at diagnosis of type 1 diabetes: Pragmatic randomised controlled trial and economic evaluation</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</si>
  <si>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</si>
  <si>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England and Wales</t>
  </si>
  <si>
    <t>Not cost effective</t>
  </si>
  <si>
    <t>J523</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</si>
  <si>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</si>
  <si>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</si>
  <si>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J524</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</si>
  <si>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</si>
  <si>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</si>
  <si>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</si>
  <si>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</si>
  <si>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</si>
  <si>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bit unclear from abstract, but think it would be community/health setting</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</si>
  <si>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</si>
  <si>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</si>
  <si>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</si>
  <si>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not much info</t>
  </si>
  <si>
    <t>Digital</t>
  </si>
  <si>
    <t>J527</t>
  </si>
  <si>
    <t>Botulinum toxin type A in the treatment of lower limb spasticity in children with cerebral palsy</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</si>
  <si>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</si>
  <si>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J528</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</si>
  <si>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</si>
  <si>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</si>
  <si>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J529</t>
  </si>
  <si>
    <t>Endometrial resection and ablation techniques for heavy menstrual bleeding</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</si>
  <si>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</si>
  <si>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very little relevant to outcomes we are interested in</t>
  </si>
  <si>
    <t>very little on cost-effectiveness</t>
  </si>
  <si>
    <t>J530</t>
  </si>
  <si>
    <t>Cyclical progestogens for heavy menstrual bleeding</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</si>
  <si>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</si>
  <si>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J531</t>
  </si>
  <si>
    <t>SAT-017 End Stage Renal Disease in Ghana</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</si>
  <si>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</si>
  <si>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not UK</t>
  </si>
  <si>
    <t>No specific setting (other than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</si>
  <si>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</si>
  <si>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</si>
  <si>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</si>
  <si>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</si>
  <si>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</si>
  <si>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</si>
  <si>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Protocol</t>
  </si>
  <si>
    <t>will include relevant outcomes, but none established yet as protocol</t>
  </si>
  <si>
    <t>protocol, so cost-effectiveness not demonstrated yet</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</si>
  <si>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</si>
  <si>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</si>
  <si>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</si>
  <si>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Community - also Prevention</t>
  </si>
  <si>
    <t>J535</t>
  </si>
  <si>
    <t>Interventions for prodromal stage of psychosis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</si>
  <si>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</si>
  <si>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J536</t>
  </si>
  <si>
    <t>Context-Specific Economic Evaluation for Molecular Pathology Tests: An Application in Colorectal Cancer in the West of Scotland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</si>
  <si>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</si>
  <si>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Scotland</t>
  </si>
  <si>
    <t>J537</t>
  </si>
  <si>
    <t>Screening Women for Abdominal Aortic Aneurysms: Clinical and Economic Effectiveness Results from a Discrete Event Simulation Model</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</si>
  <si>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</si>
  <si>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does not meet UK cost-effectiveness criteria</t>
  </si>
  <si>
    <t>J538</t>
  </si>
  <si>
    <t>Herbal medicinal products or preparations for neuropathic pain</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</si>
  <si>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</si>
  <si>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setting unclear</t>
  </si>
  <si>
    <t>J539</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</si>
  <si>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</si>
  <si>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</si>
  <si>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No UK studies</t>
  </si>
  <si>
    <t>No studies identified</t>
  </si>
  <si>
    <t>J540</t>
  </si>
  <si>
    <t>Conservative management following closed reduction of traumatic anterior dislocation of the shoulder</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</si>
  <si>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</si>
  <si>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NHS, hospitals</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</si>
  <si>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</si>
  <si>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</si>
  <si>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</si>
  <si>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Cost effective</t>
  </si>
  <si>
    <t>J542</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</si>
  <si>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</si>
  <si>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</si>
  <si>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includes hospital/pharmacy</t>
  </si>
  <si>
    <t>J543</t>
  </si>
  <si>
    <t>Laparoscopically assisted versus open oesophagectomy for patients with oesophageal cancer - The Randomised Oesophagectomy: Minimally Invasive or Open (ROMIO) study: Protocol for a randomised controlled trial (RCT)</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</si>
  <si>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</si>
  <si>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Includes comparison and relevant outcomes, but protocol</t>
  </si>
  <si>
    <t>Will look at cost effectiveness, but Protocol</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</si>
  <si>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</si>
  <si>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</si>
  <si>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</si>
  <si>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Prevention (but more focussed on the model)</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</si>
  <si>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</si>
  <si>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</si>
  <si>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</si>
  <si>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Does include some relevant outcome data, but main focus is validation of tool</t>
  </si>
  <si>
    <t>Does have some info on cost effectiveness, but main focus is validation of tool</t>
  </si>
  <si>
    <t>J546</t>
  </si>
  <si>
    <t>Individualised screening for diabetic retinopathy: The ISDR study - Rationale, design and methodology for a randomised controlled trial comparing annual and individualised risk-based variable-interval screening</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</si>
  <si>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</si>
  <si>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think this is essentially a Protocol</t>
  </si>
  <si>
    <t>includes relevant outcomes, but only protocol</t>
  </si>
  <si>
    <t>No shift (could be Prevention)</t>
  </si>
  <si>
    <t>includes cost effectiveness, but only protocol</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</si>
  <si>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</si>
  <si>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</si>
  <si>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</si>
  <si>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</si>
  <si>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</si>
  <si>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</si>
  <si>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</si>
  <si>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</si>
  <si>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</si>
  <si>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comparison and relevant outcomes</t>
  </si>
  <si>
    <t>Cost saving/cost effective</t>
  </si>
  <si>
    <t>J550</t>
  </si>
  <si>
    <t>Characteristics of successful interventions to reduce turnover and increase retention of early career nurses: A systematic review</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</si>
  <si>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</si>
  <si>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unclear from abstract if it has UK studies</t>
  </si>
  <si>
    <t>healthcare settings</t>
  </si>
  <si>
    <t xml:space="preserve">No shift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</si>
</sst>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0" fillId="0" borderId="0" xfId="0" applyAlignment="1">
      <alignment wrapText="1"/>
    </xf>
    <xf numFmtId="0" fontId="16" fillId="0" borderId="0" xfId="0" applyFont="1"/>
    <xf numFmtId="0" fontId="16" fillId="0" borderId="10" xfId="0" applyFont="1" applyBorder="1"/>
    <xf numFmtId="0" fontId="16" fillId="0" borderId="11" xfId="0" applyFont="1" applyBorder="1"/>
    <xf numFmtId="0" fontId="16" fillId="0" borderId="13" xfId="0" applyFont="1" applyBorder="1"/>
    <xf numFmtId="0" fontId="16" fillId="0" borderId="14" xfId="0" applyFont="1" applyBorder="1"/>
    <xf numFmtId="0" fontId="0" fillId="33" borderId="0" xfId="0" applyFill="1"/>
    <xf numFmtId="9" fontId="16" fillId="0" borderId="0" xfId="42" applyFont="1"/>
    <xf numFmtId="0" fontId="16" fillId="0" borderId="11" xfId="0" applyFont="1" applyBorder="1" applyAlignment="1">
      <alignment horizontal="center"/>
    </xf>
    <xf numFmtId="0" fontId="16" fillId="0" borderId="12" xfId="0"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DA72D-E506-438F-8F30-A4246D4E9766}">
  <dimension ref="A1:X363"/>
  <sheetViews>
    <sheetView tabSelected="1" topLeftCell="A46" workbookViewId="0">
      <selection activeCell="A54" sqref="A54:XFD363"/>
    </sheetView>
  </sheetViews>
  <sheetFormatPr defaultRowHeight="14.5" x14ac:dyDescent="0.35"/>
  <cols>
    <col min="14" max="15" width="8.7265625" customWidth="1"/>
  </cols>
  <sheetData>
    <row r="1" spans="1:24" s="2" customFormat="1" ht="15" thickBot="1" x14ac:dyDescent="0.4">
      <c r="A1" s="3" t="s">
        <v>0</v>
      </c>
      <c r="B1" s="3" t="s">
        <v>1</v>
      </c>
      <c r="C1" s="3" t="s">
        <v>2</v>
      </c>
      <c r="D1" s="4" t="s">
        <v>3</v>
      </c>
      <c r="E1" s="9" t="s">
        <v>4</v>
      </c>
      <c r="F1" s="10"/>
      <c r="G1" s="9" t="s">
        <v>5</v>
      </c>
      <c r="H1" s="10"/>
      <c r="I1" s="9" t="s">
        <v>6</v>
      </c>
      <c r="J1" s="10"/>
      <c r="K1" s="9" t="s">
        <v>7</v>
      </c>
      <c r="L1" s="10"/>
      <c r="M1" s="9" t="s">
        <v>8</v>
      </c>
      <c r="N1" s="10"/>
      <c r="O1" s="9" t="s">
        <v>9</v>
      </c>
      <c r="P1" s="10"/>
      <c r="Q1" s="9" t="s">
        <v>10</v>
      </c>
      <c r="R1" s="10"/>
      <c r="V1" s="2">
        <v>1</v>
      </c>
      <c r="W1" s="8">
        <f>COUNTIF(E3:E999,"Include")/COUNTIF(E3:E999,"*")</f>
        <v>1</v>
      </c>
      <c r="X1" s="2">
        <f>COUNTIF(E3:E999,"Include")</f>
        <v>50</v>
      </c>
    </row>
    <row r="2" spans="1:24" s="2" customFormat="1" ht="15" thickBot="1" x14ac:dyDescent="0.4">
      <c r="E2" s="5" t="s">
        <v>11</v>
      </c>
      <c r="F2" s="6" t="s">
        <v>12</v>
      </c>
      <c r="G2" s="5" t="s">
        <v>11</v>
      </c>
      <c r="H2" s="6" t="s">
        <v>12</v>
      </c>
      <c r="I2" s="5" t="s">
        <v>11</v>
      </c>
      <c r="J2" s="6" t="s">
        <v>12</v>
      </c>
      <c r="K2" s="5" t="s">
        <v>11</v>
      </c>
      <c r="L2" s="6" t="s">
        <v>12</v>
      </c>
      <c r="M2" s="5" t="s">
        <v>11</v>
      </c>
      <c r="N2" s="6" t="s">
        <v>12</v>
      </c>
      <c r="O2" s="5" t="s">
        <v>11</v>
      </c>
      <c r="P2" s="6" t="s">
        <v>12</v>
      </c>
      <c r="Q2" s="5" t="s">
        <v>11</v>
      </c>
      <c r="R2" s="6" t="s">
        <v>12</v>
      </c>
      <c r="V2" s="2">
        <v>2</v>
      </c>
      <c r="W2" s="8">
        <f>COUNTIF(G3:G999,"Include")/COUNTIF(G3:G999,"*")</f>
        <v>0.74</v>
      </c>
      <c r="X2" s="2">
        <f>COUNTIF(G3:G999,"Include")</f>
        <v>37</v>
      </c>
    </row>
    <row r="3" spans="1:24" ht="15" customHeight="1" x14ac:dyDescent="0.35">
      <c r="A3" t="s">
        <v>13</v>
      </c>
      <c r="B3">
        <v>2019</v>
      </c>
      <c r="C3" t="s">
        <v>14</v>
      </c>
      <c r="D3" t="s">
        <v>15</v>
      </c>
      <c r="E3" t="s">
        <v>16</v>
      </c>
      <c r="F3" t="s">
        <v>17</v>
      </c>
      <c r="G3" t="s">
        <v>18</v>
      </c>
      <c r="H3" t="s">
        <v>19</v>
      </c>
      <c r="I3" t="s">
        <v>16</v>
      </c>
      <c r="J3" t="s">
        <v>20</v>
      </c>
      <c r="K3" t="s">
        <v>16</v>
      </c>
      <c r="L3" t="s">
        <v>21</v>
      </c>
      <c r="M3" t="s">
        <v>16</v>
      </c>
      <c r="N3" t="s">
        <v>22</v>
      </c>
      <c r="O3" t="s">
        <v>16</v>
      </c>
      <c r="P3" t="s">
        <v>23</v>
      </c>
      <c r="Q3" t="s">
        <v>16</v>
      </c>
      <c r="R3" t="s">
        <v>24</v>
      </c>
      <c r="V3">
        <v>3</v>
      </c>
      <c r="W3" s="8">
        <f>COUNTIF(I3:I999,"Include")/COUNTIF(I3:I999,"*")</f>
        <v>0.9</v>
      </c>
      <c r="X3" s="2">
        <f>COUNTIF(G3:G999,"Include")</f>
        <v>37</v>
      </c>
    </row>
    <row r="4" spans="1:24" ht="15" customHeight="1" x14ac:dyDescent="0.35">
      <c r="A4" t="s">
        <v>25</v>
      </c>
      <c r="B4">
        <v>2019</v>
      </c>
      <c r="C4" t="s">
        <v>26</v>
      </c>
      <c r="D4" t="s">
        <v>27</v>
      </c>
      <c r="E4" t="s">
        <v>16</v>
      </c>
      <c r="F4" t="s">
        <v>17</v>
      </c>
      <c r="G4" t="s">
        <v>18</v>
      </c>
      <c r="H4" t="s">
        <v>19</v>
      </c>
      <c r="I4" t="s">
        <v>16</v>
      </c>
      <c r="J4" t="s">
        <v>28</v>
      </c>
      <c r="K4" t="s">
        <v>16</v>
      </c>
      <c r="L4" t="s">
        <v>21</v>
      </c>
      <c r="M4" t="s">
        <v>18</v>
      </c>
      <c r="N4" t="s">
        <v>29</v>
      </c>
      <c r="O4" t="s">
        <v>18</v>
      </c>
      <c r="P4" t="s">
        <v>30</v>
      </c>
      <c r="Q4" t="s">
        <v>18</v>
      </c>
      <c r="R4" t="s">
        <v>31</v>
      </c>
      <c r="V4">
        <v>4</v>
      </c>
      <c r="W4" s="8">
        <f>COUNTIF(K3:K999,"Include")/COUNTIF(K3:K999,"*")</f>
        <v>0.94</v>
      </c>
      <c r="X4">
        <f>COUNTIF(G3:G999,"Include")</f>
        <v>37</v>
      </c>
    </row>
    <row r="5" spans="1:24" ht="15" customHeight="1" x14ac:dyDescent="0.35">
      <c r="A5" t="s">
        <v>32</v>
      </c>
      <c r="B5">
        <v>2019</v>
      </c>
      <c r="C5" t="s">
        <v>33</v>
      </c>
      <c r="D5" t="s">
        <v>34</v>
      </c>
      <c r="E5" t="s">
        <v>16</v>
      </c>
      <c r="F5" t="s">
        <v>17</v>
      </c>
      <c r="G5" t="s">
        <v>16</v>
      </c>
      <c r="H5" t="s">
        <v>35</v>
      </c>
      <c r="I5" t="s">
        <v>16</v>
      </c>
      <c r="J5" t="s">
        <v>36</v>
      </c>
      <c r="K5" t="s">
        <v>16</v>
      </c>
      <c r="L5" t="s">
        <v>21</v>
      </c>
      <c r="M5" t="s">
        <v>16</v>
      </c>
      <c r="N5" t="s">
        <v>22</v>
      </c>
      <c r="O5" t="s">
        <v>18</v>
      </c>
      <c r="P5" t="s">
        <v>30</v>
      </c>
      <c r="Q5" t="s">
        <v>16</v>
      </c>
      <c r="R5" t="s">
        <v>37</v>
      </c>
      <c r="V5">
        <v>5</v>
      </c>
      <c r="W5" s="8">
        <f>COUNTIF(M3:M999,"Include")/COUNTIF(M3:M999,"*")</f>
        <v>0.30612244897959184</v>
      </c>
    </row>
    <row r="6" spans="1:24" ht="15" customHeight="1" x14ac:dyDescent="0.35">
      <c r="A6" t="s">
        <v>38</v>
      </c>
      <c r="B6">
        <v>2019</v>
      </c>
      <c r="C6" t="s">
        <v>39</v>
      </c>
      <c r="D6" t="s">
        <v>40</v>
      </c>
      <c r="E6" t="s">
        <v>16</v>
      </c>
      <c r="F6" t="s">
        <v>17</v>
      </c>
      <c r="G6" t="s">
        <v>16</v>
      </c>
      <c r="H6" t="s">
        <v>41</v>
      </c>
      <c r="I6" t="s">
        <v>16</v>
      </c>
      <c r="J6" t="s">
        <v>42</v>
      </c>
      <c r="K6" t="s">
        <v>16</v>
      </c>
      <c r="L6" t="s">
        <v>21</v>
      </c>
      <c r="M6" t="s">
        <v>18</v>
      </c>
      <c r="N6" t="s">
        <v>29</v>
      </c>
      <c r="O6" t="s">
        <v>16</v>
      </c>
      <c r="P6" t="s">
        <v>23</v>
      </c>
      <c r="Q6" t="s">
        <v>18</v>
      </c>
      <c r="R6" t="s">
        <v>31</v>
      </c>
      <c r="V6">
        <v>6</v>
      </c>
      <c r="W6" s="8">
        <f>COUNTIF(O3:O999,"Include")/COUNTIF(O3:O999,"*")</f>
        <v>0.46</v>
      </c>
    </row>
    <row r="7" spans="1:24" ht="15" customHeight="1" x14ac:dyDescent="0.35">
      <c r="A7" t="s">
        <v>43</v>
      </c>
      <c r="B7">
        <v>2019</v>
      </c>
      <c r="C7" t="s">
        <v>44</v>
      </c>
      <c r="D7" t="s">
        <v>45</v>
      </c>
      <c r="E7" t="s">
        <v>16</v>
      </c>
      <c r="F7" t="s">
        <v>17</v>
      </c>
      <c r="G7" t="s">
        <v>16</v>
      </c>
      <c r="H7" t="s">
        <v>41</v>
      </c>
      <c r="I7" t="s">
        <v>16</v>
      </c>
      <c r="J7" t="s">
        <v>20</v>
      </c>
      <c r="K7" t="s">
        <v>16</v>
      </c>
      <c r="L7" t="s">
        <v>21</v>
      </c>
      <c r="M7" t="s">
        <v>16</v>
      </c>
      <c r="N7" t="s">
        <v>22</v>
      </c>
      <c r="O7" t="s">
        <v>16</v>
      </c>
      <c r="P7" t="s">
        <v>46</v>
      </c>
      <c r="Q7" t="s">
        <v>16</v>
      </c>
      <c r="R7" t="s">
        <v>47</v>
      </c>
      <c r="V7">
        <v>7</v>
      </c>
      <c r="W7" s="8">
        <f>COUNTIF(Q3:Q999,"Include")/COUNTIF(Q3:Q999,"*")</f>
        <v>0.26</v>
      </c>
    </row>
    <row r="8" spans="1:24" ht="15" customHeight="1" x14ac:dyDescent="0.35">
      <c r="A8" t="s">
        <v>48</v>
      </c>
      <c r="B8">
        <v>2019</v>
      </c>
      <c r="C8" t="s">
        <v>49</v>
      </c>
      <c r="D8" t="s">
        <v>50</v>
      </c>
      <c r="E8" t="s">
        <v>16</v>
      </c>
      <c r="F8" t="s">
        <v>17</v>
      </c>
      <c r="G8" t="s">
        <v>16</v>
      </c>
      <c r="H8" t="s">
        <v>41</v>
      </c>
      <c r="I8" t="s">
        <v>16</v>
      </c>
      <c r="J8" t="s">
        <v>51</v>
      </c>
      <c r="K8" t="s">
        <v>16</v>
      </c>
      <c r="L8" t="s">
        <v>21</v>
      </c>
      <c r="M8" t="s">
        <v>18</v>
      </c>
      <c r="N8" t="s">
        <v>29</v>
      </c>
      <c r="O8" t="s">
        <v>16</v>
      </c>
      <c r="P8" t="s">
        <v>46</v>
      </c>
      <c r="Q8" t="s">
        <v>18</v>
      </c>
      <c r="R8" t="s">
        <v>31</v>
      </c>
    </row>
    <row r="9" spans="1:24" ht="15" customHeight="1" x14ac:dyDescent="0.35">
      <c r="A9" t="s">
        <v>52</v>
      </c>
      <c r="B9">
        <v>2019</v>
      </c>
      <c r="C9" t="s">
        <v>53</v>
      </c>
      <c r="D9" t="s">
        <v>54</v>
      </c>
      <c r="E9" t="s">
        <v>16</v>
      </c>
      <c r="F9" t="s">
        <v>17</v>
      </c>
      <c r="G9" t="s">
        <v>16</v>
      </c>
      <c r="H9" t="s">
        <v>41</v>
      </c>
      <c r="I9" t="s">
        <v>16</v>
      </c>
      <c r="J9" t="s">
        <v>51</v>
      </c>
      <c r="K9" t="s">
        <v>16</v>
      </c>
      <c r="L9" t="s">
        <v>21</v>
      </c>
      <c r="M9" t="s">
        <v>18</v>
      </c>
      <c r="N9" t="s">
        <v>29</v>
      </c>
      <c r="O9" t="s">
        <v>16</v>
      </c>
      <c r="P9" t="s">
        <v>46</v>
      </c>
      <c r="Q9" t="s">
        <v>18</v>
      </c>
      <c r="R9" t="s">
        <v>31</v>
      </c>
    </row>
    <row r="10" spans="1:24" ht="15" customHeight="1" x14ac:dyDescent="0.35">
      <c r="A10" t="s">
        <v>55</v>
      </c>
      <c r="B10">
        <v>2019</v>
      </c>
      <c r="C10" t="s">
        <v>56</v>
      </c>
      <c r="D10" t="s">
        <v>57</v>
      </c>
      <c r="E10" t="s">
        <v>16</v>
      </c>
      <c r="F10" t="s">
        <v>17</v>
      </c>
      <c r="G10" t="s">
        <v>18</v>
      </c>
      <c r="H10" t="s">
        <v>58</v>
      </c>
      <c r="I10" t="s">
        <v>16</v>
      </c>
      <c r="J10" t="s">
        <v>59</v>
      </c>
      <c r="K10" t="s">
        <v>16</v>
      </c>
      <c r="L10" t="s">
        <v>21</v>
      </c>
      <c r="M10" t="s">
        <v>18</v>
      </c>
      <c r="N10" t="s">
        <v>29</v>
      </c>
      <c r="O10" t="s">
        <v>16</v>
      </c>
      <c r="P10" t="s">
        <v>23</v>
      </c>
      <c r="Q10" t="s">
        <v>18</v>
      </c>
      <c r="R10" t="s">
        <v>31</v>
      </c>
    </row>
    <row r="11" spans="1:24" ht="15" customHeight="1" x14ac:dyDescent="0.35">
      <c r="A11" t="s">
        <v>60</v>
      </c>
      <c r="B11">
        <v>2019</v>
      </c>
      <c r="C11" t="s">
        <v>61</v>
      </c>
      <c r="D11" t="s">
        <v>62</v>
      </c>
      <c r="E11" t="s">
        <v>16</v>
      </c>
      <c r="F11" t="s">
        <v>17</v>
      </c>
      <c r="G11" t="s">
        <v>16</v>
      </c>
      <c r="H11" t="s">
        <v>35</v>
      </c>
      <c r="I11" t="s">
        <v>16</v>
      </c>
      <c r="J11" t="s">
        <v>36</v>
      </c>
      <c r="K11" t="s">
        <v>16</v>
      </c>
      <c r="L11" t="s">
        <v>21</v>
      </c>
      <c r="M11" t="s">
        <v>16</v>
      </c>
      <c r="N11" t="s">
        <v>22</v>
      </c>
      <c r="O11" t="s">
        <v>16</v>
      </c>
      <c r="P11" t="s">
        <v>46</v>
      </c>
      <c r="Q11" t="s">
        <v>16</v>
      </c>
      <c r="R11" t="s">
        <v>37</v>
      </c>
    </row>
    <row r="12" spans="1:24" ht="15" customHeight="1" x14ac:dyDescent="0.35">
      <c r="A12" t="s">
        <v>63</v>
      </c>
      <c r="B12">
        <v>2019</v>
      </c>
      <c r="C12" t="s">
        <v>64</v>
      </c>
      <c r="D12" t="s">
        <v>65</v>
      </c>
      <c r="E12" t="s">
        <v>16</v>
      </c>
      <c r="F12" t="s">
        <v>17</v>
      </c>
      <c r="G12" t="s">
        <v>16</v>
      </c>
      <c r="H12" t="s">
        <v>66</v>
      </c>
      <c r="I12" t="s">
        <v>16</v>
      </c>
      <c r="J12" t="s">
        <v>36</v>
      </c>
      <c r="K12" t="s">
        <v>16</v>
      </c>
      <c r="L12" t="s">
        <v>21</v>
      </c>
      <c r="M12" t="s">
        <v>18</v>
      </c>
      <c r="N12" t="s">
        <v>29</v>
      </c>
      <c r="O12" t="s">
        <v>16</v>
      </c>
      <c r="P12" t="s">
        <v>46</v>
      </c>
      <c r="Q12" t="s">
        <v>18</v>
      </c>
      <c r="R12" t="s">
        <v>31</v>
      </c>
    </row>
    <row r="13" spans="1:24" ht="15" customHeight="1" x14ac:dyDescent="0.35">
      <c r="A13" t="s">
        <v>67</v>
      </c>
      <c r="B13">
        <v>2019</v>
      </c>
      <c r="C13" t="s">
        <v>68</v>
      </c>
      <c r="D13" t="s">
        <v>69</v>
      </c>
      <c r="E13" t="s">
        <v>16</v>
      </c>
      <c r="F13" t="s">
        <v>17</v>
      </c>
      <c r="G13" t="s">
        <v>18</v>
      </c>
      <c r="H13" t="s">
        <v>58</v>
      </c>
      <c r="I13" t="s">
        <v>16</v>
      </c>
      <c r="J13" t="s">
        <v>51</v>
      </c>
      <c r="K13" t="s">
        <v>16</v>
      </c>
      <c r="L13" t="s">
        <v>21</v>
      </c>
      <c r="M13" t="s">
        <v>16</v>
      </c>
      <c r="N13" t="s">
        <v>22</v>
      </c>
      <c r="O13" t="s">
        <v>18</v>
      </c>
      <c r="P13" t="s">
        <v>30</v>
      </c>
      <c r="Q13" t="s">
        <v>16</v>
      </c>
      <c r="R13" t="s">
        <v>70</v>
      </c>
    </row>
    <row r="14" spans="1:24" ht="15" customHeight="1" x14ac:dyDescent="0.35">
      <c r="A14" t="s">
        <v>71</v>
      </c>
      <c r="B14">
        <v>2019</v>
      </c>
      <c r="C14" t="s">
        <v>72</v>
      </c>
      <c r="D14" t="s">
        <v>73</v>
      </c>
      <c r="E14" t="s">
        <v>16</v>
      </c>
      <c r="F14" t="s">
        <v>17</v>
      </c>
      <c r="G14" t="s">
        <v>16</v>
      </c>
      <c r="H14" t="s">
        <v>35</v>
      </c>
      <c r="I14" t="s">
        <v>16</v>
      </c>
      <c r="J14" t="s">
        <v>74</v>
      </c>
      <c r="K14" t="s">
        <v>16</v>
      </c>
      <c r="L14" t="s">
        <v>21</v>
      </c>
      <c r="M14" t="s">
        <v>18</v>
      </c>
      <c r="N14" t="s">
        <v>29</v>
      </c>
      <c r="O14" t="s">
        <v>18</v>
      </c>
      <c r="P14" t="s">
        <v>30</v>
      </c>
      <c r="Q14" t="s">
        <v>18</v>
      </c>
      <c r="R14" t="s">
        <v>75</v>
      </c>
    </row>
    <row r="15" spans="1:24" s="7" customFormat="1" ht="15" customHeight="1" x14ac:dyDescent="0.35">
      <c r="A15" s="7" t="s">
        <v>76</v>
      </c>
      <c r="B15" s="7">
        <v>2019</v>
      </c>
      <c r="C15" s="7" t="s">
        <v>77</v>
      </c>
      <c r="D15" s="7" t="s">
        <v>78</v>
      </c>
      <c r="H15"/>
    </row>
    <row r="16" spans="1:24" ht="15" customHeight="1" x14ac:dyDescent="0.35">
      <c r="A16" t="s">
        <v>79</v>
      </c>
      <c r="B16">
        <v>2019</v>
      </c>
      <c r="C16" t="s">
        <v>80</v>
      </c>
      <c r="D16" t="s">
        <v>81</v>
      </c>
      <c r="E16" t="s">
        <v>16</v>
      </c>
      <c r="F16" t="s">
        <v>17</v>
      </c>
      <c r="G16" t="s">
        <v>16</v>
      </c>
      <c r="H16" t="s">
        <v>41</v>
      </c>
      <c r="I16" t="s">
        <v>16</v>
      </c>
      <c r="J16" t="s">
        <v>51</v>
      </c>
      <c r="K16" t="s">
        <v>16</v>
      </c>
      <c r="L16" t="s">
        <v>21</v>
      </c>
      <c r="M16" t="s">
        <v>16</v>
      </c>
      <c r="N16" t="s">
        <v>22</v>
      </c>
      <c r="O16" t="s">
        <v>18</v>
      </c>
      <c r="P16" t="s">
        <v>30</v>
      </c>
      <c r="Q16" t="s">
        <v>18</v>
      </c>
      <c r="R16" t="s">
        <v>82</v>
      </c>
    </row>
    <row r="17" spans="1:18" ht="15" customHeight="1" x14ac:dyDescent="0.35">
      <c r="A17" t="s">
        <v>83</v>
      </c>
      <c r="B17">
        <v>2019</v>
      </c>
      <c r="C17" t="s">
        <v>84</v>
      </c>
      <c r="D17" t="s">
        <v>85</v>
      </c>
      <c r="E17" t="s">
        <v>16</v>
      </c>
      <c r="F17" t="s">
        <v>17</v>
      </c>
      <c r="G17" t="s">
        <v>16</v>
      </c>
      <c r="H17" t="s">
        <v>41</v>
      </c>
      <c r="I17" t="s">
        <v>16</v>
      </c>
      <c r="J17" t="s">
        <v>51</v>
      </c>
      <c r="K17" t="s">
        <v>16</v>
      </c>
      <c r="L17" t="s">
        <v>21</v>
      </c>
      <c r="M17" t="s">
        <v>18</v>
      </c>
      <c r="N17" t="s">
        <v>29</v>
      </c>
      <c r="O17" t="s">
        <v>18</v>
      </c>
      <c r="P17" t="s">
        <v>30</v>
      </c>
      <c r="Q17" t="s">
        <v>18</v>
      </c>
      <c r="R17" t="s">
        <v>31</v>
      </c>
    </row>
    <row r="18" spans="1:18" ht="15" customHeight="1" x14ac:dyDescent="0.35">
      <c r="A18" t="s">
        <v>86</v>
      </c>
      <c r="B18">
        <v>2019</v>
      </c>
      <c r="C18" t="s">
        <v>87</v>
      </c>
      <c r="D18" t="s">
        <v>88</v>
      </c>
      <c r="E18" t="s">
        <v>16</v>
      </c>
      <c r="F18" t="s">
        <v>17</v>
      </c>
      <c r="G18" t="s">
        <v>16</v>
      </c>
      <c r="H18" t="s">
        <v>35</v>
      </c>
      <c r="I18" t="s">
        <v>16</v>
      </c>
      <c r="J18" t="s">
        <v>89</v>
      </c>
      <c r="K18" t="s">
        <v>16</v>
      </c>
      <c r="L18" t="s">
        <v>21</v>
      </c>
      <c r="M18" t="s">
        <v>16</v>
      </c>
      <c r="N18" t="s">
        <v>90</v>
      </c>
      <c r="O18" t="s">
        <v>16</v>
      </c>
      <c r="P18" t="s">
        <v>91</v>
      </c>
      <c r="Q18" t="s">
        <v>16</v>
      </c>
      <c r="R18" t="s">
        <v>92</v>
      </c>
    </row>
    <row r="19" spans="1:18" ht="15" customHeight="1" x14ac:dyDescent="0.35">
      <c r="A19" t="s">
        <v>93</v>
      </c>
      <c r="B19">
        <v>2019</v>
      </c>
      <c r="C19" t="s">
        <v>94</v>
      </c>
      <c r="D19" t="s">
        <v>95</v>
      </c>
      <c r="E19" t="s">
        <v>16</v>
      </c>
      <c r="F19" t="s">
        <v>17</v>
      </c>
      <c r="G19" t="s">
        <v>16</v>
      </c>
      <c r="H19" t="s">
        <v>41</v>
      </c>
      <c r="I19" t="s">
        <v>16</v>
      </c>
      <c r="J19" t="s">
        <v>59</v>
      </c>
      <c r="K19" t="s">
        <v>16</v>
      </c>
      <c r="L19" t="s">
        <v>21</v>
      </c>
      <c r="M19" t="s">
        <v>18</v>
      </c>
      <c r="N19" t="s">
        <v>29</v>
      </c>
      <c r="O19" t="s">
        <v>16</v>
      </c>
      <c r="P19" t="s">
        <v>23</v>
      </c>
      <c r="Q19" t="s">
        <v>18</v>
      </c>
      <c r="R19" t="s">
        <v>31</v>
      </c>
    </row>
    <row r="20" spans="1:18" ht="15" customHeight="1" x14ac:dyDescent="0.35">
      <c r="A20" t="s">
        <v>96</v>
      </c>
      <c r="B20">
        <v>2019</v>
      </c>
      <c r="C20" t="s">
        <v>97</v>
      </c>
      <c r="D20" t="s">
        <v>98</v>
      </c>
      <c r="E20" t="s">
        <v>16</v>
      </c>
      <c r="F20" t="s">
        <v>17</v>
      </c>
      <c r="G20" t="s">
        <v>18</v>
      </c>
      <c r="H20" t="s">
        <v>99</v>
      </c>
      <c r="I20" t="s">
        <v>16</v>
      </c>
      <c r="J20" t="s">
        <v>100</v>
      </c>
      <c r="K20" t="s">
        <v>16</v>
      </c>
      <c r="L20" t="s">
        <v>21</v>
      </c>
      <c r="M20" t="s">
        <v>18</v>
      </c>
      <c r="N20" t="s">
        <v>29</v>
      </c>
      <c r="O20" t="s">
        <v>18</v>
      </c>
      <c r="P20" t="s">
        <v>30</v>
      </c>
      <c r="Q20" t="s">
        <v>18</v>
      </c>
      <c r="R20" t="s">
        <v>31</v>
      </c>
    </row>
    <row r="21" spans="1:18" ht="15" customHeight="1" x14ac:dyDescent="0.35">
      <c r="A21" t="s">
        <v>101</v>
      </c>
      <c r="B21">
        <v>2019</v>
      </c>
      <c r="C21" t="s">
        <v>102</v>
      </c>
      <c r="D21" t="s">
        <v>103</v>
      </c>
      <c r="E21" t="s">
        <v>16</v>
      </c>
      <c r="F21" t="s">
        <v>17</v>
      </c>
      <c r="G21" t="s">
        <v>18</v>
      </c>
      <c r="H21" t="s">
        <v>19</v>
      </c>
      <c r="I21" t="s">
        <v>16</v>
      </c>
      <c r="J21" t="s">
        <v>100</v>
      </c>
      <c r="K21" t="s">
        <v>16</v>
      </c>
      <c r="L21" t="s">
        <v>21</v>
      </c>
      <c r="M21" t="s">
        <v>18</v>
      </c>
      <c r="N21" t="s">
        <v>29</v>
      </c>
      <c r="O21" t="s">
        <v>18</v>
      </c>
      <c r="P21" t="s">
        <v>30</v>
      </c>
      <c r="Q21" t="s">
        <v>18</v>
      </c>
      <c r="R21" t="s">
        <v>31</v>
      </c>
    </row>
    <row r="22" spans="1:18" ht="15" customHeight="1" x14ac:dyDescent="0.35">
      <c r="A22" t="s">
        <v>104</v>
      </c>
      <c r="B22">
        <v>2019</v>
      </c>
      <c r="C22" t="s">
        <v>105</v>
      </c>
      <c r="D22" t="s">
        <v>106</v>
      </c>
      <c r="E22" t="s">
        <v>16</v>
      </c>
      <c r="F22" t="s">
        <v>17</v>
      </c>
      <c r="G22" t="s">
        <v>18</v>
      </c>
      <c r="H22" t="s">
        <v>19</v>
      </c>
      <c r="I22" t="s">
        <v>16</v>
      </c>
      <c r="J22" t="s">
        <v>100</v>
      </c>
      <c r="K22" t="s">
        <v>16</v>
      </c>
      <c r="L22" t="s">
        <v>21</v>
      </c>
      <c r="M22" t="s">
        <v>16</v>
      </c>
      <c r="N22" t="s">
        <v>90</v>
      </c>
      <c r="O22" t="s">
        <v>18</v>
      </c>
      <c r="P22" t="s">
        <v>30</v>
      </c>
      <c r="Q22" t="s">
        <v>16</v>
      </c>
      <c r="R22" t="s">
        <v>107</v>
      </c>
    </row>
    <row r="23" spans="1:18" ht="15" customHeight="1" x14ac:dyDescent="0.35">
      <c r="A23" t="s">
        <v>108</v>
      </c>
      <c r="B23">
        <v>2019</v>
      </c>
      <c r="C23" t="s">
        <v>109</v>
      </c>
      <c r="D23" t="s">
        <v>110</v>
      </c>
      <c r="E23" t="s">
        <v>16</v>
      </c>
      <c r="F23" t="s">
        <v>17</v>
      </c>
      <c r="G23" t="s">
        <v>16</v>
      </c>
      <c r="H23" t="s">
        <v>35</v>
      </c>
      <c r="I23" t="s">
        <v>16</v>
      </c>
      <c r="J23" t="s">
        <v>36</v>
      </c>
      <c r="K23" t="s">
        <v>16</v>
      </c>
      <c r="L23" t="s">
        <v>21</v>
      </c>
      <c r="M23" t="s">
        <v>16</v>
      </c>
      <c r="N23" t="s">
        <v>90</v>
      </c>
      <c r="O23" t="s">
        <v>18</v>
      </c>
      <c r="P23" t="s">
        <v>30</v>
      </c>
      <c r="Q23" t="s">
        <v>16</v>
      </c>
      <c r="R23" t="s">
        <v>111</v>
      </c>
    </row>
    <row r="24" spans="1:18" ht="15" customHeight="1" x14ac:dyDescent="0.35">
      <c r="A24" t="s">
        <v>112</v>
      </c>
      <c r="B24">
        <v>2019</v>
      </c>
      <c r="C24" t="s">
        <v>113</v>
      </c>
      <c r="D24" t="s">
        <v>114</v>
      </c>
      <c r="E24" t="s">
        <v>16</v>
      </c>
      <c r="F24" t="s">
        <v>17</v>
      </c>
      <c r="G24" t="s">
        <v>16</v>
      </c>
      <c r="H24" t="s">
        <v>66</v>
      </c>
      <c r="I24" t="s">
        <v>16</v>
      </c>
      <c r="J24" t="s">
        <v>36</v>
      </c>
      <c r="K24" t="s">
        <v>16</v>
      </c>
      <c r="L24" t="s">
        <v>21</v>
      </c>
      <c r="M24" t="s">
        <v>18</v>
      </c>
      <c r="N24" t="s">
        <v>29</v>
      </c>
      <c r="O24" t="s">
        <v>16</v>
      </c>
      <c r="P24" t="s">
        <v>46</v>
      </c>
      <c r="Q24" t="s">
        <v>18</v>
      </c>
      <c r="R24" t="s">
        <v>31</v>
      </c>
    </row>
    <row r="25" spans="1:18" ht="15" customHeight="1" x14ac:dyDescent="0.35">
      <c r="A25" t="s">
        <v>115</v>
      </c>
      <c r="B25">
        <v>2019</v>
      </c>
      <c r="C25" t="s">
        <v>116</v>
      </c>
      <c r="D25" t="s">
        <v>117</v>
      </c>
      <c r="E25" t="s">
        <v>16</v>
      </c>
      <c r="F25" t="s">
        <v>17</v>
      </c>
      <c r="G25" t="s">
        <v>16</v>
      </c>
      <c r="H25" t="s">
        <v>118</v>
      </c>
      <c r="I25" t="s">
        <v>16</v>
      </c>
      <c r="J25" t="s">
        <v>36</v>
      </c>
      <c r="K25" t="s">
        <v>16</v>
      </c>
      <c r="L25" t="s">
        <v>21</v>
      </c>
      <c r="M25" t="s">
        <v>16</v>
      </c>
      <c r="N25" t="s">
        <v>90</v>
      </c>
      <c r="O25" t="s">
        <v>18</v>
      </c>
      <c r="P25" t="s">
        <v>30</v>
      </c>
      <c r="Q25" t="s">
        <v>18</v>
      </c>
      <c r="R25" t="s">
        <v>119</v>
      </c>
    </row>
    <row r="26" spans="1:18" ht="15" customHeight="1" x14ac:dyDescent="0.35">
      <c r="A26" t="s">
        <v>120</v>
      </c>
      <c r="B26">
        <v>2019</v>
      </c>
      <c r="C26" t="s">
        <v>121</v>
      </c>
      <c r="D26" t="s">
        <v>122</v>
      </c>
      <c r="E26" t="s">
        <v>16</v>
      </c>
      <c r="F26" t="s">
        <v>17</v>
      </c>
      <c r="G26" t="s">
        <v>16</v>
      </c>
      <c r="H26" t="s">
        <v>41</v>
      </c>
      <c r="I26" t="s">
        <v>16</v>
      </c>
      <c r="J26" t="s">
        <v>51</v>
      </c>
      <c r="K26" t="s">
        <v>16</v>
      </c>
      <c r="L26" t="s">
        <v>21</v>
      </c>
      <c r="M26" t="s">
        <v>18</v>
      </c>
      <c r="N26" t="s">
        <v>29</v>
      </c>
      <c r="O26" t="s">
        <v>16</v>
      </c>
      <c r="P26" t="s">
        <v>23</v>
      </c>
      <c r="Q26" t="s">
        <v>18</v>
      </c>
      <c r="R26" t="s">
        <v>31</v>
      </c>
    </row>
    <row r="27" spans="1:18" ht="15" customHeight="1" x14ac:dyDescent="0.35">
      <c r="A27" t="s">
        <v>123</v>
      </c>
      <c r="B27">
        <v>2019</v>
      </c>
      <c r="C27" t="s">
        <v>124</v>
      </c>
      <c r="D27" t="s">
        <v>125</v>
      </c>
      <c r="E27" t="s">
        <v>16</v>
      </c>
      <c r="F27" t="s">
        <v>17</v>
      </c>
      <c r="G27" t="s">
        <v>16</v>
      </c>
      <c r="H27" t="s">
        <v>41</v>
      </c>
      <c r="I27" t="s">
        <v>16</v>
      </c>
      <c r="J27" t="s">
        <v>51</v>
      </c>
      <c r="K27" t="s">
        <v>16</v>
      </c>
      <c r="L27" t="s">
        <v>21</v>
      </c>
      <c r="M27" t="s">
        <v>18</v>
      </c>
      <c r="N27" t="s">
        <v>29</v>
      </c>
      <c r="O27" t="s">
        <v>16</v>
      </c>
      <c r="P27" t="s">
        <v>23</v>
      </c>
      <c r="Q27" t="s">
        <v>18</v>
      </c>
      <c r="R27" t="s">
        <v>31</v>
      </c>
    </row>
    <row r="28" spans="1:18" ht="15" customHeight="1" x14ac:dyDescent="0.35">
      <c r="A28" t="s">
        <v>126</v>
      </c>
      <c r="B28">
        <v>2019</v>
      </c>
      <c r="C28" t="s">
        <v>127</v>
      </c>
      <c r="D28" t="s">
        <v>128</v>
      </c>
      <c r="E28" t="s">
        <v>16</v>
      </c>
      <c r="F28" t="s">
        <v>17</v>
      </c>
      <c r="G28" t="s">
        <v>16</v>
      </c>
      <c r="H28" t="s">
        <v>35</v>
      </c>
      <c r="I28" t="s">
        <v>16</v>
      </c>
      <c r="J28" t="s">
        <v>129</v>
      </c>
      <c r="K28" t="s">
        <v>16</v>
      </c>
      <c r="L28" t="s">
        <v>21</v>
      </c>
      <c r="M28" t="s">
        <v>18</v>
      </c>
      <c r="N28" t="s">
        <v>29</v>
      </c>
      <c r="O28" t="s">
        <v>16</v>
      </c>
      <c r="P28" t="s">
        <v>23</v>
      </c>
      <c r="Q28" t="s">
        <v>18</v>
      </c>
      <c r="R28" t="s">
        <v>31</v>
      </c>
    </row>
    <row r="29" spans="1:18" ht="15" customHeight="1" x14ac:dyDescent="0.35">
      <c r="A29" t="s">
        <v>130</v>
      </c>
      <c r="B29">
        <v>2019</v>
      </c>
      <c r="C29" t="s">
        <v>131</v>
      </c>
      <c r="D29" t="s">
        <v>132</v>
      </c>
      <c r="E29" t="s">
        <v>16</v>
      </c>
      <c r="F29" t="s">
        <v>17</v>
      </c>
      <c r="G29" t="s">
        <v>18</v>
      </c>
      <c r="H29" t="s">
        <v>99</v>
      </c>
      <c r="I29" t="s">
        <v>18</v>
      </c>
      <c r="J29" t="s">
        <v>133</v>
      </c>
      <c r="K29" t="s">
        <v>16</v>
      </c>
      <c r="L29" t="s">
        <v>21</v>
      </c>
      <c r="M29" t="s">
        <v>18</v>
      </c>
      <c r="N29" t="s">
        <v>29</v>
      </c>
      <c r="O29" t="s">
        <v>16</v>
      </c>
      <c r="P29" t="s">
        <v>134</v>
      </c>
      <c r="Q29" t="s">
        <v>18</v>
      </c>
      <c r="R29" t="s">
        <v>31</v>
      </c>
    </row>
    <row r="30" spans="1:18" ht="15" customHeight="1" x14ac:dyDescent="0.35">
      <c r="A30" t="s">
        <v>135</v>
      </c>
      <c r="B30">
        <v>2019</v>
      </c>
      <c r="C30" t="s">
        <v>136</v>
      </c>
      <c r="D30" t="s">
        <v>137</v>
      </c>
      <c r="E30" t="s">
        <v>16</v>
      </c>
      <c r="F30" t="s">
        <v>17</v>
      </c>
      <c r="G30" t="s">
        <v>16</v>
      </c>
      <c r="H30" t="s">
        <v>35</v>
      </c>
      <c r="I30" t="s">
        <v>16</v>
      </c>
      <c r="J30" t="s">
        <v>51</v>
      </c>
      <c r="K30" t="s">
        <v>16</v>
      </c>
      <c r="L30" t="s">
        <v>21</v>
      </c>
      <c r="M30" t="s">
        <v>18</v>
      </c>
      <c r="N30" t="s">
        <v>29</v>
      </c>
      <c r="O30" t="s">
        <v>18</v>
      </c>
      <c r="P30" t="s">
        <v>30</v>
      </c>
      <c r="Q30" t="s">
        <v>18</v>
      </c>
      <c r="R30" t="s">
        <v>31</v>
      </c>
    </row>
    <row r="31" spans="1:18" ht="15" customHeight="1" x14ac:dyDescent="0.35">
      <c r="A31" t="s">
        <v>138</v>
      </c>
      <c r="B31">
        <v>2019</v>
      </c>
      <c r="C31" t="s">
        <v>139</v>
      </c>
      <c r="D31" t="s">
        <v>140</v>
      </c>
      <c r="E31" t="s">
        <v>16</v>
      </c>
      <c r="F31" t="s">
        <v>17</v>
      </c>
      <c r="G31" t="s">
        <v>16</v>
      </c>
      <c r="H31" t="s">
        <v>41</v>
      </c>
      <c r="I31" t="s">
        <v>16</v>
      </c>
      <c r="J31" t="s">
        <v>51</v>
      </c>
      <c r="K31" t="s">
        <v>16</v>
      </c>
      <c r="L31" t="s">
        <v>21</v>
      </c>
      <c r="M31" t="s">
        <v>18</v>
      </c>
      <c r="N31" t="s">
        <v>29</v>
      </c>
      <c r="O31" t="s">
        <v>18</v>
      </c>
      <c r="P31" t="s">
        <v>30</v>
      </c>
      <c r="Q31" t="s">
        <v>18</v>
      </c>
      <c r="R31" t="s">
        <v>31</v>
      </c>
    </row>
    <row r="32" spans="1:18" ht="15" customHeight="1" x14ac:dyDescent="0.35">
      <c r="A32" t="s">
        <v>141</v>
      </c>
      <c r="B32">
        <v>2019</v>
      </c>
      <c r="C32" t="s">
        <v>142</v>
      </c>
      <c r="D32" t="s">
        <v>143</v>
      </c>
      <c r="E32" t="s">
        <v>16</v>
      </c>
      <c r="F32" t="s">
        <v>17</v>
      </c>
      <c r="G32" t="s">
        <v>16</v>
      </c>
      <c r="H32" t="s">
        <v>41</v>
      </c>
      <c r="I32" t="s">
        <v>16</v>
      </c>
      <c r="J32" t="s">
        <v>51</v>
      </c>
      <c r="K32" t="s">
        <v>16</v>
      </c>
      <c r="L32" t="s">
        <v>21</v>
      </c>
      <c r="M32" t="s">
        <v>18</v>
      </c>
      <c r="N32" t="s">
        <v>144</v>
      </c>
      <c r="O32" t="s">
        <v>18</v>
      </c>
      <c r="P32" t="s">
        <v>30</v>
      </c>
      <c r="Q32" t="s">
        <v>18</v>
      </c>
      <c r="R32" t="s">
        <v>145</v>
      </c>
    </row>
    <row r="33" spans="1:18" ht="15" customHeight="1" x14ac:dyDescent="0.35">
      <c r="A33" t="s">
        <v>146</v>
      </c>
      <c r="B33">
        <v>2019</v>
      </c>
      <c r="C33" t="s">
        <v>147</v>
      </c>
      <c r="D33" t="s">
        <v>148</v>
      </c>
      <c r="E33" t="s">
        <v>16</v>
      </c>
      <c r="F33" t="s">
        <v>17</v>
      </c>
      <c r="G33" t="s">
        <v>16</v>
      </c>
      <c r="H33" t="s">
        <v>41</v>
      </c>
      <c r="I33" t="s">
        <v>16</v>
      </c>
      <c r="J33" t="s">
        <v>51</v>
      </c>
      <c r="K33" t="s">
        <v>16</v>
      </c>
      <c r="L33" t="s">
        <v>21</v>
      </c>
      <c r="M33" t="s">
        <v>18</v>
      </c>
      <c r="N33" t="s">
        <v>144</v>
      </c>
      <c r="O33" t="s">
        <v>18</v>
      </c>
      <c r="P33" t="s">
        <v>30</v>
      </c>
      <c r="Q33" t="s">
        <v>18</v>
      </c>
      <c r="R33" t="s">
        <v>31</v>
      </c>
    </row>
    <row r="34" spans="1:18" ht="15" customHeight="1" x14ac:dyDescent="0.35">
      <c r="A34" t="s">
        <v>149</v>
      </c>
      <c r="B34">
        <v>2019</v>
      </c>
      <c r="C34" t="s">
        <v>150</v>
      </c>
      <c r="D34" t="s">
        <v>151</v>
      </c>
      <c r="E34" t="s">
        <v>16</v>
      </c>
      <c r="F34" t="s">
        <v>17</v>
      </c>
      <c r="G34" t="s">
        <v>18</v>
      </c>
      <c r="H34" t="s">
        <v>152</v>
      </c>
      <c r="I34" t="s">
        <v>18</v>
      </c>
      <c r="J34" t="s">
        <v>153</v>
      </c>
      <c r="K34" t="s">
        <v>16</v>
      </c>
      <c r="L34" t="s">
        <v>21</v>
      </c>
      <c r="M34" t="s">
        <v>18</v>
      </c>
      <c r="N34" t="s">
        <v>29</v>
      </c>
      <c r="O34" t="s">
        <v>18</v>
      </c>
      <c r="P34" t="s">
        <v>30</v>
      </c>
      <c r="Q34" t="s">
        <v>18</v>
      </c>
      <c r="R34" t="s">
        <v>31</v>
      </c>
    </row>
    <row r="35" spans="1:18" ht="15" customHeight="1" x14ac:dyDescent="0.35">
      <c r="A35" t="s">
        <v>154</v>
      </c>
      <c r="B35">
        <v>2019</v>
      </c>
      <c r="C35" t="s">
        <v>155</v>
      </c>
      <c r="D35" t="s">
        <v>156</v>
      </c>
      <c r="E35" t="s">
        <v>16</v>
      </c>
      <c r="F35" t="s">
        <v>17</v>
      </c>
      <c r="G35" t="s">
        <v>16</v>
      </c>
      <c r="H35" t="s">
        <v>35</v>
      </c>
      <c r="I35" t="s">
        <v>16</v>
      </c>
      <c r="J35" t="s">
        <v>36</v>
      </c>
      <c r="K35" t="s">
        <v>16</v>
      </c>
      <c r="L35" t="s">
        <v>21</v>
      </c>
      <c r="M35" t="s">
        <v>18</v>
      </c>
      <c r="N35" t="s">
        <v>29</v>
      </c>
      <c r="O35" t="s">
        <v>18</v>
      </c>
      <c r="P35" t="s">
        <v>30</v>
      </c>
      <c r="Q35" t="s">
        <v>18</v>
      </c>
      <c r="R35" t="s">
        <v>31</v>
      </c>
    </row>
    <row r="36" spans="1:18" ht="15" customHeight="1" x14ac:dyDescent="0.35">
      <c r="A36" t="s">
        <v>157</v>
      </c>
      <c r="B36">
        <v>2019</v>
      </c>
      <c r="C36" t="s">
        <v>158</v>
      </c>
      <c r="D36" t="s">
        <v>159</v>
      </c>
      <c r="E36" t="s">
        <v>16</v>
      </c>
      <c r="F36" t="s">
        <v>17</v>
      </c>
      <c r="G36" t="s">
        <v>16</v>
      </c>
      <c r="H36" t="s">
        <v>41</v>
      </c>
      <c r="I36" t="s">
        <v>16</v>
      </c>
      <c r="J36" t="s">
        <v>89</v>
      </c>
      <c r="K36" t="s">
        <v>18</v>
      </c>
      <c r="L36" t="s">
        <v>160</v>
      </c>
      <c r="M36" t="s">
        <v>18</v>
      </c>
      <c r="N36" t="s">
        <v>161</v>
      </c>
      <c r="O36" t="s">
        <v>16</v>
      </c>
      <c r="P36" t="s">
        <v>91</v>
      </c>
      <c r="Q36" t="s">
        <v>18</v>
      </c>
      <c r="R36" t="s">
        <v>162</v>
      </c>
    </row>
    <row r="37" spans="1:18" ht="15" customHeight="1" x14ac:dyDescent="0.35">
      <c r="A37" t="s">
        <v>163</v>
      </c>
      <c r="B37">
        <v>2019</v>
      </c>
      <c r="C37" t="s">
        <v>164</v>
      </c>
      <c r="D37" s="1" t="s">
        <v>165</v>
      </c>
      <c r="E37" t="s">
        <v>16</v>
      </c>
      <c r="F37" t="s">
        <v>17</v>
      </c>
      <c r="G37" t="s">
        <v>16</v>
      </c>
      <c r="H37" t="s">
        <v>35</v>
      </c>
      <c r="I37" t="s">
        <v>16</v>
      </c>
      <c r="J37" t="s">
        <v>36</v>
      </c>
      <c r="K37" t="s">
        <v>16</v>
      </c>
      <c r="L37" t="s">
        <v>21</v>
      </c>
      <c r="M37" t="s">
        <v>18</v>
      </c>
      <c r="N37" t="s">
        <v>29</v>
      </c>
      <c r="O37" t="s">
        <v>16</v>
      </c>
      <c r="P37" t="s">
        <v>166</v>
      </c>
      <c r="Q37" t="s">
        <v>18</v>
      </c>
      <c r="R37" t="s">
        <v>31</v>
      </c>
    </row>
    <row r="38" spans="1:18" ht="15" customHeight="1" x14ac:dyDescent="0.35">
      <c r="A38" t="s">
        <v>167</v>
      </c>
      <c r="B38">
        <v>2019</v>
      </c>
      <c r="C38" t="s">
        <v>168</v>
      </c>
      <c r="D38" t="s">
        <v>169</v>
      </c>
      <c r="E38" t="s">
        <v>16</v>
      </c>
      <c r="F38" t="s">
        <v>17</v>
      </c>
      <c r="G38" t="s">
        <v>16</v>
      </c>
      <c r="H38" t="s">
        <v>41</v>
      </c>
      <c r="I38" t="s">
        <v>16</v>
      </c>
      <c r="J38" t="s">
        <v>59</v>
      </c>
      <c r="K38" t="s">
        <v>16</v>
      </c>
      <c r="L38" t="s">
        <v>21</v>
      </c>
      <c r="M38" t="s">
        <v>18</v>
      </c>
      <c r="N38" t="s">
        <v>144</v>
      </c>
      <c r="O38" t="s">
        <v>16</v>
      </c>
      <c r="P38" t="s">
        <v>23</v>
      </c>
      <c r="Q38" t="s">
        <v>18</v>
      </c>
      <c r="R38" t="s">
        <v>31</v>
      </c>
    </row>
    <row r="39" spans="1:18" ht="15" customHeight="1" x14ac:dyDescent="0.35">
      <c r="A39" t="s">
        <v>170</v>
      </c>
      <c r="B39">
        <v>2019</v>
      </c>
      <c r="C39" t="s">
        <v>171</v>
      </c>
      <c r="D39" t="s">
        <v>172</v>
      </c>
      <c r="E39" t="s">
        <v>16</v>
      </c>
      <c r="F39" t="s">
        <v>17</v>
      </c>
      <c r="G39" t="s">
        <v>16</v>
      </c>
      <c r="H39" t="s">
        <v>173</v>
      </c>
      <c r="I39" t="s">
        <v>16</v>
      </c>
      <c r="J39" t="s">
        <v>36</v>
      </c>
      <c r="K39" t="s">
        <v>16</v>
      </c>
      <c r="L39" t="s">
        <v>21</v>
      </c>
      <c r="M39" t="s">
        <v>16</v>
      </c>
      <c r="N39" t="s">
        <v>90</v>
      </c>
      <c r="O39" t="s">
        <v>18</v>
      </c>
      <c r="P39" t="s">
        <v>30</v>
      </c>
      <c r="Q39" t="s">
        <v>16</v>
      </c>
      <c r="R39" t="s">
        <v>92</v>
      </c>
    </row>
    <row r="40" spans="1:18" ht="15" customHeight="1" x14ac:dyDescent="0.35">
      <c r="A40" t="s">
        <v>174</v>
      </c>
      <c r="B40">
        <v>2019</v>
      </c>
      <c r="C40" t="s">
        <v>175</v>
      </c>
      <c r="D40" t="s">
        <v>176</v>
      </c>
      <c r="E40" t="s">
        <v>16</v>
      </c>
      <c r="F40" t="s">
        <v>17</v>
      </c>
      <c r="G40" t="s">
        <v>16</v>
      </c>
      <c r="H40" t="s">
        <v>35</v>
      </c>
      <c r="I40" t="s">
        <v>16</v>
      </c>
      <c r="J40" t="s">
        <v>74</v>
      </c>
      <c r="K40" t="s">
        <v>16</v>
      </c>
      <c r="L40" t="s">
        <v>21</v>
      </c>
      <c r="N40" t="s">
        <v>90</v>
      </c>
      <c r="O40" t="s">
        <v>16</v>
      </c>
      <c r="P40" t="s">
        <v>23</v>
      </c>
      <c r="Q40" t="s">
        <v>18</v>
      </c>
      <c r="R40" t="s">
        <v>177</v>
      </c>
    </row>
    <row r="41" spans="1:18" ht="15" customHeight="1" x14ac:dyDescent="0.35">
      <c r="A41" t="s">
        <v>178</v>
      </c>
      <c r="B41">
        <v>2019</v>
      </c>
      <c r="C41" t="s">
        <v>179</v>
      </c>
      <c r="D41" t="s">
        <v>180</v>
      </c>
      <c r="E41" t="s">
        <v>16</v>
      </c>
      <c r="F41" t="s">
        <v>17</v>
      </c>
      <c r="G41" t="s">
        <v>18</v>
      </c>
      <c r="H41" t="s">
        <v>58</v>
      </c>
      <c r="I41" t="s">
        <v>18</v>
      </c>
      <c r="J41" t="s">
        <v>181</v>
      </c>
      <c r="K41" t="s">
        <v>16</v>
      </c>
      <c r="L41" t="s">
        <v>21</v>
      </c>
      <c r="M41" t="s">
        <v>18</v>
      </c>
      <c r="N41" t="s">
        <v>29</v>
      </c>
      <c r="O41" t="s">
        <v>18</v>
      </c>
      <c r="P41" t="s">
        <v>30</v>
      </c>
      <c r="Q41" t="s">
        <v>18</v>
      </c>
      <c r="R41" t="s">
        <v>31</v>
      </c>
    </row>
    <row r="42" spans="1:18" ht="15" customHeight="1" x14ac:dyDescent="0.35">
      <c r="A42" t="s">
        <v>182</v>
      </c>
      <c r="B42">
        <v>2019</v>
      </c>
      <c r="C42" t="s">
        <v>183</v>
      </c>
      <c r="D42" t="s">
        <v>184</v>
      </c>
      <c r="E42" t="s">
        <v>16</v>
      </c>
      <c r="F42" t="s">
        <v>17</v>
      </c>
      <c r="G42" t="s">
        <v>18</v>
      </c>
      <c r="H42" t="s">
        <v>185</v>
      </c>
      <c r="I42" t="s">
        <v>18</v>
      </c>
      <c r="J42" t="s">
        <v>186</v>
      </c>
      <c r="K42" t="s">
        <v>16</v>
      </c>
      <c r="L42" t="s">
        <v>21</v>
      </c>
      <c r="M42" t="s">
        <v>18</v>
      </c>
      <c r="N42" t="s">
        <v>186</v>
      </c>
      <c r="O42" t="s">
        <v>18</v>
      </c>
      <c r="P42" t="s">
        <v>30</v>
      </c>
      <c r="Q42" t="s">
        <v>18</v>
      </c>
      <c r="R42" t="s">
        <v>186</v>
      </c>
    </row>
    <row r="43" spans="1:18" ht="15" customHeight="1" x14ac:dyDescent="0.35">
      <c r="A43" t="s">
        <v>187</v>
      </c>
      <c r="B43">
        <v>2019</v>
      </c>
      <c r="C43" t="s">
        <v>188</v>
      </c>
      <c r="D43" t="s">
        <v>189</v>
      </c>
      <c r="E43" t="s">
        <v>16</v>
      </c>
      <c r="F43" t="s">
        <v>17</v>
      </c>
      <c r="G43" t="s">
        <v>16</v>
      </c>
      <c r="H43" t="s">
        <v>41</v>
      </c>
      <c r="I43" t="s">
        <v>16</v>
      </c>
      <c r="J43" t="s">
        <v>190</v>
      </c>
      <c r="K43" t="s">
        <v>16</v>
      </c>
      <c r="L43" t="s">
        <v>21</v>
      </c>
      <c r="M43" t="s">
        <v>18</v>
      </c>
      <c r="N43" t="s">
        <v>29</v>
      </c>
      <c r="O43" t="s">
        <v>18</v>
      </c>
      <c r="P43" t="s">
        <v>30</v>
      </c>
      <c r="Q43" t="s">
        <v>18</v>
      </c>
      <c r="R43" t="s">
        <v>31</v>
      </c>
    </row>
    <row r="44" spans="1:18" ht="15" customHeight="1" x14ac:dyDescent="0.35">
      <c r="A44" t="s">
        <v>191</v>
      </c>
      <c r="B44">
        <v>2019</v>
      </c>
      <c r="C44" t="s">
        <v>192</v>
      </c>
      <c r="D44" s="1" t="s">
        <v>193</v>
      </c>
      <c r="E44" t="s">
        <v>16</v>
      </c>
      <c r="F44" t="s">
        <v>17</v>
      </c>
      <c r="G44" t="s">
        <v>16</v>
      </c>
      <c r="H44" t="s">
        <v>35</v>
      </c>
      <c r="I44" t="s">
        <v>16</v>
      </c>
      <c r="J44" t="s">
        <v>36</v>
      </c>
      <c r="K44" t="s">
        <v>16</v>
      </c>
      <c r="L44" t="s">
        <v>21</v>
      </c>
      <c r="M44" t="s">
        <v>16</v>
      </c>
      <c r="N44" t="s">
        <v>90</v>
      </c>
      <c r="O44" t="s">
        <v>18</v>
      </c>
      <c r="P44" t="s">
        <v>30</v>
      </c>
      <c r="Q44" t="s">
        <v>16</v>
      </c>
      <c r="R44" t="s">
        <v>194</v>
      </c>
    </row>
    <row r="45" spans="1:18" ht="15" customHeight="1" x14ac:dyDescent="0.35">
      <c r="A45" t="s">
        <v>195</v>
      </c>
      <c r="B45">
        <v>2019</v>
      </c>
      <c r="C45" t="s">
        <v>196</v>
      </c>
      <c r="D45" t="s">
        <v>197</v>
      </c>
      <c r="E45" t="s">
        <v>16</v>
      </c>
      <c r="F45" t="s">
        <v>17</v>
      </c>
      <c r="G45" t="s">
        <v>16</v>
      </c>
      <c r="H45" t="s">
        <v>35</v>
      </c>
      <c r="I45" t="s">
        <v>16</v>
      </c>
      <c r="J45" t="s">
        <v>198</v>
      </c>
      <c r="K45" t="s">
        <v>16</v>
      </c>
      <c r="L45" t="s">
        <v>21</v>
      </c>
      <c r="M45" t="s">
        <v>18</v>
      </c>
      <c r="N45" t="s">
        <v>29</v>
      </c>
      <c r="O45" t="s">
        <v>18</v>
      </c>
      <c r="P45" t="s">
        <v>30</v>
      </c>
      <c r="Q45" t="s">
        <v>18</v>
      </c>
      <c r="R45" t="s">
        <v>31</v>
      </c>
    </row>
    <row r="46" spans="1:18" ht="15" customHeight="1" x14ac:dyDescent="0.35">
      <c r="A46" t="s">
        <v>199</v>
      </c>
      <c r="B46">
        <v>2019</v>
      </c>
      <c r="C46" t="s">
        <v>200</v>
      </c>
      <c r="D46" t="s">
        <v>201</v>
      </c>
      <c r="E46" t="s">
        <v>16</v>
      </c>
      <c r="F46" t="s">
        <v>17</v>
      </c>
      <c r="G46" t="s">
        <v>16</v>
      </c>
      <c r="H46" t="s">
        <v>35</v>
      </c>
      <c r="I46" t="s">
        <v>16</v>
      </c>
      <c r="J46" t="s">
        <v>190</v>
      </c>
      <c r="K46" t="s">
        <v>18</v>
      </c>
      <c r="L46" t="s">
        <v>160</v>
      </c>
      <c r="M46" t="s">
        <v>18</v>
      </c>
      <c r="N46" t="s">
        <v>202</v>
      </c>
      <c r="O46" t="s">
        <v>18</v>
      </c>
      <c r="P46" t="s">
        <v>30</v>
      </c>
      <c r="Q46" t="s">
        <v>18</v>
      </c>
      <c r="R46" t="s">
        <v>203</v>
      </c>
    </row>
    <row r="47" spans="1:18" ht="15" customHeight="1" x14ac:dyDescent="0.35">
      <c r="A47" t="s">
        <v>204</v>
      </c>
      <c r="B47">
        <v>2019</v>
      </c>
      <c r="C47" t="s">
        <v>205</v>
      </c>
      <c r="D47" t="s">
        <v>206</v>
      </c>
      <c r="E47" t="s">
        <v>16</v>
      </c>
      <c r="F47" t="s">
        <v>17</v>
      </c>
      <c r="G47" t="s">
        <v>16</v>
      </c>
      <c r="H47" t="s">
        <v>66</v>
      </c>
      <c r="I47" t="s">
        <v>16</v>
      </c>
      <c r="J47" t="s">
        <v>36</v>
      </c>
      <c r="K47" t="s">
        <v>16</v>
      </c>
      <c r="L47" t="s">
        <v>21</v>
      </c>
      <c r="M47" t="s">
        <v>18</v>
      </c>
      <c r="N47" t="s">
        <v>29</v>
      </c>
      <c r="O47" t="s">
        <v>16</v>
      </c>
      <c r="P47" t="s">
        <v>207</v>
      </c>
      <c r="Q47" t="s">
        <v>18</v>
      </c>
      <c r="R47" t="s">
        <v>31</v>
      </c>
    </row>
    <row r="48" spans="1:18" ht="15" customHeight="1" x14ac:dyDescent="0.35">
      <c r="A48" t="s">
        <v>208</v>
      </c>
      <c r="B48">
        <v>2019</v>
      </c>
      <c r="C48" t="s">
        <v>209</v>
      </c>
      <c r="D48" t="s">
        <v>210</v>
      </c>
      <c r="E48" t="s">
        <v>16</v>
      </c>
      <c r="F48" t="s">
        <v>17</v>
      </c>
      <c r="G48" t="s">
        <v>16</v>
      </c>
      <c r="H48" t="s">
        <v>66</v>
      </c>
      <c r="I48" t="s">
        <v>16</v>
      </c>
      <c r="J48" t="s">
        <v>36</v>
      </c>
      <c r="K48" t="s">
        <v>16</v>
      </c>
      <c r="L48" t="s">
        <v>21</v>
      </c>
      <c r="M48" t="s">
        <v>16</v>
      </c>
      <c r="N48" t="s">
        <v>211</v>
      </c>
      <c r="O48" t="s">
        <v>16</v>
      </c>
      <c r="P48" t="s">
        <v>23</v>
      </c>
      <c r="Q48" t="s">
        <v>16</v>
      </c>
      <c r="R48" t="s">
        <v>212</v>
      </c>
    </row>
    <row r="49" spans="1:18" ht="15" customHeight="1" x14ac:dyDescent="0.35">
      <c r="A49" t="s">
        <v>213</v>
      </c>
      <c r="B49">
        <v>2019</v>
      </c>
      <c r="C49" t="s">
        <v>214</v>
      </c>
      <c r="D49" t="s">
        <v>215</v>
      </c>
      <c r="E49" t="s">
        <v>16</v>
      </c>
      <c r="F49" t="s">
        <v>17</v>
      </c>
      <c r="G49" t="s">
        <v>16</v>
      </c>
      <c r="H49" t="s">
        <v>35</v>
      </c>
      <c r="I49" t="s">
        <v>16</v>
      </c>
      <c r="J49" t="s">
        <v>36</v>
      </c>
      <c r="K49" t="s">
        <v>18</v>
      </c>
      <c r="L49" t="s">
        <v>216</v>
      </c>
      <c r="M49" t="s">
        <v>18</v>
      </c>
      <c r="N49" t="s">
        <v>217</v>
      </c>
      <c r="O49" t="s">
        <v>18</v>
      </c>
      <c r="P49" t="s">
        <v>218</v>
      </c>
      <c r="Q49" t="s">
        <v>18</v>
      </c>
      <c r="R49" t="s">
        <v>219</v>
      </c>
    </row>
    <row r="50" spans="1:18" ht="15" customHeight="1" x14ac:dyDescent="0.35">
      <c r="A50" t="s">
        <v>220</v>
      </c>
      <c r="B50">
        <v>2019</v>
      </c>
      <c r="C50" t="s">
        <v>221</v>
      </c>
      <c r="D50" t="s">
        <v>222</v>
      </c>
      <c r="E50" t="s">
        <v>16</v>
      </c>
      <c r="F50" t="s">
        <v>17</v>
      </c>
      <c r="G50" t="s">
        <v>16</v>
      </c>
      <c r="H50" t="s">
        <v>35</v>
      </c>
      <c r="I50" t="s">
        <v>16</v>
      </c>
      <c r="J50" t="s">
        <v>36</v>
      </c>
      <c r="K50" t="s">
        <v>16</v>
      </c>
      <c r="L50" t="s">
        <v>21</v>
      </c>
      <c r="M50" t="s">
        <v>16</v>
      </c>
      <c r="N50" t="s">
        <v>90</v>
      </c>
      <c r="O50" t="s">
        <v>18</v>
      </c>
      <c r="P50" t="s">
        <v>218</v>
      </c>
      <c r="Q50" t="s">
        <v>16</v>
      </c>
      <c r="R50" t="s">
        <v>92</v>
      </c>
    </row>
    <row r="51" spans="1:18" ht="15" customHeight="1" x14ac:dyDescent="0.35">
      <c r="A51" t="s">
        <v>223</v>
      </c>
      <c r="B51">
        <v>2019</v>
      </c>
      <c r="C51" t="s">
        <v>224</v>
      </c>
      <c r="D51" t="s">
        <v>225</v>
      </c>
      <c r="E51" t="s">
        <v>16</v>
      </c>
      <c r="F51" t="s">
        <v>17</v>
      </c>
      <c r="G51" t="s">
        <v>18</v>
      </c>
      <c r="H51" t="s">
        <v>186</v>
      </c>
      <c r="I51" t="s">
        <v>18</v>
      </c>
      <c r="J51" t="s">
        <v>186</v>
      </c>
      <c r="K51" t="s">
        <v>16</v>
      </c>
      <c r="L51" t="s">
        <v>21</v>
      </c>
      <c r="M51" t="s">
        <v>18</v>
      </c>
      <c r="N51" t="s">
        <v>186</v>
      </c>
      <c r="O51" t="s">
        <v>16</v>
      </c>
      <c r="P51" t="s">
        <v>23</v>
      </c>
      <c r="Q51" t="s">
        <v>18</v>
      </c>
      <c r="R51" t="s">
        <v>31</v>
      </c>
    </row>
    <row r="52" spans="1:18" ht="15" customHeight="1" x14ac:dyDescent="0.35">
      <c r="A52" t="s">
        <v>226</v>
      </c>
      <c r="B52">
        <v>2019</v>
      </c>
      <c r="C52" t="s">
        <v>227</v>
      </c>
      <c r="D52" t="s">
        <v>228</v>
      </c>
      <c r="E52" t="s">
        <v>16</v>
      </c>
      <c r="F52" t="s">
        <v>17</v>
      </c>
      <c r="G52" t="s">
        <v>16</v>
      </c>
      <c r="H52" t="s">
        <v>66</v>
      </c>
      <c r="I52" t="s">
        <v>16</v>
      </c>
      <c r="J52" t="s">
        <v>36</v>
      </c>
      <c r="K52" t="s">
        <v>16</v>
      </c>
      <c r="L52" t="s">
        <v>21</v>
      </c>
      <c r="M52" t="s">
        <v>16</v>
      </c>
      <c r="N52" t="s">
        <v>229</v>
      </c>
      <c r="O52" t="s">
        <v>16</v>
      </c>
      <c r="P52" t="s">
        <v>23</v>
      </c>
      <c r="Q52" t="s">
        <v>16</v>
      </c>
      <c r="R52" t="s">
        <v>230</v>
      </c>
    </row>
    <row r="53" spans="1:18" ht="15" customHeight="1" x14ac:dyDescent="0.35">
      <c r="A53" t="s">
        <v>231</v>
      </c>
      <c r="B53">
        <v>2019</v>
      </c>
      <c r="C53" t="s">
        <v>232</v>
      </c>
      <c r="D53" t="s">
        <v>233</v>
      </c>
      <c r="E53" t="s">
        <v>16</v>
      </c>
      <c r="F53" t="s">
        <v>17</v>
      </c>
      <c r="G53" t="s">
        <v>18</v>
      </c>
      <c r="H53" t="s">
        <v>234</v>
      </c>
      <c r="I53" t="s">
        <v>16</v>
      </c>
      <c r="J53" t="s">
        <v>235</v>
      </c>
      <c r="K53" t="s">
        <v>16</v>
      </c>
      <c r="L53" t="s">
        <v>21</v>
      </c>
      <c r="M53" t="s">
        <v>18</v>
      </c>
      <c r="N53" t="s">
        <v>29</v>
      </c>
      <c r="O53" t="s">
        <v>18</v>
      </c>
      <c r="P53" t="s">
        <v>236</v>
      </c>
      <c r="Q53" t="s">
        <v>18</v>
      </c>
      <c r="R53" t="s">
        <v>31</v>
      </c>
    </row>
    <row r="54" spans="1:18" ht="15" customHeight="1" x14ac:dyDescent="0.35"/>
    <row r="55" spans="1:18" ht="15" customHeight="1" x14ac:dyDescent="0.35"/>
    <row r="56" spans="1:18" ht="15" customHeight="1" x14ac:dyDescent="0.35"/>
    <row r="57" spans="1:18" ht="15" customHeight="1" x14ac:dyDescent="0.35"/>
    <row r="58" spans="1:18" ht="15" customHeight="1" x14ac:dyDescent="0.35"/>
    <row r="59" spans="1:18" ht="15" customHeight="1" x14ac:dyDescent="0.35"/>
    <row r="60" spans="1:18" ht="15" customHeight="1" x14ac:dyDescent="0.35"/>
    <row r="61" spans="1:18" ht="15" customHeight="1" x14ac:dyDescent="0.35"/>
    <row r="62" spans="1:18" ht="15" customHeight="1" x14ac:dyDescent="0.35"/>
    <row r="63" spans="1:18" ht="15" customHeight="1" x14ac:dyDescent="0.35"/>
    <row r="64" spans="1:18" ht="15" customHeight="1" x14ac:dyDescent="0.35"/>
    <row r="65" spans="4:4" ht="15" customHeight="1" x14ac:dyDescent="0.35"/>
    <row r="66" spans="4:4" ht="15" customHeight="1" x14ac:dyDescent="0.35"/>
    <row r="67" spans="4:4" ht="15" customHeight="1" x14ac:dyDescent="0.35"/>
    <row r="68" spans="4:4" ht="15" customHeight="1" x14ac:dyDescent="0.35"/>
    <row r="69" spans="4:4" ht="15" customHeight="1" x14ac:dyDescent="0.35"/>
    <row r="70" spans="4:4" ht="15" customHeight="1" x14ac:dyDescent="0.35"/>
    <row r="71" spans="4:4" ht="15" customHeight="1" x14ac:dyDescent="0.35"/>
    <row r="72" spans="4:4" ht="15" customHeight="1" x14ac:dyDescent="0.35">
      <c r="D72" s="1"/>
    </row>
    <row r="73" spans="4:4" ht="15" customHeight="1" x14ac:dyDescent="0.35"/>
    <row r="74" spans="4:4" ht="15" customHeight="1" x14ac:dyDescent="0.35">
      <c r="D74" s="1"/>
    </row>
    <row r="75" spans="4:4" ht="15" customHeight="1" x14ac:dyDescent="0.35"/>
    <row r="76" spans="4:4" ht="15" customHeight="1" x14ac:dyDescent="0.35"/>
    <row r="77" spans="4:4" ht="15" customHeight="1" x14ac:dyDescent="0.35"/>
    <row r="78" spans="4:4" ht="15" customHeight="1" x14ac:dyDescent="0.35"/>
    <row r="79" spans="4:4" ht="15" customHeight="1" x14ac:dyDescent="0.35"/>
    <row r="80" spans="4:4" ht="15" customHeight="1" x14ac:dyDescent="0.35"/>
    <row r="81" spans="4:4" ht="15" customHeight="1" x14ac:dyDescent="0.35"/>
    <row r="82" spans="4:4" ht="15" customHeight="1" x14ac:dyDescent="0.35"/>
    <row r="83" spans="4:4" ht="15" customHeight="1" x14ac:dyDescent="0.35"/>
    <row r="84" spans="4:4" ht="15" customHeight="1" x14ac:dyDescent="0.35"/>
    <row r="85" spans="4:4" ht="15" customHeight="1" x14ac:dyDescent="0.35"/>
    <row r="86" spans="4:4" ht="15" customHeight="1" x14ac:dyDescent="0.35"/>
    <row r="87" spans="4:4" ht="15" customHeight="1" x14ac:dyDescent="0.35"/>
    <row r="88" spans="4:4" ht="15" customHeight="1" x14ac:dyDescent="0.35"/>
    <row r="89" spans="4:4" ht="15" customHeight="1" x14ac:dyDescent="0.35"/>
    <row r="90" spans="4:4" ht="15" customHeight="1" x14ac:dyDescent="0.35">
      <c r="D90" s="1"/>
    </row>
    <row r="91" spans="4:4" ht="15" customHeight="1" x14ac:dyDescent="0.35"/>
    <row r="92" spans="4:4" ht="15" customHeight="1" x14ac:dyDescent="0.35"/>
    <row r="93" spans="4:4" ht="15" customHeight="1" x14ac:dyDescent="0.35"/>
    <row r="94" spans="4:4" ht="15" customHeight="1" x14ac:dyDescent="0.35"/>
    <row r="95" spans="4:4" ht="15" customHeight="1" x14ac:dyDescent="0.35"/>
    <row r="96" spans="4:4"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spans="4:4" ht="15" customHeight="1" x14ac:dyDescent="0.35"/>
    <row r="114" spans="4:4" ht="15" customHeight="1" x14ac:dyDescent="0.35"/>
    <row r="115" spans="4:4" ht="15" customHeight="1" x14ac:dyDescent="0.35"/>
    <row r="116" spans="4:4" ht="15" customHeight="1" x14ac:dyDescent="0.35"/>
    <row r="117" spans="4:4" ht="15" customHeight="1" x14ac:dyDescent="0.35"/>
    <row r="118" spans="4:4" ht="15" customHeight="1" x14ac:dyDescent="0.35"/>
    <row r="119" spans="4:4" ht="15" customHeight="1" x14ac:dyDescent="0.35"/>
    <row r="120" spans="4:4" ht="15" customHeight="1" x14ac:dyDescent="0.35"/>
    <row r="121" spans="4:4" ht="15" customHeight="1" x14ac:dyDescent="0.35"/>
    <row r="122" spans="4:4" ht="15" customHeight="1" x14ac:dyDescent="0.35"/>
    <row r="123" spans="4:4" ht="15" customHeight="1" x14ac:dyDescent="0.35">
      <c r="D123" s="1"/>
    </row>
    <row r="124" spans="4:4" ht="15" customHeight="1" x14ac:dyDescent="0.35"/>
    <row r="125" spans="4:4" ht="15" customHeight="1" x14ac:dyDescent="0.35"/>
    <row r="126" spans="4:4" ht="15" customHeight="1" x14ac:dyDescent="0.35"/>
    <row r="127" spans="4:4" ht="15" customHeight="1" x14ac:dyDescent="0.35"/>
    <row r="128" spans="4:4" ht="15" customHeight="1" x14ac:dyDescent="0.35"/>
    <row r="129" spans="4:4" ht="15" customHeight="1" x14ac:dyDescent="0.35"/>
    <row r="130" spans="4:4" ht="15" customHeight="1" x14ac:dyDescent="0.35"/>
    <row r="131" spans="4:4" ht="15" customHeight="1" x14ac:dyDescent="0.35"/>
    <row r="132" spans="4:4" ht="15" customHeight="1" x14ac:dyDescent="0.35"/>
    <row r="133" spans="4:4" ht="15" customHeight="1" x14ac:dyDescent="0.35"/>
    <row r="134" spans="4:4" ht="15" customHeight="1" x14ac:dyDescent="0.35"/>
    <row r="135" spans="4:4" ht="15" customHeight="1" x14ac:dyDescent="0.35"/>
    <row r="136" spans="4:4" ht="15" customHeight="1" x14ac:dyDescent="0.35">
      <c r="D136" s="1"/>
    </row>
    <row r="137" spans="4:4" ht="15" customHeight="1" x14ac:dyDescent="0.35"/>
    <row r="138" spans="4:4" ht="15" customHeight="1" x14ac:dyDescent="0.35"/>
    <row r="139" spans="4:4" ht="15" customHeight="1" x14ac:dyDescent="0.35"/>
    <row r="140" spans="4:4" ht="15" customHeight="1" x14ac:dyDescent="0.35"/>
    <row r="141" spans="4:4" ht="15" customHeight="1" x14ac:dyDescent="0.35"/>
    <row r="142" spans="4:4" ht="15" customHeight="1" x14ac:dyDescent="0.35"/>
    <row r="143" spans="4:4" ht="15" customHeight="1" x14ac:dyDescent="0.35"/>
    <row r="144" spans="4:4" ht="15" customHeight="1" x14ac:dyDescent="0.35"/>
    <row r="145" ht="15" customHeight="1" x14ac:dyDescent="0.35"/>
    <row r="146" ht="15" customHeight="1" x14ac:dyDescent="0.35"/>
    <row r="147" ht="15" customHeight="1" x14ac:dyDescent="0.35"/>
    <row r="148" ht="15" customHeight="1" x14ac:dyDescent="0.35"/>
    <row r="149" ht="15"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spans="4:4" ht="15" customHeight="1" x14ac:dyDescent="0.35"/>
    <row r="162" spans="4:4" ht="15" customHeight="1" x14ac:dyDescent="0.35"/>
    <row r="163" spans="4:4" ht="15" customHeight="1" x14ac:dyDescent="0.35">
      <c r="D163" s="1"/>
    </row>
    <row r="164" spans="4:4" ht="15" customHeight="1" x14ac:dyDescent="0.35"/>
    <row r="165" spans="4:4" ht="15" customHeight="1" x14ac:dyDescent="0.35"/>
    <row r="166" spans="4:4" ht="15" customHeight="1" x14ac:dyDescent="0.35"/>
    <row r="167" spans="4:4" ht="15" customHeight="1" x14ac:dyDescent="0.35"/>
    <row r="168" spans="4:4" ht="15" customHeight="1" x14ac:dyDescent="0.35"/>
    <row r="169" spans="4:4" ht="15" customHeight="1" x14ac:dyDescent="0.35"/>
    <row r="170" spans="4:4" ht="15" customHeight="1" x14ac:dyDescent="0.35"/>
    <row r="171" spans="4:4" ht="15" customHeight="1" x14ac:dyDescent="0.35">
      <c r="D171" s="1"/>
    </row>
    <row r="172" spans="4:4" ht="15" customHeight="1" x14ac:dyDescent="0.35"/>
    <row r="173" spans="4:4" ht="15" customHeight="1" x14ac:dyDescent="0.35"/>
    <row r="174" spans="4:4" ht="15" customHeight="1" x14ac:dyDescent="0.35"/>
    <row r="175" spans="4:4" ht="15" customHeight="1" x14ac:dyDescent="0.35"/>
    <row r="176" spans="4:4" ht="15" customHeight="1" x14ac:dyDescent="0.35"/>
    <row r="177" spans="4:4" ht="15" customHeight="1" x14ac:dyDescent="0.35"/>
    <row r="178" spans="4:4" ht="15" customHeight="1" x14ac:dyDescent="0.35"/>
    <row r="179" spans="4:4" ht="15" customHeight="1" x14ac:dyDescent="0.35"/>
    <row r="180" spans="4:4" ht="15" customHeight="1" x14ac:dyDescent="0.35"/>
    <row r="181" spans="4:4" ht="15" customHeight="1" x14ac:dyDescent="0.35"/>
    <row r="182" spans="4:4" ht="15" customHeight="1" x14ac:dyDescent="0.35">
      <c r="D182" s="1"/>
    </row>
    <row r="183" spans="4:4" ht="15" customHeight="1" x14ac:dyDescent="0.35"/>
    <row r="184" spans="4:4" ht="15" customHeight="1" x14ac:dyDescent="0.35">
      <c r="D184" s="1"/>
    </row>
    <row r="185" spans="4:4" ht="15" customHeight="1" x14ac:dyDescent="0.35"/>
    <row r="186" spans="4:4" ht="15" customHeight="1" x14ac:dyDescent="0.35"/>
    <row r="187" spans="4:4" ht="15" customHeight="1" x14ac:dyDescent="0.35"/>
    <row r="188" spans="4:4" ht="15" customHeight="1" x14ac:dyDescent="0.35"/>
    <row r="189" spans="4:4" ht="15" customHeight="1" x14ac:dyDescent="0.35"/>
    <row r="190" spans="4:4" ht="15" customHeight="1" x14ac:dyDescent="0.35"/>
    <row r="191" spans="4:4" ht="15" customHeight="1" x14ac:dyDescent="0.35"/>
    <row r="192" spans="4:4" ht="15" customHeight="1" x14ac:dyDescent="0.35"/>
    <row r="193" spans="4:4" ht="15" customHeight="1" x14ac:dyDescent="0.35"/>
    <row r="194" spans="4:4" ht="15" customHeight="1" x14ac:dyDescent="0.35"/>
    <row r="195" spans="4:4" ht="15" customHeight="1" x14ac:dyDescent="0.35"/>
    <row r="196" spans="4:4" ht="15" customHeight="1" x14ac:dyDescent="0.35"/>
    <row r="197" spans="4:4" ht="15" customHeight="1" x14ac:dyDescent="0.35"/>
    <row r="198" spans="4:4" ht="15" customHeight="1" x14ac:dyDescent="0.35"/>
    <row r="199" spans="4:4" ht="15" customHeight="1" x14ac:dyDescent="0.35">
      <c r="D199" s="1"/>
    </row>
    <row r="200" spans="4:4" ht="15" customHeight="1" x14ac:dyDescent="0.35"/>
    <row r="201" spans="4:4" ht="15" customHeight="1" x14ac:dyDescent="0.35"/>
    <row r="202" spans="4:4" ht="15" customHeight="1" x14ac:dyDescent="0.35"/>
    <row r="203" spans="4:4" ht="15" customHeight="1" x14ac:dyDescent="0.35"/>
    <row r="204" spans="4:4" ht="15" customHeight="1" x14ac:dyDescent="0.35">
      <c r="D204" s="1"/>
    </row>
    <row r="205" spans="4:4" ht="15" customHeight="1" x14ac:dyDescent="0.35"/>
    <row r="206" spans="4:4" ht="15" customHeight="1" x14ac:dyDescent="0.35"/>
    <row r="207" spans="4:4" ht="15" customHeight="1" x14ac:dyDescent="0.35">
      <c r="D207" s="1"/>
    </row>
    <row r="208" spans="4:4" ht="15" customHeight="1" x14ac:dyDescent="0.35"/>
    <row r="209" spans="4:4" ht="15" customHeight="1" x14ac:dyDescent="0.35"/>
    <row r="210" spans="4:4" ht="15" customHeight="1" x14ac:dyDescent="0.35"/>
    <row r="211" spans="4:4" ht="15" customHeight="1" x14ac:dyDescent="0.35"/>
    <row r="212" spans="4:4" ht="15" customHeight="1" x14ac:dyDescent="0.35"/>
    <row r="213" spans="4:4" ht="15" customHeight="1" x14ac:dyDescent="0.35">
      <c r="D213" s="1"/>
    </row>
    <row r="214" spans="4:4" ht="15" customHeight="1" x14ac:dyDescent="0.35"/>
    <row r="215" spans="4:4" ht="15" customHeight="1" x14ac:dyDescent="0.35">
      <c r="D215" s="1"/>
    </row>
    <row r="216" spans="4:4" ht="15" customHeight="1" x14ac:dyDescent="0.35"/>
    <row r="217" spans="4:4" ht="15" customHeight="1" x14ac:dyDescent="0.35"/>
    <row r="218" spans="4:4" ht="15" customHeight="1" x14ac:dyDescent="0.35"/>
    <row r="219" spans="4:4" ht="15" customHeight="1" x14ac:dyDescent="0.35"/>
    <row r="220" spans="4:4" ht="15" customHeight="1" x14ac:dyDescent="0.35"/>
    <row r="221" spans="4:4" ht="15" customHeight="1" x14ac:dyDescent="0.35">
      <c r="D221" s="1"/>
    </row>
    <row r="222" spans="4:4" ht="15" customHeight="1" x14ac:dyDescent="0.35">
      <c r="D222" s="1"/>
    </row>
    <row r="223" spans="4:4" ht="15" customHeight="1" x14ac:dyDescent="0.35"/>
    <row r="224" spans="4:4" ht="15" customHeight="1" x14ac:dyDescent="0.35"/>
    <row r="225" spans="4:4" ht="15" customHeight="1" x14ac:dyDescent="0.35"/>
    <row r="226" spans="4:4" ht="15" customHeight="1" x14ac:dyDescent="0.35"/>
    <row r="227" spans="4:4" ht="15" customHeight="1" x14ac:dyDescent="0.35"/>
    <row r="228" spans="4:4" ht="15" customHeight="1" x14ac:dyDescent="0.35"/>
    <row r="229" spans="4:4" ht="15" customHeight="1" x14ac:dyDescent="0.35"/>
    <row r="230" spans="4:4" ht="15" customHeight="1" x14ac:dyDescent="0.35"/>
    <row r="231" spans="4:4" ht="15" customHeight="1" x14ac:dyDescent="0.35"/>
    <row r="232" spans="4:4" ht="15" customHeight="1" x14ac:dyDescent="0.35"/>
    <row r="233" spans="4:4" ht="15" customHeight="1" x14ac:dyDescent="0.35"/>
    <row r="234" spans="4:4" ht="15" customHeight="1" x14ac:dyDescent="0.35"/>
    <row r="235" spans="4:4" ht="15" customHeight="1" x14ac:dyDescent="0.35"/>
    <row r="236" spans="4:4" ht="15" customHeight="1" x14ac:dyDescent="0.35">
      <c r="D236" s="1"/>
    </row>
    <row r="237" spans="4:4" ht="15" customHeight="1" x14ac:dyDescent="0.35"/>
    <row r="238" spans="4:4" ht="15" customHeight="1" x14ac:dyDescent="0.35"/>
    <row r="239" spans="4:4" ht="15" customHeight="1" x14ac:dyDescent="0.35"/>
    <row r="240" spans="4:4" ht="15" customHeight="1" x14ac:dyDescent="0.35"/>
    <row r="241" spans="4:4" ht="15" customHeight="1" x14ac:dyDescent="0.35"/>
    <row r="242" spans="4:4" ht="15" customHeight="1" x14ac:dyDescent="0.35"/>
    <row r="243" spans="4:4" ht="15" customHeight="1" x14ac:dyDescent="0.35"/>
    <row r="244" spans="4:4" ht="15" customHeight="1" x14ac:dyDescent="0.35"/>
    <row r="245" spans="4:4" ht="15" customHeight="1" x14ac:dyDescent="0.35"/>
    <row r="246" spans="4:4" ht="15" customHeight="1" x14ac:dyDescent="0.35"/>
    <row r="247" spans="4:4" ht="15" customHeight="1" x14ac:dyDescent="0.35"/>
    <row r="248" spans="4:4" ht="15" customHeight="1" x14ac:dyDescent="0.35"/>
    <row r="249" spans="4:4" ht="15" customHeight="1" x14ac:dyDescent="0.35"/>
    <row r="250" spans="4:4" ht="15" customHeight="1" x14ac:dyDescent="0.35"/>
    <row r="251" spans="4:4" ht="15" customHeight="1" x14ac:dyDescent="0.35"/>
    <row r="252" spans="4:4" ht="15" customHeight="1" x14ac:dyDescent="0.35"/>
    <row r="253" spans="4:4" ht="15" customHeight="1" x14ac:dyDescent="0.35">
      <c r="D253" s="1"/>
    </row>
    <row r="254" spans="4:4" ht="15" customHeight="1" x14ac:dyDescent="0.35"/>
    <row r="255" spans="4:4" ht="15" customHeight="1" x14ac:dyDescent="0.35"/>
    <row r="256" spans="4:4" ht="15" customHeight="1" x14ac:dyDescent="0.35"/>
    <row r="257" spans="4:4" ht="15" customHeight="1" x14ac:dyDescent="0.35"/>
    <row r="258" spans="4:4" ht="15" customHeight="1" x14ac:dyDescent="0.35"/>
    <row r="259" spans="4:4" ht="15" customHeight="1" x14ac:dyDescent="0.35">
      <c r="D259" s="1"/>
    </row>
    <row r="260" spans="4:4" ht="15" customHeight="1" x14ac:dyDescent="0.35"/>
    <row r="261" spans="4:4" ht="15" customHeight="1" x14ac:dyDescent="0.35"/>
    <row r="262" spans="4:4" ht="15" customHeight="1" x14ac:dyDescent="0.35"/>
    <row r="263" spans="4:4" ht="15" customHeight="1" x14ac:dyDescent="0.35">
      <c r="D263" s="1"/>
    </row>
    <row r="264" spans="4:4" ht="15" customHeight="1" x14ac:dyDescent="0.35">
      <c r="D264" s="1"/>
    </row>
    <row r="265" spans="4:4" ht="15" customHeight="1" x14ac:dyDescent="0.35"/>
    <row r="266" spans="4:4" ht="15" customHeight="1" x14ac:dyDescent="0.35"/>
    <row r="267" spans="4:4" ht="15" customHeight="1" x14ac:dyDescent="0.35">
      <c r="D267" s="1"/>
    </row>
    <row r="268" spans="4:4" ht="15" customHeight="1" x14ac:dyDescent="0.35"/>
    <row r="269" spans="4:4" ht="15" customHeight="1" x14ac:dyDescent="0.35">
      <c r="D269" s="1"/>
    </row>
    <row r="270" spans="4:4" ht="15" customHeight="1" x14ac:dyDescent="0.35"/>
    <row r="271" spans="4:4" ht="15" customHeight="1" x14ac:dyDescent="0.35"/>
    <row r="272" spans="4:4" ht="15" customHeight="1" x14ac:dyDescent="0.35"/>
    <row r="273" spans="4:4" ht="15" customHeight="1" x14ac:dyDescent="0.35"/>
    <row r="274" spans="4:4" ht="15" customHeight="1" x14ac:dyDescent="0.35"/>
    <row r="275" spans="4:4" ht="15" customHeight="1" x14ac:dyDescent="0.35">
      <c r="D275" s="1"/>
    </row>
    <row r="276" spans="4:4" ht="15" customHeight="1" x14ac:dyDescent="0.35"/>
    <row r="277" spans="4:4" ht="15" customHeight="1" x14ac:dyDescent="0.35"/>
    <row r="278" spans="4:4" ht="15" customHeight="1" x14ac:dyDescent="0.35"/>
    <row r="279" spans="4:4" ht="15" customHeight="1" x14ac:dyDescent="0.35"/>
    <row r="280" spans="4:4" ht="15" customHeight="1" x14ac:dyDescent="0.35"/>
    <row r="281" spans="4:4" ht="15" customHeight="1" x14ac:dyDescent="0.35"/>
    <row r="282" spans="4:4" ht="15" customHeight="1" x14ac:dyDescent="0.35">
      <c r="D282" s="1"/>
    </row>
    <row r="283" spans="4:4" ht="15" customHeight="1" x14ac:dyDescent="0.35"/>
    <row r="284" spans="4:4" ht="15" customHeight="1" x14ac:dyDescent="0.35"/>
    <row r="285" spans="4:4" ht="15" customHeight="1" x14ac:dyDescent="0.35"/>
    <row r="286" spans="4:4" ht="15" customHeight="1" x14ac:dyDescent="0.35"/>
    <row r="287" spans="4:4" ht="15" customHeight="1" x14ac:dyDescent="0.35"/>
    <row r="288" spans="4:4"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spans="4:4" ht="15" customHeight="1" x14ac:dyDescent="0.35"/>
    <row r="306" spans="4:4" ht="15" customHeight="1" x14ac:dyDescent="0.35"/>
    <row r="307" spans="4:4" ht="15" customHeight="1" x14ac:dyDescent="0.35"/>
    <row r="308" spans="4:4" ht="15" customHeight="1" x14ac:dyDescent="0.35">
      <c r="D308" s="1"/>
    </row>
    <row r="309" spans="4:4" ht="15" customHeight="1" x14ac:dyDescent="0.35"/>
    <row r="310" spans="4:4" ht="15" customHeight="1" x14ac:dyDescent="0.35"/>
    <row r="311" spans="4:4" ht="15" customHeight="1" x14ac:dyDescent="0.35">
      <c r="D311" s="1"/>
    </row>
    <row r="312" spans="4:4" ht="15" customHeight="1" x14ac:dyDescent="0.35"/>
    <row r="313" spans="4:4" ht="15" customHeight="1" x14ac:dyDescent="0.35"/>
    <row r="314" spans="4:4" ht="15" customHeight="1" x14ac:dyDescent="0.35">
      <c r="D314" s="1"/>
    </row>
    <row r="315" spans="4:4" ht="15" customHeight="1" x14ac:dyDescent="0.35"/>
    <row r="316" spans="4:4" ht="15" customHeight="1" x14ac:dyDescent="0.35"/>
    <row r="317" spans="4:4" ht="15" customHeight="1" x14ac:dyDescent="0.35"/>
    <row r="318" spans="4:4" ht="15" customHeight="1" x14ac:dyDescent="0.35">
      <c r="D318" s="1"/>
    </row>
    <row r="319" spans="4:4" ht="15" customHeight="1" x14ac:dyDescent="0.35"/>
    <row r="320" spans="4:4"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5" customHeight="1" x14ac:dyDescent="0.35"/>
    <row r="328" ht="15" customHeight="1" x14ac:dyDescent="0.35"/>
    <row r="329" ht="15"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4:4" ht="15" customHeight="1" x14ac:dyDescent="0.35"/>
    <row r="338" spans="4:4" ht="15" customHeight="1" x14ac:dyDescent="0.35">
      <c r="D338" s="1"/>
    </row>
    <row r="339" spans="4:4" ht="15" customHeight="1" x14ac:dyDescent="0.35"/>
    <row r="340" spans="4:4" ht="15" customHeight="1" x14ac:dyDescent="0.35"/>
    <row r="341" spans="4:4" ht="15" customHeight="1" x14ac:dyDescent="0.35">
      <c r="D341" s="1"/>
    </row>
    <row r="342" spans="4:4" ht="15" customHeight="1" x14ac:dyDescent="0.35"/>
    <row r="343" spans="4:4" ht="15" customHeight="1" x14ac:dyDescent="0.35"/>
    <row r="344" spans="4:4" ht="15" customHeight="1" x14ac:dyDescent="0.35"/>
    <row r="345" spans="4:4" ht="15" customHeight="1" x14ac:dyDescent="0.35"/>
    <row r="346" spans="4:4" ht="15" customHeight="1" x14ac:dyDescent="0.35"/>
    <row r="347" spans="4:4" ht="15" customHeight="1" x14ac:dyDescent="0.35"/>
    <row r="348" spans="4:4" ht="15" customHeight="1" x14ac:dyDescent="0.35"/>
    <row r="349" spans="4:4" ht="15" customHeight="1" x14ac:dyDescent="0.35"/>
    <row r="350" spans="4:4" ht="15" customHeight="1" x14ac:dyDescent="0.35"/>
    <row r="351" spans="4:4" ht="15" customHeight="1" x14ac:dyDescent="0.35"/>
    <row r="352" spans="4:4" ht="15" customHeight="1" x14ac:dyDescent="0.35"/>
    <row r="353" ht="15" customHeight="1" x14ac:dyDescent="0.35"/>
    <row r="354" ht="15" customHeight="1" x14ac:dyDescent="0.35"/>
    <row r="355" ht="15" customHeight="1" x14ac:dyDescent="0.35"/>
    <row r="356" ht="15" customHeight="1" x14ac:dyDescent="0.35"/>
    <row r="357" ht="15" customHeight="1" x14ac:dyDescent="0.35"/>
    <row r="358" ht="15" customHeight="1" x14ac:dyDescent="0.35"/>
    <row r="359" ht="15" customHeight="1" x14ac:dyDescent="0.35"/>
    <row r="360" ht="15" customHeight="1" x14ac:dyDescent="0.35"/>
    <row r="361" ht="15" customHeight="1" x14ac:dyDescent="0.35"/>
    <row r="362" ht="15" customHeight="1" x14ac:dyDescent="0.35"/>
    <row r="363" ht="15" customHeight="1" x14ac:dyDescent="0.35"/>
  </sheetData>
  <mergeCells count="7">
    <mergeCell ref="Q1:R1"/>
    <mergeCell ref="E1:F1"/>
    <mergeCell ref="G1:H1"/>
    <mergeCell ref="I1:J1"/>
    <mergeCell ref="K1:L1"/>
    <mergeCell ref="M1:N1"/>
    <mergeCell ref="O1:P1"/>
  </mergeCells>
  <conditionalFormatting sqref="E1:E1048576 G1:G1048576 I1:I1048576 K1:K1048576 M1:M1048576 O1:O1048576 Q1:Q1048576 F51:F53 H51:H53 J51:J53 L51:L53 N51:N53 P50:P53 R50:R53">
    <cfRule type="containsText" dxfId="1" priority="2" operator="containsText" text="Include">
      <formula>NOT(ISERROR(SEARCH("Include",E1)))</formula>
    </cfRule>
  </conditionalFormatting>
  <conditionalFormatting sqref="E1:E1048576 G1:G1048576 I1:I1048576 K1:K1048576 M1:M1048576 O1:O1048576 Q1:Q1048576 F51:F53 H51:H53 J51:J53 L51:L53 N51:N53">
    <cfRule type="containsText" dxfId="0" priority="1" operator="containsText" text="Exclude">
      <formula>NOT(ISERROR(SEARCH("Exclude",E1)))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8975E77-F4B7-417F-9574-0EE5A1EFB7EF}">
          <x14:formula1>
            <xm:f>Sheet1!$A$2:$A$3</xm:f>
          </x14:formula1>
          <xm:sqref>E3:E363 G3:G363 I3:I363 K3:K363 M3:M363 O3:O363 Q3:Q363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2C7CD-DDE4-4F3D-BB61-6C7AFC5B17C2}">
  <dimension ref="A2:A3"/>
  <sheetViews>
    <sheetView workbookViewId="0">
      <selection activeCell="A3" sqref="A3"/>
    </sheetView>
  </sheetViews>
  <sheetFormatPr defaultRowHeight="14.5" x14ac:dyDescent="0.35"/>
  <sheetData>
    <row r="2" spans="1:1" x14ac:dyDescent="0.35">
      <c r="A2" t="s">
        <v>16</v>
      </c>
    </row>
    <row r="3" spans="1:1" x14ac:dyDescent="0.35">
      <c r="A3"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9f740644-79ec-4768-90ed-229b3a8a5299">
      <Terms xmlns="http://schemas.microsoft.com/office/infopath/2007/PartnerControls"/>
    </lcf76f155ced4ddcb4097134ff3c332f>
    <TaxCatchAll xmlns="58920624-9eda-4243-a384-62b1c8dee49c" xsi:nil="true"/>
    <Teammember xmlns="5f54df01-1c7c-473e-8e5e-982056830934">
      <UserInfo>
        <DisplayName/>
        <AccountId xsi:nil="true"/>
        <AccountType/>
      </UserInfo>
    </Teammember>
    <_ip_UnifiedCompliancePolicyProperties xmlns="http://schemas.microsoft.com/sharepoint/v3" xsi:nil="true"/>
    <Notes xmlns="5f54df01-1c7c-473e-8e5e-982056830934" xsi:nil="true"/>
    <Miro xmlns="5f54df01-1c7c-473e-8e5e-982056830934">
      <Url xsi:nil="true"/>
      <Description xsi:nil="true"/>
    </Miro>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B6F68C891D3D04FA1D9A6968A0EB575" ma:contentTypeVersion="10" ma:contentTypeDescription="Create a new document." ma:contentTypeScope="" ma:versionID="2774ec2767a58be685ae6024e1a34a34">
  <xsd:schema xmlns:xsd="http://www.w3.org/2001/XMLSchema" xmlns:xs="http://www.w3.org/2001/XMLSchema" xmlns:p="http://schemas.microsoft.com/office/2006/metadata/properties" xmlns:ns1="http://schemas.microsoft.com/sharepoint/v3" xmlns:ns2="5f54df01-1c7c-473e-8e5e-982056830934" xmlns:ns3="d07fe06a-6cff-4c83-bff1-85065ac36bbb" xmlns:ns4="58920624-9eda-4243-a384-62b1c8dee49c" xmlns:ns5="9f740644-79ec-4768-90ed-229b3a8a5299" targetNamespace="http://schemas.microsoft.com/office/2006/metadata/properties" ma:root="true" ma:fieldsID="dfc08a5ba13a0753aa40c25245a6ee0f" ns1:_="" ns2:_="" ns3:_="" ns4:_="" ns5:_="">
    <xsd:import namespace="http://schemas.microsoft.com/sharepoint/v3"/>
    <xsd:import namespace="5f54df01-1c7c-473e-8e5e-982056830934"/>
    <xsd:import namespace="d07fe06a-6cff-4c83-bff1-85065ac36bbb"/>
    <xsd:import namespace="58920624-9eda-4243-a384-62b1c8dee49c"/>
    <xsd:import namespace="9f740644-79ec-4768-90ed-229b3a8a529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Notes" minOccurs="0"/>
                <xsd:element ref="ns2:Miro" minOccurs="0"/>
                <xsd:element ref="ns2:MediaServiceObjectDetectorVersions" minOccurs="0"/>
                <xsd:element ref="ns2:MediaServiceLocation" minOccurs="0"/>
                <xsd:element ref="ns2:MediaServiceSearchProperties" minOccurs="0"/>
                <xsd:element ref="ns2:Teammember" minOccurs="0"/>
                <xsd:element ref="ns1:_ip_UnifiedCompliancePolicyProperties" minOccurs="0"/>
                <xsd:element ref="ns1:_ip_UnifiedCompliancePolicyUIAction" minOccurs="0"/>
                <xsd:element ref="ns4:TaxCatchAll" minOccurs="0"/>
                <xsd:element ref="ns5: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f54df01-1c7c-473e-8e5e-9820568309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Note">
          <xsd:maxLength value="255"/>
        </xsd:restriction>
      </xsd:simpleType>
    </xsd:element>
    <xsd:element name="Miro" ma:index="21" nillable="true" ma:displayName="Miro" ma:format="Hyperlink" ma:internalName="Miro">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Teammember" ma:index="25" nillable="true" ma:displayName="Team member" ma:format="Dropdown" ma:list="UserInfo" ma:SharePointGroup="0" ma:internalName="Teammemb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07fe06a-6cff-4c83-bff1-85065ac36bb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8920624-9eda-4243-a384-62b1c8dee49c" elementFormDefault="qualified">
    <xsd:import namespace="http://schemas.microsoft.com/office/2006/documentManagement/types"/>
    <xsd:import namespace="http://schemas.microsoft.com/office/infopath/2007/PartnerControls"/>
    <xsd:element name="TaxCatchAll" ma:index="28" nillable="true" ma:displayName="Taxonomy Catch All Column" ma:hidden="true" ma:list="{3b3729ee-1750-4b39-bb81-390abc4af45e}" ma:internalName="TaxCatchAll" ma:showField="CatchAllData" ma:web="58920624-9eda-4243-a384-62b1c8dee49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f740644-79ec-4768-90ed-229b3a8a5299" elementFormDefault="qualified">
    <xsd:import namespace="http://schemas.microsoft.com/office/2006/documentManagement/types"/>
    <xsd:import namespace="http://schemas.microsoft.com/office/infopath/2007/PartnerControls"/>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49B202-E06C-4B03-A5C6-B4EB9857501A}">
  <ds:schemaRefs>
    <ds:schemaRef ds:uri="http://schemas.microsoft.com/sharepoint/v3/contenttype/forms"/>
  </ds:schemaRefs>
</ds:datastoreItem>
</file>

<file path=customXml/itemProps2.xml><?xml version="1.0" encoding="utf-8"?>
<ds:datastoreItem xmlns:ds="http://schemas.openxmlformats.org/officeDocument/2006/customXml" ds:itemID="{44234887-9518-49DB-BFC1-343D14F71288}">
  <ds:schemaRefs>
    <ds:schemaRef ds:uri="http://schemas.microsoft.com/office/2006/metadata/properties"/>
    <ds:schemaRef ds:uri="http://schemas.microsoft.com/office/infopath/2007/PartnerControls"/>
    <ds:schemaRef ds:uri="http://schemas.microsoft.com/sharepoint/v3"/>
    <ds:schemaRef ds:uri="9f740644-79ec-4768-90ed-229b3a8a5299"/>
    <ds:schemaRef ds:uri="58920624-9eda-4243-a384-62b1c8dee49c"/>
    <ds:schemaRef ds:uri="5f54df01-1c7c-473e-8e5e-982056830934"/>
  </ds:schemaRefs>
</ds:datastoreItem>
</file>

<file path=customXml/itemProps3.xml><?xml version="1.0" encoding="utf-8"?>
<ds:datastoreItem xmlns:ds="http://schemas.openxmlformats.org/officeDocument/2006/customXml" ds:itemID="{16568D5C-D643-452B-A36E-17E2B13B79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f54df01-1c7c-473e-8e5e-982056830934"/>
    <ds:schemaRef ds:uri="d07fe06a-6cff-4c83-bff1-85065ac36bbb"/>
    <ds:schemaRef ds:uri="58920624-9eda-4243-a384-62b1c8dee49c"/>
    <ds:schemaRef ds:uri="9f740644-79ec-4768-90ed-229b3a8a52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361_articles - manual screening</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FINLAY, Freddie (NHS MIDLANDS AND LANCASHIRE COMMISSIONING SUPPORT UNIT)</dc:creator>
  <cp:keywords/>
  <dc:description/>
  <cp:lastModifiedBy>CAREY, Oliver (NHS MIDLANDS AND LANCASHIRE COMMISSIONI</cp:lastModifiedBy>
  <cp:revision/>
  <dcterms:created xsi:type="dcterms:W3CDTF">2025-09-02T13:16:07Z</dcterms:created>
  <dcterms:modified xsi:type="dcterms:W3CDTF">2025-09-03T10:31:21Z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0x010100AB6F68C891D3D04FA1D9A6968A0EB575</vt:lpwstr>
  </property>
  <property fmtid="{D5CDD505-2E9C-101B-9397-08002B2CF9AE}" pid="3" name="MediaServiceImageTags">
    <vt:lpwstr/>
  </property>
</Properties>
</file>