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NM2.TP5IJ4AX\Downloads\"/>
    </mc:Choice>
  </mc:AlternateContent>
  <xr:revisionPtr revIDLastSave="0" documentId="8_{3F9C1D1E-F2F1-43AF-8CE9-EF5BDE0A4A41}" xr6:coauthVersionLast="47" xr6:coauthVersionMax="47" xr10:uidLastSave="{00000000-0000-0000-0000-000000000000}"/>
  <bookViews>
    <workbookView xWindow="-110" yWindow="-110" windowWidth="19420" windowHeight="10300" xr2:uid="{B8823764-DD6E-4E3A-86EE-9ED73D7460D8}"/>
  </bookViews>
  <sheets>
    <sheet name="361_articles - manual screening" sheetId="1" r:id="rId1"/>
    <sheet name="Sheet1" sheetId="2" r:id="rId2"/>
    <sheet name="Sheet2" sheetId="3" r:id="rId3"/>
    <sheet name="archive stage 5" sheetId="4" r:id="rId4"/>
  </sheets>
  <definedNames>
    <definedName name="_xlnm._FilterDatabase" localSheetId="0" hidden="1">'361_articles - manual screening'!$A$1:$X$362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1" l="1"/>
  <c r="W5" i="1"/>
  <c r="W4" i="1"/>
  <c r="W3" i="1"/>
  <c r="W1" i="1"/>
  <c r="X7" i="1"/>
  <c r="X6" i="1"/>
  <c r="X4" i="1"/>
  <c r="X3" i="1"/>
  <c r="X2" i="1"/>
  <c r="X1" i="1"/>
  <c r="W7" i="1"/>
  <c r="W6" i="1"/>
  <c r="W2" i="1"/>
</calcChain>
</file>

<file path=xl/sharedStrings.xml><?xml version="1.0" encoding="utf-8"?>
<sst xmlns="http://schemas.openxmlformats.org/spreadsheetml/2006/main" count="6639" uniqueCount="1436">
  <si>
    <t>Unique ID</t>
  </si>
  <si>
    <t>Year</t>
  </si>
  <si>
    <t>Title</t>
  </si>
  <si>
    <t>Abstract</t>
  </si>
  <si>
    <t>Stage 1</t>
  </si>
  <si>
    <t>Stage 2</t>
  </si>
  <si>
    <t>Stage 3</t>
  </si>
  <si>
    <t>Stage 4</t>
  </si>
  <si>
    <t>Stage 6</t>
  </si>
  <si>
    <t>Stage 7</t>
  </si>
  <si>
    <t>FF screen</t>
  </si>
  <si>
    <t>FF reason</t>
  </si>
  <si>
    <t>J500</t>
  </si>
  <si>
    <t>The lifetime costs of pediatric abusive head trauma and a cost-effectiveness analysis of the Period of Purple crying program in British Columbia, Canada</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</si>
  <si>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</si>
  <si>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</si>
  <si>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Date and language ok</t>
  </si>
  <si>
    <t>Exclude</t>
  </si>
  <si>
    <t>Not UK</t>
  </si>
  <si>
    <t>unclear from abstract</t>
  </si>
  <si>
    <t>Correct study type</t>
  </si>
  <si>
    <t>comparison and outcomes</t>
  </si>
  <si>
    <t>Prevention</t>
  </si>
  <si>
    <t>avoided costs</t>
  </si>
  <si>
    <t>J501</t>
  </si>
  <si>
    <t>Impact of Weekend Treatment on Short-term and Long-term Survival Following Urgent Repair of Ruptured Aortic Aneurysms in Germany</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</si>
  <si>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</si>
  <si>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hospital</t>
  </si>
  <si>
    <t>comparison and impact</t>
  </si>
  <si>
    <t>No shift</t>
  </si>
  <si>
    <t>Not cash releasing</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</si>
  <si>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</si>
  <si>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</si>
  <si>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</si>
  <si>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UK</t>
  </si>
  <si>
    <t>NHS</t>
  </si>
  <si>
    <t>J503</t>
  </si>
  <si>
    <t>Fluorides for preventing early tooth decay (demineralised lesions) during fixed brace treatment</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</si>
  <si>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</si>
  <si>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includes UK</t>
  </si>
  <si>
    <t>includes hospitals and orthodontists etc</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</si>
  <si>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</si>
  <si>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</si>
  <si>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</si>
  <si>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Prevention?</t>
  </si>
  <si>
    <t>net monetary benefit</t>
  </si>
  <si>
    <t>J505</t>
  </si>
  <si>
    <t>Fetal fibronectin testing for reducing the risk of preterm birth</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</si>
  <si>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</si>
  <si>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includes hospitals</t>
  </si>
  <si>
    <t>J506</t>
  </si>
  <si>
    <t>Cervical assessment by ultrasound for preventing preterm delivery</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</si>
  <si>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</si>
  <si>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and outcomes (limited)</t>
  </si>
  <si>
    <t>J507</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</si>
  <si>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</si>
  <si>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</si>
  <si>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doesn't include UK</t>
  </si>
  <si>
    <t>various settings</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</si>
  <si>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</si>
  <si>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</si>
  <si>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</si>
  <si>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J509</t>
  </si>
  <si>
    <t>Burden of varicella complications in secondary care, England, 2004 to 2017</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</si>
  <si>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</si>
  <si>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England</t>
  </si>
  <si>
    <t>J510</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</si>
  <si>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</si>
  <si>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</si>
  <si>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comparison aed outcomes</t>
  </si>
  <si>
    <t>limited evidence of cost saving</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</si>
  <si>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</si>
  <si>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</si>
  <si>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</si>
  <si>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UK health setting</t>
  </si>
  <si>
    <t>No figure in abstract for costs saved</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</si>
  <si>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</si>
  <si>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</si>
  <si>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</si>
  <si>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</si>
  <si>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</si>
  <si>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</si>
  <si>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potential to be cost saving, but no figure</t>
  </si>
  <si>
    <t>J514</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</si>
  <si>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</si>
  <si>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</si>
  <si>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evidence base very limited</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</si>
  <si>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</si>
  <si>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</si>
  <si>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</si>
  <si>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community health</t>
  </si>
  <si>
    <t>Community</t>
  </si>
  <si>
    <t>Cost saving</t>
  </si>
  <si>
    <t>J516</t>
  </si>
  <si>
    <t>Mixed exercise training for adults with fibromyalgia</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</si>
  <si>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</si>
  <si>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J517</t>
  </si>
  <si>
    <t>The health economics of ankle and foot sprains and fractures: A systematic review of English-language published papers. Part 2: The direct and indirect costs of injury</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</si>
  <si>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</si>
  <si>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unclear from abstract if it includes UK studies</t>
  </si>
  <si>
    <t>health settings</t>
  </si>
  <si>
    <t>J518</t>
  </si>
  <si>
    <t>143. Chiropractors treating patients with acute lower back pain in a spine treatment pathway model: a five-year prospective cohort study</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</si>
  <si>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</si>
  <si>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J519</t>
  </si>
  <si>
    <t>Lateral flow urine lipoarabinomannan assay for detecting active tuberculosis in people living with HIV</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</si>
  <si>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</si>
  <si>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</si>
  <si>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</si>
  <si>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</si>
  <si>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cost saving</t>
  </si>
  <si>
    <t>J521</t>
  </si>
  <si>
    <t>Pcv98 Pcsk9 Inhibitors: An Analysis of Current Uptake and Potential Opportunities in England</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</si>
  <si>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</si>
  <si>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</si>
  <si>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</si>
  <si>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</si>
  <si>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England and Wales</t>
  </si>
  <si>
    <t>Not cost effective</t>
  </si>
  <si>
    <t>J523</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</si>
  <si>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</si>
  <si>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</si>
  <si>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comparison and outcomes (uncertain)</t>
  </si>
  <si>
    <t>J524</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</si>
  <si>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</si>
  <si>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</si>
  <si>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</si>
  <si>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</si>
  <si>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</si>
  <si>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bit unclear from abstract, but think it would be community/health setting</t>
  </si>
  <si>
    <t>more prevalence than outcomes/impact</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</si>
  <si>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</si>
  <si>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</si>
  <si>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</si>
  <si>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not much info</t>
  </si>
  <si>
    <t>guidelines</t>
  </si>
  <si>
    <t>Digital</t>
  </si>
  <si>
    <t>J527</t>
  </si>
  <si>
    <t>Botulinum toxin type A in the treatment of lower limb spasticity in children with cerebral palsy</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</si>
  <si>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</si>
  <si>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J528</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</si>
  <si>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</si>
  <si>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</si>
  <si>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J529</t>
  </si>
  <si>
    <t>Endometrial resection and ablation techniques for heavy menstrual bleeding</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</si>
  <si>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</si>
  <si>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very little on cost-effectiveness</t>
  </si>
  <si>
    <t>J530</t>
  </si>
  <si>
    <t>Cyclical progestogens for heavy menstrual bleeding</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</si>
  <si>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</si>
  <si>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J531</t>
  </si>
  <si>
    <t>SAT-017 End Stage Renal Disease in Ghana</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</si>
  <si>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</si>
  <si>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not UK</t>
  </si>
  <si>
    <t>No specific setting (other than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</si>
  <si>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</si>
  <si>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</si>
  <si>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</si>
  <si>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not really tangible outcomes</t>
  </si>
  <si>
    <t>J533</t>
  </si>
  <si>
    <t>EFFICHRONIC study protocol: A non-controlled, multicentre European prospective study to measure the efficiency of a chronic disease self-management programme in socioeconomically vulnerable populations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</si>
  <si>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</si>
  <si>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Protocol</t>
  </si>
  <si>
    <t>will include relevant outcomes, but none established yet as protocol</t>
  </si>
  <si>
    <t>protocol, so cost-effectiveness not demonstrated yet</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</si>
  <si>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</si>
  <si>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</si>
  <si>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</si>
  <si>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Community - also Prevention</t>
  </si>
  <si>
    <t>J535</t>
  </si>
  <si>
    <t>Interventions for prodromal stage of psychosis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</si>
  <si>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</si>
  <si>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J536</t>
  </si>
  <si>
    <t>Context-Specific Economic Evaluation for Molecular Pathology Tests: An Application in Colorectal Cancer in the West of Scotland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</si>
  <si>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</si>
  <si>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Scotland</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</si>
  <si>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</si>
  <si>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</si>
  <si>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</si>
  <si>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does not meet UK cost-effectiveness criteria</t>
  </si>
  <si>
    <t>J538</t>
  </si>
  <si>
    <t>Herbal medicinal products or preparations for neuropathic pain</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</si>
  <si>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</si>
  <si>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setting unclear</t>
  </si>
  <si>
    <t>insufficient evidence</t>
  </si>
  <si>
    <t>J539</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</si>
  <si>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</si>
  <si>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</si>
  <si>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No UK studies</t>
  </si>
  <si>
    <t>No studies identified</t>
  </si>
  <si>
    <t>J540</t>
  </si>
  <si>
    <t>Conservative management following closed reduction of traumatic anterior dislocation of the shoulder</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</si>
  <si>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</si>
  <si>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NHS, hospitals</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</si>
  <si>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</si>
  <si>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</si>
  <si>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</si>
  <si>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</si>
  <si>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</si>
  <si>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</si>
  <si>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includes hospital/pharmacy</t>
  </si>
  <si>
    <t>J543</t>
  </si>
  <si>
    <t>Laparoscopically assisted versus open oesophagectomy for patients with oesophageal cancer - The Randomised Oesophagectomy: Minimally Invasive or Open (ROMIO) study: Protocol for a randomised controlled trial (RCT)</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</si>
  <si>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</si>
  <si>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protocol</t>
  </si>
  <si>
    <t>Will look at cost effectiveness, but Protocol</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</si>
  <si>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</si>
  <si>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</si>
  <si>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</si>
  <si>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more validation of model</t>
  </si>
  <si>
    <t>Prevention (but more focussed on the model)</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</si>
  <si>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</si>
  <si>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</si>
  <si>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</si>
  <si>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Does include some relevant outcome data, but main focus is validation of tool</t>
  </si>
  <si>
    <t>Does have some info on cost effectiveness, but main focus is validation of tool</t>
  </si>
  <si>
    <t>J546</t>
  </si>
  <si>
    <t>Individualised screening for diabetic retinopathy: The ISDR study - Rationale, design and methodology for a randomised controlled trial comparing annual and individualised risk-based variable-interval screening</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</si>
  <si>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</si>
  <si>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think this is essentially a Protocol</t>
  </si>
  <si>
    <t>No shift (could be Prevention)</t>
  </si>
  <si>
    <t>includes cost effectiveness, but only protocol</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</si>
  <si>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</si>
  <si>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</si>
  <si>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</si>
  <si>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</si>
  <si>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</si>
  <si>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</si>
  <si>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</si>
  <si>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</si>
  <si>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</si>
  <si>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</si>
  <si>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</si>
  <si>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</si>
  <si>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unclear from abstract if it has UK studies</t>
  </si>
  <si>
    <t>healthcare settings</t>
  </si>
  <si>
    <t>comparsion and outcomes (limited)</t>
  </si>
  <si>
    <t xml:space="preserve">No shift </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</si>
  <si>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</si>
  <si>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</si>
  <si>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</si>
  <si>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J552</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</si>
  <si>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</si>
  <si>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</si>
  <si>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includes ongoing UK studies</t>
  </si>
  <si>
    <t>Community health/pharmacy</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</si>
  <si>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</si>
  <si>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</si>
  <si>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</si>
  <si>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mainly school based</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</si>
  <si>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</si>
  <si>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</si>
  <si>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</si>
  <si>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</si>
  <si>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</si>
  <si>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</si>
  <si>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</si>
  <si>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</si>
  <si>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</si>
  <si>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Cost saving (but no figure in abstract)</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</si>
  <si>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</si>
  <si>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</si>
  <si>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</si>
  <si>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reduction in expenditure</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</si>
  <si>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</si>
  <si>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</si>
  <si>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</si>
  <si>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</si>
  <si>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</si>
  <si>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</si>
  <si>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</si>
  <si>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</si>
  <si>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</si>
  <si>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comparion and outcomes (limited)</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</si>
  <si>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</si>
  <si>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</si>
  <si>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</si>
  <si>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Community/hospital</t>
  </si>
  <si>
    <t>comparison and outcomes (could exclude - minimal impacts)</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</si>
  <si>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</si>
  <si>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</si>
  <si>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</si>
  <si>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no relevant outcomes</t>
  </si>
  <si>
    <t>Prevention/community</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</si>
  <si>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</si>
  <si>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</si>
  <si>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</si>
  <si>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Primary care</t>
  </si>
  <si>
    <t>No shift - could be community</t>
  </si>
  <si>
    <t>Not cash releasing (only protocol)</t>
  </si>
  <si>
    <t>J564</t>
  </si>
  <si>
    <t>Interventions to reduce ambient particulate matter air pollution and their effect on health</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</si>
  <si>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</si>
  <si>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Community settings, not specific to health</t>
  </si>
  <si>
    <t xml:space="preserve"> vague mention of health/cost benefits</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</si>
  <si>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</si>
  <si>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</si>
  <si>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</si>
  <si>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Community/Prevention</t>
  </si>
  <si>
    <t>J566</t>
  </si>
  <si>
    <t>Pharmacological interventions for the treatment of delirium in critically ill adults</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</si>
  <si>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</si>
  <si>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hospital/pharmacy</t>
  </si>
  <si>
    <t>Prevent?</t>
  </si>
  <si>
    <t>J567</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</si>
  <si>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</si>
  <si>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</si>
  <si>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</si>
  <si>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</si>
  <si>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</si>
  <si>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Canada</t>
  </si>
  <si>
    <t>unclear from abstract, but would assume hospitals/health settings</t>
  </si>
  <si>
    <t>could exclude as guideline</t>
  </si>
  <si>
    <t>guidelines, but includes some outcomes</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</si>
  <si>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</si>
  <si>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</si>
  <si>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</si>
  <si>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China</t>
  </si>
  <si>
    <t>healthcare</t>
  </si>
  <si>
    <t>more about quantity of studies</t>
  </si>
  <si>
    <t>J570</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</si>
  <si>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</si>
  <si>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</si>
  <si>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No shift, could be Community?</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</si>
  <si>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</si>
  <si>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</si>
  <si>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</si>
  <si>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UK and Ireland</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</si>
  <si>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</si>
  <si>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</si>
  <si>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</si>
  <si>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portugal</t>
  </si>
  <si>
    <t>barriers/facilitators</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</si>
  <si>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</si>
  <si>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</si>
  <si>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</si>
  <si>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only protocol</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</si>
  <si>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</si>
  <si>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</si>
  <si>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</si>
  <si>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hospitals/health settings</t>
  </si>
  <si>
    <t>vague mention of increasing threshold lowering costs</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</si>
  <si>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</si>
  <si>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</si>
  <si>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</si>
  <si>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</si>
  <si>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</si>
  <si>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</si>
  <si>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Pharmacies-in scope?</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</si>
  <si>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</si>
  <si>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</si>
  <si>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</si>
  <si>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unclear</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</si>
  <si>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</si>
  <si>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</si>
  <si>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</si>
  <si>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unclear from abstract if any of the studies are UK</t>
  </si>
  <si>
    <t>military</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</si>
  <si>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</si>
  <si>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</si>
  <si>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</si>
  <si>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No shift, could be Prevention</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</si>
  <si>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</si>
  <si>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</si>
  <si>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</si>
  <si>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</si>
  <si>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</si>
  <si>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</si>
  <si>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could exclude, think this a presentation</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</si>
  <si>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</si>
  <si>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</si>
  <si>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</si>
  <si>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genetics</t>
  </si>
  <si>
    <t>could exclude as recommendations</t>
  </si>
  <si>
    <t>recommendations</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</si>
  <si>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</si>
  <si>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</si>
  <si>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</si>
  <si>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Community pharmacy - in scope?</t>
  </si>
  <si>
    <t>study that demonstrates cost saving is Australian</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</si>
  <si>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</si>
  <si>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</si>
  <si>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</si>
  <si>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Community (via telephone)</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</si>
  <si>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</si>
  <si>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</si>
  <si>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</si>
  <si>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not specifically a health setting</t>
  </si>
  <si>
    <t>some relevant outcomes, but not related to UK</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</si>
  <si>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</si>
  <si>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</si>
  <si>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</si>
  <si>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study that demonstrates cost saving is US</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</si>
  <si>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</si>
  <si>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</si>
  <si>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</si>
  <si>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England, NHS</t>
  </si>
  <si>
    <t>Community (digital and online)</t>
  </si>
  <si>
    <t>comparison and outcomes (mixed)</t>
  </si>
  <si>
    <t>J588</t>
  </si>
  <si>
    <t>Insights for Care: The Healthcare Utilisation and Cost Impact of Managing Type 2 Diabetes-Associated Microvascular Complications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</si>
  <si>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</si>
  <si>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UK, NHS</t>
  </si>
  <si>
    <t>secondary care</t>
  </si>
  <si>
    <t>Not cash releasing, vague mention of being potentially cost saving</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</si>
  <si>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</si>
  <si>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</si>
  <si>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</si>
  <si>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US</t>
  </si>
  <si>
    <t>Health care system</t>
  </si>
  <si>
    <t>comment</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</si>
  <si>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</si>
  <si>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</si>
  <si>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</si>
  <si>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NHS in total</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</si>
  <si>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</si>
  <si>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</si>
  <si>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</si>
  <si>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whole of health sector</t>
  </si>
  <si>
    <t>quali/themes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</si>
  <si>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</si>
  <si>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</si>
  <si>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</si>
  <si>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healthcare priority-setting</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</si>
  <si>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</si>
  <si>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</si>
  <si>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</si>
  <si>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compliance</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</si>
  <si>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</si>
  <si>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</si>
  <si>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</si>
  <si>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</si>
  <si>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</si>
  <si>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</si>
  <si>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health settings - varies by study</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</si>
  <si>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</si>
  <si>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</si>
  <si>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</si>
  <si>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Korea?</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</si>
  <si>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</si>
  <si>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</si>
  <si>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</si>
  <si>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</si>
  <si>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</si>
  <si>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</si>
  <si>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cost savings</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</si>
  <si>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</si>
  <si>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</si>
  <si>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</si>
  <si>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various health/community settings</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</si>
  <si>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</si>
  <si>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</si>
  <si>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</si>
  <si>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UK?</t>
  </si>
  <si>
    <t>hospital?</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</si>
  <si>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</si>
  <si>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</si>
  <si>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</si>
  <si>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</si>
  <si>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</si>
  <si>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</si>
  <si>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vague mention of it being potentially cost saving</t>
  </si>
  <si>
    <t>J2833</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</si>
  <si>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</si>
  <si>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</si>
  <si>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says potential to reduce costs, but no figure for this from UK study</t>
  </si>
  <si>
    <t>J2834</t>
  </si>
  <si>
    <t>Mobile applications in clinical and perioperative care for anesthesia: Narrative review</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</si>
  <si>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</si>
  <si>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Community/health settings (via app)</t>
  </si>
  <si>
    <t>vague mention of potential to reduce hospital costs</t>
  </si>
  <si>
    <t>J2835</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</si>
  <si>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</si>
  <si>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</si>
  <si>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comparison and outcomes (limited effect)</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</si>
  <si>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</si>
  <si>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</si>
  <si>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</si>
  <si>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hospital (outpatients)</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</si>
  <si>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</si>
  <si>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</si>
  <si>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</si>
  <si>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Aus</t>
  </si>
  <si>
    <t>hospitals</t>
  </si>
  <si>
    <t>cost savings, but study from Aus</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</si>
  <si>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</si>
  <si>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</si>
  <si>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</si>
  <si>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pharmaceutical industry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</si>
  <si>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</si>
  <si>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</si>
  <si>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</si>
  <si>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</si>
  <si>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</si>
  <si>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</si>
  <si>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comparison and outcomes - could exclude as more feasibility and acceptability of the intervention</t>
  </si>
  <si>
    <t>Prevent</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</si>
  <si>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</si>
  <si>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</si>
  <si>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</si>
  <si>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</si>
  <si>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</si>
  <si>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</si>
  <si>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NHS staff</t>
  </si>
  <si>
    <t>feasibility and acceptability of the intervention</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</si>
  <si>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</si>
  <si>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</si>
  <si>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</si>
  <si>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think this might be more 3rd sector</t>
  </si>
  <si>
    <t>could exclude, no benefit/effect</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</si>
  <si>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</si>
  <si>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</si>
  <si>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</si>
  <si>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</si>
  <si>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</si>
  <si>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</si>
  <si>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</si>
  <si>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</si>
  <si>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</si>
  <si>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includes England</t>
  </si>
  <si>
    <t>prevalence, rather than specific setting, could exclude</t>
  </si>
  <si>
    <t>Incidence and prevalence</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</si>
  <si>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</si>
  <si>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</si>
  <si>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</si>
  <si>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quali</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</si>
  <si>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</si>
  <si>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</si>
  <si>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</si>
  <si>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NHS in total (and personal social services)</t>
  </si>
  <si>
    <t>comparison and relevant outcomes</t>
  </si>
  <si>
    <t>vague mention of potential to be cost saving</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</si>
  <si>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</si>
  <si>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</si>
  <si>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</si>
  <si>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unclear if any studies are UK</t>
  </si>
  <si>
    <t>comparsion and outcomes</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</si>
  <si>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</si>
  <si>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</si>
  <si>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</si>
  <si>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very limited relevant info</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</si>
  <si>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</si>
  <si>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</si>
  <si>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</si>
  <si>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England and Wales, NHS</t>
  </si>
  <si>
    <t>Community (ambulance)</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</si>
  <si>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</si>
  <si>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</si>
  <si>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</si>
  <si>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</si>
  <si>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</si>
  <si>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</si>
  <si>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</si>
  <si>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</si>
  <si>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</si>
  <si>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comparison and outcomes (might be limited)</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</si>
  <si>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</si>
  <si>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</si>
  <si>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</si>
  <si>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comparison and outcomes (might be mainly related to prevalence)</t>
  </si>
  <si>
    <t>vague mention of potential to reduce costs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</si>
  <si>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</si>
  <si>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</si>
  <si>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</si>
  <si>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Prevention? - could be no shift</t>
  </si>
  <si>
    <t>J2857</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</si>
  <si>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</si>
  <si>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</si>
  <si>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J2858</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</si>
  <si>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</si>
  <si>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</si>
  <si>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</si>
  <si>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</si>
  <si>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</si>
  <si>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community (home)</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</si>
  <si>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</si>
  <si>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</si>
  <si>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</si>
  <si>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survey</t>
  </si>
  <si>
    <t>J2861</t>
  </si>
  <si>
    <t>Integrated disease management interventions for patients with chronic obstructive pulmonary disease</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</si>
  <si>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</si>
  <si>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1 ongoing UK study included</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</si>
  <si>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</si>
  <si>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</si>
  <si>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</si>
  <si>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</si>
  <si>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</si>
  <si>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</si>
  <si>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could include, does vaguely mention lowering costs</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</si>
  <si>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</si>
  <si>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</si>
  <si>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</si>
  <si>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J2865</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</si>
  <si>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</si>
  <si>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</si>
  <si>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hospital/community</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</si>
  <si>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</si>
  <si>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</si>
  <si>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</si>
  <si>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ambulance</t>
  </si>
  <si>
    <t>J2867</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</si>
  <si>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</si>
  <si>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</si>
  <si>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tertiary neurorehabilitation unit</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</si>
  <si>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</si>
  <si>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</si>
  <si>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</si>
  <si>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Primary care/community</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</si>
  <si>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</si>
  <si>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</si>
  <si>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</si>
  <si>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</si>
  <si>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</si>
  <si>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</si>
  <si>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</si>
  <si>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</si>
  <si>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</si>
  <si>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hospitals?</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</si>
  <si>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</si>
  <si>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</si>
  <si>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</si>
  <si>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J2873</t>
  </si>
  <si>
    <t>An external pilot cluster randomised controlled trial of a theory-based intervention to improve appropriate polypharmacy in older people in primary care (PolyPrime): study protocol</t>
  </si>
  <si>
    <t>Background</t>
  </si>
  <si>
    <t>Northern Ireland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</si>
  <si>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</si>
  <si>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</si>
  <si>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</si>
  <si>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</si>
  <si>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</si>
  <si>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</si>
  <si>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pharmacies/hospitals</t>
  </si>
  <si>
    <t>comparison and outcomes (low certainty)</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</si>
  <si>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</si>
  <si>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</si>
  <si>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</si>
  <si>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J2877</t>
  </si>
  <si>
    <t>Exploring the role of dedicated services for barrett's oesophagus care in UK NHS hospitals</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</si>
  <si>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</si>
  <si>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J2878</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</si>
  <si>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</si>
  <si>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</si>
  <si>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</si>
  <si>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</si>
  <si>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</si>
  <si>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includes UK and Ireland</t>
  </si>
  <si>
    <t>J2880</t>
  </si>
  <si>
    <t>Status of primary and secondary mental healthcare of people with severe mental illness: An epidemiological study from the UK PARTNERS2 programme</t>
  </si>
  <si>
    <t>primary and secondary mental healthcare</t>
  </si>
  <si>
    <t>no shift</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</si>
  <si>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</si>
  <si>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</si>
  <si>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</si>
  <si>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more of a validation of using electronic patient records to assess the effect of a complex antenatal intervention</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</si>
  <si>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</si>
  <si>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</si>
  <si>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</si>
  <si>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No shift - could be prevention</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</si>
  <si>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</si>
  <si>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</si>
  <si>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</si>
  <si>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comparison and outcomes (little difference)</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</si>
  <si>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</si>
  <si>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</si>
  <si>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</si>
  <si>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perspectives</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</si>
  <si>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</si>
  <si>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</si>
  <si>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</si>
  <si>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NHS Fife</t>
  </si>
  <si>
    <t>more grey lit?</t>
  </si>
  <si>
    <t>more adherence/guidance</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</si>
  <si>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</si>
  <si>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</si>
  <si>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</si>
  <si>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community</t>
  </si>
  <si>
    <t>comparison and outcomes (limited, low quality)</t>
  </si>
  <si>
    <t>J2887</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</si>
  <si>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</si>
  <si>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</si>
  <si>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</si>
  <si>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</si>
  <si>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</si>
  <si>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</si>
  <si>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</si>
  <si>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</si>
  <si>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could be Prevent</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</si>
  <si>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</si>
  <si>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</si>
  <si>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</si>
  <si>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unclear from abstract if UK is one of the 15</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</si>
  <si>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</si>
  <si>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</si>
  <si>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</si>
  <si>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Wales, NHS</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</si>
  <si>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</si>
  <si>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</si>
  <si>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</si>
  <si>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Community?</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</si>
  <si>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</si>
  <si>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</si>
  <si>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</si>
  <si>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community?</t>
  </si>
  <si>
    <t>Digital/Community</t>
  </si>
  <si>
    <t>J2894</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</si>
  <si>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</si>
  <si>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</si>
  <si>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</si>
  <si>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</si>
  <si>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</si>
  <si>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Scotland, NHS</t>
  </si>
  <si>
    <t xml:space="preserve">all 14 NHS Boards Scotland </t>
  </si>
  <si>
    <t>have demonstrated cost saving</t>
  </si>
  <si>
    <t>J2896</t>
  </si>
  <si>
    <t>Dietetics and community pharmacy working together; improving nutritional care for patients prescribed oral nutritional supplements (ONS)</t>
  </si>
  <si>
    <t>A pilot to support ‘New Ways of Working’ for</t>
  </si>
  <si>
    <t>Dietetics and Community Pharmacy</t>
  </si>
  <si>
    <t>might be more grey lit?</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</si>
  <si>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</si>
  <si>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</si>
  <si>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</si>
  <si>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unclear, but would assume hospitals/health/community health setting</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</si>
  <si>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</si>
  <si>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</si>
  <si>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</si>
  <si>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J2899</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</si>
  <si>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</si>
  <si>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</si>
  <si>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varies by study</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</si>
  <si>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</si>
  <si>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</si>
  <si>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</si>
  <si>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clinic/pharmacy</t>
  </si>
  <si>
    <t>comparison and outcomes (very limited)</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</si>
  <si>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</si>
  <si>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</si>
  <si>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</si>
  <si>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</si>
  <si>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</si>
  <si>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</si>
  <si>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Correct study type - but might be commentary</t>
  </si>
  <si>
    <t>not really clear outcomes, more of a commentary</t>
  </si>
  <si>
    <t>J2903</t>
  </si>
  <si>
    <t>Is it worth it? Cost-effectiveness analysis of a commercial physical activity app</t>
  </si>
  <si>
    <t>Digital/Prevention/Community</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</si>
  <si>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</si>
  <si>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</si>
  <si>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</si>
  <si>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J2905</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</si>
  <si>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</si>
  <si>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</si>
  <si>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</si>
  <si>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</si>
  <si>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</si>
  <si>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</si>
  <si>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</si>
  <si>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</si>
  <si>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</si>
  <si>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</si>
  <si>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</si>
  <si>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</si>
  <si>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</si>
  <si>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</si>
  <si>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</si>
  <si>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</si>
  <si>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Outpatient/community</t>
  </si>
  <si>
    <t>some limited info on cost savings</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</si>
  <si>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</si>
  <si>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</si>
  <si>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</si>
  <si>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</si>
  <si>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</si>
  <si>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</si>
  <si>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</si>
  <si>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</si>
  <si>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Digital?</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</si>
  <si>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</si>
  <si>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</si>
  <si>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</si>
  <si>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hospitals, centres, homes</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</si>
  <si>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</si>
  <si>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</si>
  <si>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</si>
  <si>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ambulance (private - in scope?)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</si>
  <si>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</si>
  <si>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</si>
  <si>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</si>
  <si>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health/community settings</t>
  </si>
  <si>
    <t>J6206</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</si>
  <si>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</si>
  <si>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</si>
  <si>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</si>
  <si>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</si>
  <si>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</si>
  <si>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</si>
  <si>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</si>
  <si>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</si>
  <si>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J6209</t>
  </si>
  <si>
    <t>Tranexamic acid for preventing postpartum haemorrhage after vaginal birth</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</si>
  <si>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</si>
  <si>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unclear, but looks like 1 study might includes UK</t>
  </si>
  <si>
    <t>comparison and outcomes (little to no difference)</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</si>
  <si>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</si>
  <si>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</si>
  <si>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</si>
  <si>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community (care homes)</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</si>
  <si>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</si>
  <si>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</si>
  <si>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</si>
  <si>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mentions potential cost saving, but uncertain</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</si>
  <si>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</si>
  <si>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</si>
  <si>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</si>
  <si>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</si>
  <si>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</si>
  <si>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</si>
  <si>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comparison and outcomes - could exclude as adherence</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</si>
  <si>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</si>
  <si>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</si>
  <si>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</si>
  <si>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USA</t>
  </si>
  <si>
    <t>community health centres</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</si>
  <si>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</si>
  <si>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</si>
  <si>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</si>
  <si>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</si>
  <si>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</si>
  <si>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</si>
  <si>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comparison and outcomes (little/no difference)</t>
  </si>
  <si>
    <t>vague mention that it could reduce costs</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</si>
  <si>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</si>
  <si>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</si>
  <si>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</si>
  <si>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biobanks</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</si>
  <si>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</si>
  <si>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</si>
  <si>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</si>
  <si>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pharmacies-in scope?</t>
  </si>
  <si>
    <t>Not cash releasing (vague mention of direct and indirect cost savings)</t>
  </si>
  <si>
    <t>J6219</t>
  </si>
  <si>
    <t>Study protocol of a pilot randomised controlled trial assessing the feasibility and acceptability of RecoverEsupport: a digital health intervention to enhance recovery in women undergoing surgery for breast cancer</t>
  </si>
  <si>
    <t>Introduction Internationally, breast cancer is the second most diagnosed cancer with approximately 2.3 million people diagnosed each year. 40% will require a mastectomy which has an average length of hospital stay of 1–2 days. Enhanced Recovery After Surgery (ERAS) guidelines include the following patient-managed recommendations: early mobilisation, early eating and drinking, opioid minimisation and physiotherapy exercises. Low adherence rates to these recommendations suggest that patients need support to do these things. A digital health intervention (DHI) may provide an effective, cost-effective and scalable solution. This pilot trial aims to assess the feasibility of conducting a trial of RecoverEsupport and the acceptability of the RecoverEsupport intervention to support patients to recover from breast cancer surgery.</t>
  </si>
  <si>
    <t>J6220</t>
  </si>
  <si>
    <t>Negative pressure wound therapy for surgical wounds healing by secondary intention is not cost-effective</t>
  </si>
  <si>
    <t>&lt;b&gt;BACKGROUND&lt;/b&gt;: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system._x000D_
&lt;b&gt;METHODS&lt;/b&gt;: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uncertainty._x000D_
&lt;b&gt;RESULTS&lt;/b&gt;: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analyses._x000D_
&lt;b&gt;CONCLUSION&lt;/b&gt;: No evidence was found demonstrating that NPWT was a cost-effective alternative to standard dressings for SWHSI.</t>
  </si>
  <si>
    <t>UK healthcare system perspective</t>
  </si>
  <si>
    <t>J6221</t>
  </si>
  <si>
    <t>Background: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 Method(s):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 Result(s):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 Conclusion(s): No evidence was found demonstrating that NPWT was a cost-effective alternative to standard dressings for SWHSI. Copyright © The Author(s) 2025.</t>
  </si>
  <si>
    <t>J6222</t>
  </si>
  <si>
    <t>The clinical and cost effectiveness of a STAndardised DIagnostic Assessment for children and adolescents with emotional difficulties: the STADIA multi-centre randomised controlled trial</t>
  </si>
  <si>
    <t>BACKGROUND: Standardised Diagnostic Assessment tools, such as the Development and Well-Being Assessment (DAWBA), may aid detection and diagnosis of emotional disorders but there is limited real-world evidence of their clinical or cost effectiveness. METHOD(S): We conducted a multicentre, two-arm parallel group randomised controlled trial in eight large National Health Service Trusts in England providing multidisciplinary specialist Child and Adolescent Mental Health Services (CAMHS). Participants (5-17 year-olds with emotional difficulties referred to CAMHS) were randomly assigned (1:1), following referral receipt, to either receive the DAWBA and assessment-as-usual (intervention group) or assessment-as-usual (control group). Data were self-reported by participants (parents and/or young person, depending on age) at baseline, 6- and 12-month post-randomisation and collected from clinical records up to 18 months post-randomisation. The primary outcome was a clinician-made diagnosis decision about the presence of an emotional disorder within 12 months of randomisation. TRIAL REGISTRATION: ISRCTN15748675. RESULT(S): In total, 1,225 children and young people (58% female sex) were randomised (615 intervention; 610 control). Adherence to the intervention (full/partial completion) was 80% (494/615). At 12 months, 68 (11%) participants in the intervention group received an emotional disorder diagnosis versus 72 (12%) in the control group (adjusted risk ratio (RR) 0.94 [95% CI 0.70, 1.28]). The intervention was not cost effective. There was no evidence of any differences between groups for service-related or participant-reported secondary outcomes, for example, CAMHS acceptance of the index referral (intervention 277 (45%) versus control 262 (43%); RR: 1.06 [95% CI: 0.94, 1.19]) was similar between groups. CONCLUSION(S): As delivered in this pragmatic trial, we found no evidence for the effectiveness or cost effectiveness of using a Standardised Diagnostic Assessment tool in aiding the detection of emotional disorders or clinical outcomes in clinically referred children and young people. Despite regular efforts to encourage clinicians to view the DAWBA report and consider its findings as part of assessment and diagnosis, we did not collect data on usage and therefore cannot confirm the extent to which clinicians did this. As a pragmatic trial that aimed to test the effectiveness of incorporating the DAWBA into usual practice and clinical care, our study found that, in the format as delivered in this trial, there was no impact on diagnosis or clinical outcomes. Copyright © 2024 The Author(s). Journal of Child Psychology and Psychiatry published by John Wiley &amp; Sons Ltd on behalf of Association for Child and Adolescent Mental Health.</t>
  </si>
  <si>
    <t>community (CAMHS)</t>
  </si>
  <si>
    <t>could exclude, no evidence for the effectiveness or cost effectiveness</t>
  </si>
  <si>
    <t>J6223</t>
  </si>
  <si>
    <t>Rapid tests to inform triage and antibiotic prescribing decisions for adults presenting with suspected acute respiratory infection: a rapid evidence synthesis of clinical effectiveness and cost-utility studies</t>
  </si>
  <si>
    <t>&lt;b&gt;Background&lt;/b&gt;: This review assessed the clinical- and cost-effectiveness of point-of-care tests to guide the initial management of people presenting with suspected acute respiratory infection._x000D_
&lt;b&gt;Methods&lt;/b&gt;: Searches for systematic reviews, randomised controlled trials and cost-utility studies were conducted in May 2023. Sources included MEDLINE, Epistemonikos, EMBASE, Cochrane Central Register of Controlled Trials, the Cost-effectiveness Analysis Registry and reference checking. Eligible studies included people (&gt;= 16 years) making initial contact with the health system with symptoms suggestive of acute respiratory infection. Risk of bias in randomised controlled trials was assessed using the Cochrane risk-of-bias tool. The Drummond checklist was used for cost-utility studies. Meta-analyses of clinical outcomes were conducted to estimate summary risk ratios with 95% confidence intervals. Study characteristics and main results were summarised narratively and tabulated._x000D_
&lt;b&gt;Results&lt;/b&gt;: Fourteen randomised controlled trials were included; all had a high risk of bias. Ten randomised controlled trials analysed point-of-care tests for C-reactive protein. Compared with usual care, the effects on hospital admissions and mortality were highly uncertain due to sparse data. Three randomised controlled trials had heterogeneous findings on the resolution of symptoms/time to full recovery. The risk of re-consultations increased in patients receiving C-reactive protein point-of-care tests (pooled risk ratio 1.61, 95% confidence interval 1.07 to 2.41; four studies). There was a reduction in antibiotics initially prescribed (C-reactive protein point-of-care tests vs. usual care: pooled risk ratio 0.75, 95% confidence interval 0.68 to 0.84; nine studies). The effects of procalcitonin point-of-care tests compared with usual care on hospital admission, escalation of care, and duration of symptoms were very uncertain as only one randomised controlled trial was included. The study found a large reduction in antibiotic prescriptions within 7 days. Two studies revealed a large reduction in initial antibiotic prescriptions for Group A streptococcus point-of-care tests versus usual care. Only one study compared an influenza point-of-care test with usual care. The effect of the antibiotics prescribed was very uncertain. No deaths occurred in either treatment group._x000D_
&lt;b&gt;Cost-effectiveness&lt;/b&gt;: Six of the 17 included cost-utility studies were judged to be directly applicable to our review, 4 of which focused on the C-reactive protein point-of-care test. The results suggested that the C-reactive protein point-of-care test is potentially cost-effective; these studies were generally limited to capturing only short-term costs and consequences. One study evaluated 14 different point-of-care tests for Group A streptococcus; none were cost-effective compared with usual care. A further study evaluated two rapid tests (Quidel for influenza [Quidel Corp, San Diego, CA, USA], and BinaxNOW [Binax, Inc., Portland, ME, USA]) for the pneumococcal antigen) compared to culture/serology and found that they were not cost-effective._x000D_
&lt;b&gt;Limitations&lt;/b&gt;: Rapid synthesis methods were used, so relevant studies may have been missed. No evidence was identified for several review questions._x000D_
&lt;b&gt;Conclusion&lt;/b&gt;: C-reactive protein point-of-care test may reduce the number of patients given an antibiotic prescription but could increase the rate of re-consultations. C-reactive protein point-of-care test may potentially be cost-effective but existing estimates were based on very small and uncertain gains in quality-adjusted life-years and only accounted for short-term costs and consequences. There was very limited or an absence of evidence for other point-of-care tests._x000D_
&lt;b&gt;Future work&lt;/b&gt;: Research is needed to explore the impact of point-of-care tests on triaging decisions across different clinical settings and to quantify the longer-term health and cost consequences._x000D_
&lt;b&gt;Study registration&lt;/b&gt;: This study is registered as PROSPERO CRD42023429515._x000D_
&lt;b&gt;Funding&lt;/b&gt;: This award was funded by the National Institute for Health and Care Research (NIHR) Evidence Synthesis programme (NIHR award ref: NIHR159946) and is published in full in Health Technology Assessment; Vol. 29, No. 13. See the NIHR Funding and Awards website for further award information.</t>
  </si>
  <si>
    <t>J6224</t>
  </si>
  <si>
    <t>Randomised controlled trial testing clinical and cost-effectiveness of the Live Well self-management toolkit for people with Parkinson's and their carers</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</si>
  <si>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 2025</t>
  </si>
  <si>
    <t>J6225</t>
  </si>
  <si>
    <t>Breast cancer MDT streamlining: Current oncology UK practice</t>
  </si>
  <si>
    <t>Purpose: Breast cancer multidisciplinary teams (MDTs) ensure high-quality care by bringing together specialists. However, increasing patient numbers and case complexities have strained traditional MDTs. NHS England recommendations complement Sibbering's MDT Toolkit, recommending excluding straightforward cases based on protocols, allowing more focused discussions on complex cases. [1,2] Streamlining strategies including pre-meeting preparation and triage reduce workload without compromising care quality. These methods ensure complex cases receive required attention, enhance clinician engagement, support trainee development, and provide optimal, evidence-based treatment as cancer care evolves. [1,2,3,4] Although crucial for addressing rising workloads and workforce shortages, its nationwide implementation has progressed slowly. [4] Methods: A mixed-methods survey was distributed to consultants on the UK Breast Cancer Group mailing list to assess MDT workload and streamlining measures. Result(s): 63 oncology consultants responded, with 58.7% being clinical oncologists and 41.3% medical oncologists, representing the UK, including Scotland, Wales, and Northern Ireland. Most respondents (47.6%) attended two MDTs weekly, with a median MDT time of 2-4 hours per week. Regarding case discussions, 68.3% included benign breast cases, and 38.1% had separate metastatic breast MDTs. All respondents discussed new early breast cancer cases, while 41 discussed all new metastatic cases, and 14 discussed metastatic cases requiring treatment changes. Overall, 73% did not have a pre-MDT triage meeting. Those with triage mostly involved breast surgeons, with minimal input from radiology or oncology. Clinicians noted inefficiencies, such as irrelevant discussions and redundant consultant participation. To improve efficiency, some suggested discussing benign cases after oncologists left and addressing metastatic cases separately or at specific times with radiological input. Conclusion(s): The survey reveals the strain on UK breast cancer MDTs from rising caseloads and complexity. Streamlining strategies like pre-MDT triaging, protocol-driven standards, and better role allocation can enhance efficiency, reduce clinician burnout, and optimise time. Adapting MDT practices is vital for sustaining high-quality, evidence-based care amid growing demands. References: 1. Sibbering M. Improving the efficiency of breast multidisciplinary team meetings: A toolkit for breast services. Association of Breast Surgery, 2020. Available at https://associationofbreastsurgery.org.uk/media/wrift1ue/mdm-toolkit-complete.pdf [Accessed 18 Sep 2024]. 2. NHS England and NHS Improvement. Streamlining multi-disciplinary team meetings: Guidance for cancer alliances. Available at https://www.england.nhs.uk/wp-content/uploads/2020/01/multi-disciplinary-team-streamlining-guidance.pdf [accessed 18th sept 2024]. 3. Soukup T, Gandamihardja TA, McInerney S, Green JS, Sevdalis N. Do multidisciplinary cancer care teams suffer decision-making fatigue: an observational, longitudinal team improvement study. BMJ Open 2019;9:e027303. 4. Al-Hammouri T, Almeida-Magana R, Soukup T, Lamb B. Implementation of streamlining measures in selecting and prioritizing complex cases for the cancer multidisciplinary team meeting: a mini review of the recent developments. Front Health Serv. 2024 Mar 12;4:1340320. Copyright © 2024</t>
  </si>
  <si>
    <t>J6226</t>
  </si>
  <si>
    <t>Experiences and perceptions of using a digital health intervention</t>
  </si>
  <si>
    <t>Purpose: Introduction: Technological-based solutions for healthcare specialities have become favourable worldwide, and digital healthcare is revolutionising the medical arena. However, we need to find out whether and how it is going to help patients. One innovation in healthcare is to change outpatient care using technology so that patients can be seen, diagnosed and managed with fewer hospital visits. Telemedicine allows patients to consult with healthcare providers from their own homes, thus eliminating geographical barriers and reducing the need for in-person visits enhancing sustainability and reducing carbon emissions. It has been shown that telemedicine can significantly improve patient satisfaction, access to care, and clinical outcomes (Ammenwerth, &amp; de Keizer, 2020; Bashshue et al., 2011). The 'Virtual Lucy platform' is an innovative pathway designed to find the best possible solutions that will have the highest productivity and efficiency levels for the NHS, clinicians and patients and encompasses the aforementioned health technologies (Virtual Lucy, 2023). Aim(s): The aim of this study is to explore public and patient experiences and perceptions of engaging or choosing not to engage with using Virtual Healthcare Platforms (including Virtual Lucy) for medical treatment. Method(s): A qualitative approach was adopted. Eleven (n=11) participants were recruited from the Stroke Hub Wales (SHW) and Health Business Solutions Virtual Lucy research databases. Semi-structured interviews were conducted, and the verbatim transcriptions were analysed using reflective thematic analysis according to Braun and Clarke (2006). Result(s): Analysis &amp; Findings: Pseudonyms were assigned to each participant with any identifiable information removed. Thematic analysis was conducted to evaluate participant experiences, perspectives, views, impact of, and to identify themes when using digital health interventions. Two preliminary main themes were identified: (1) Virtual Healthcare Technology: an enabler versus a barrier and (2) Healthcare technology the way forward: the provider. Conclusion(s): Discussion &amp; Conclusion(s): Most participants embraced and acknowledged the use of technology (virtual consultations) for their healthcare, which provided a sense of efficiency, saved time, reduced stigma and was private and impactful on healthcare. However, some participants highlighted face-to-face consultations' balance, value and importance. There were also reflections on the ageing population, digital literacy and applicability of the technology for certain medical conditions. These experiences and perceptions outlined by participants offer important insights for those facilitating technological advances in healthcare; thus, addressing capacity, productivity and sustainability issues by improving efficiency, reducing waiting times and carbon footprint, and improving cost-saving ways for delivering healthcare. The research presented here also offers insight into recognising the limitations of digital healthcare and persons who may not have access to supportive technologies and may have issues with digital literacy. Impact: This project adds to the growing body of evidence in support of digital healthcare interventions for chronic conditions from patient experiences and perspectives. It provides an underpinning for improvement to our online offerings and supports the HBSUK vision of 'Making Healthcare Better'. It is also important to mention that this project has been presented to the Stroke Hub Wales (SHW) Public and Patient Involvement Committee, who were in support of this research. Funding acknowledgements: N/A Keywords: Digital Health, Experiences, Perceptions Copyright © 2025</t>
  </si>
  <si>
    <t>Experiences and perceptions</t>
  </si>
  <si>
    <t>J6227</t>
  </si>
  <si>
    <t>Optimization of a Push Notification System to Improve First-case Delays: A Quality Improvement Project</t>
  </si>
  <si>
    <t>PURPOSE: To increase first-case on-time start (FCOTS) rates at a large New England hospital by optimizing the use of a preoperative (pre-op) push notification system to reduce delays and improve operating room efficiency. DESIGN: The project employed a quality improvement approach guided by the Model for Improvement from the Institute for Healthcare Improvement. METHOD(S): A push notification system integrated into the electronic health record was used to enhance communication between surgeons and pre-op nurses across three surgical pavilions. Mandatory education sessions were provided for all enrolled staff, and Plan-Do-Study-Act cycles were conducted to refine processes and monitor outcomes. Data on notification usage and FCOTS rates were tracked from pre implementation (August 2023) through the implementation phase (December 2023). FINDINGS: Training resulted in 87% (n = 60) of nurses completing the push notification education, and 31% (n = 28) of surgeons confirmed reviewing training materials. Initial implementation increased push notification use among nurses from 26% to a peak of 51% in October 2023, though this later declined to 39% by year-end with net gain of 17%. Among surgeons, push notification usage peaked at 18%, with a net gain of 2% over the baseline. The East pavilion maintained relatively high FCOTS rates, decreasing slightly from 82% in October to 78% by year-end. In the North and South pavilions, increased push notification usage by nurses aligned with gradual FCOTS improvements: the North pavilion rose from 63% to 65%, while the South pavilion experienced fluctuations, ultimately achieving a 12% increase from baseline to reach 57% in December. CONCLUSION(S): These findings suggest that while increased push notification use among nurses helped improve FCOTS in some pavilions, limited surgeon participation may have hindered the overall impact on reducing delays. Future strategies should focus on increasing engagement from all staff, improving workflow integration, and implementing ongoing performance tracking to optimize surgical efficiency across all pavilions. Enhancing FCOTS not only improves the patient experience by reducing wait times and increasing satisfaction, but also benefits staff by streamlining workflows and reducing stress. Ultimately, these improvements support organizational goals for greater efficiency and cost-effectiveness in perioperative care. Copyright © 2025 The American Society of PeriAnesthesia Nurses. Published by Elsevier Inc. All rights reserved.</t>
  </si>
  <si>
    <t>J6228</t>
  </si>
  <si>
    <t>Implementation strategies for WHO guidelines to prevent, detect, and treat postpartum hemorrhage</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</si>
  <si>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stepped‐wedge designs, and non‐randomized studies of interventions (NRSIs), including interrupted time series (ITS) studies, controlled before‐after (CBA) studies, and follow‐up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WHO‐recommended guidelines for PPH prevention, detection, and treatment; PPH ≥ 500 mL; PPH ≥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cluster‐RCTs and 4 NRSIs) with a total of 1,027,273 births and more than 4373 birth attendants. The included studies were conducted in 17 different countries. Most trials were conducted in resource‐limited settings. None of the included studies reported data on the use of additional uterotonics within 24 hours after birth or adverse effects. Synthesis of results Single‐component implementation strategies versus usual care for PPH prevention, detection, and treatment We do not know if single‐component implementation strategies have any effect on adherence to WHO PPH prevention recommendations, PPH ≥ 500 mL, PPH ≥ 1000 mL, or blood transfusion (very low‐certainty evidence). Low‐certainty evidence suggests that single‐component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 500 mL, blood transfusion, or severe morbidity relating to surgical outcomes (very low‐certainty evidence). Multicomponent implementation strategies may have little to no effect on matern l death (274,008 births, 2 trials; low‐certainty evidence) compared to usual care. No trials in this comparison measured the effect on adherence to WHO PPH prevention recommendations, PPH ≥ 1000 mL, or severe morbidity (outcomes related to ICU admission). Multicomponent implementation strategies versus enhanced usual care for PPH prevention, detection, and treatment Low‐certainty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moderate‐certainty evidence), severe morbidity related to ICU admission (224,850 births, 2 trials; moderate‐certainty evidence), and surgical morbidity (210,132 births, 1 trial; moderate‐certainty evidence) compared to enhanced usual care. We do not know if multicomponent implementation strategies affect PPH ≥ 500 mL, PPH ≥ 1000 mL, or blood transfusion (very low‐certainty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single‐component implementation strategies affect adherence to WHO PPH prevention recommendations, blood loss, or blood transfusion. Single‐component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single‐component implementation strategies affect adherence to WHO PPH prevention recommendations, blood loss, or blood transfusion. Single‐component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PPH‐related illness or death. It remains unknown whether multiple strategies work in a real‐world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up‐to‐date is this evidence? The evidence is current to 25 April 2024.</t>
  </si>
  <si>
    <t>J6229</t>
  </si>
  <si>
    <t>Impact of Big Data Analytics on Emergency Department Efficiency in Saudi Ministry of Health Hospitals: A Retrospective Data Analysis</t>
  </si>
  <si>
    <t>&lt;b&gt;Background&lt;/b&gt;: The integration of big data analytics in healthcare has become essential for enhancing operational performance, particularly within Emergency Departments (EDs), where efficiency improvements can significantly impact patient satisfaction and resource utilization._x000D_
&lt;b&gt;Aim&lt;/b&gt;: This study examines the impact of big data analytics on ED performance metrics within Saudi Arabia's Ministry of Health (MOH) hospitals, with a focus on key performance indicators (KPIs) and the effectiveness of the Ada'a Health Program in optimizing ED operations._x000D_
&lt;b&gt;Methods&lt;/b&gt;: A retrospective observational study was conducted across 10 hospitals in five regions of Saudi Arabia. Data from 228,857 patient records were analyzed, alongside survey responses from 223 ED personnel. Statistical analyses, including paired t-tests, Pearson's correlation, and multiple regression models, were used to evaluate improvements in KPIs and assess the program's impact._x000D_
&lt;b&gt;Results&lt;/b&gt;: Significant improvements in all KPIs were observed following the implementation of the Adaa Health Program. Door-to-Doctor Time decreased from 28:26 to 25:13, Doctor-to-Decision Time from 1:18:22 to 1:03:50, Decision-to-Disposition Time from 36:37 to 20:13, and Door-to-Disposition Time from 2:22:02 to 1:48:44. Pearson's correlation analysis indicated a strong relationship between Decision-to-Disposition Time and Doctor-to-Decision Time (r = 0.594), emphasizing the role of clinical decision-making in patient flow. Regression analysis further confirmed the program's significant association with reduced wait times (p &lt; 0.001)._x000D_
&lt;b&gt;Conclusion&lt;/b&gt;: This study highlights the transformative impact of big data-driven decision-making in optimizing ED efficiency. The Ada'a Health Program has significantly improved patient flow, reduced congestion, and enhanced operational performance in Saudi MOH hospitals. These findings underscore the need for continued investment in big data analytics, updated predictive modeling, and workflow automation to sustain and further enhance ED efficiency. Future research should explore scalability across diverse healthcare settings and the long-term sustainability of such interventions.</t>
  </si>
  <si>
    <t>Saudi Arabia</t>
  </si>
  <si>
    <t>J6230</t>
  </si>
  <si>
    <t>Systematic Review of Outcome Measures in Pharmacologically Managed Chronic Pain: Informing a New Outcome Framework for Healthcare Provider-Led Pharmacotherapy Services</t>
  </si>
  <si>
    <t>Background and Objective: Chronic pain represents a global burden, highlighting the necessity for accurate outcome measures in treatment evaluation. This systematic review aims to identify what outcome measures and tools are applied in chronic pain primary care-based pharmacotherapy services. Databases and Data Treatment: The MEDLINE, Embase, and CINAHL databases, along with the reference lists of published articles, were systematically searched from 2013 to July 2023. This search included observational studies that employed pharmacological interventions recommended by the World Health Organisation pain ladder and the Scottish Intercollegiate Guidelines Network guidelines. The studies targeted chronic pain patients treated in outpatient settings and examined five predefined outcomes: health-related quality of life (HRQoL), cost-effectiveness, medication optimisation, adverse events, and patient experience. The quality of included studies was assessed using the Newcastle-Ottawa Scale (NOS). Result(s): Among the 23 studies included a total of 51 outcome measurement tools were employed to assess the five predefined outcomes, involving 44,472 patients with chronic pain. Fifteen were cohort studies, while 8 were cross-sectional surveys or questionnaire-based. Most studies focused on one to two outcomes only (n = 19; 82.6%). HRQoL emerged as the primary outcome studied across all 23 studies (100%), predominantly assessed through the Brief Pain Inventory (BPI) tool (n = 9; 39.1%). Conversely, the least studied outcomes were medication optimisation and cost-effectiveness. The timing of measurement post-intervention and follow-up durations displayed significant variability across the studies. Conclusion(s): This review identifies gaps in enabling a more holistic assessment of pharmacotherapy services and underscores the need for enhanced consistency via standardised tools in clinical practice. Copyright © 2025 The Author(s). Journal of Evaluation in Clinical Practice published by John Wiley &amp; Sons Ltd.</t>
  </si>
  <si>
    <t>primary care-based pharmacotherapy</t>
  </si>
  <si>
    <t>J6231</t>
  </si>
  <si>
    <t>Neuropalliative care for Parkinson's disease in India: a qualitative exploration of healthcare professionals' perspectives</t>
  </si>
  <si>
    <t>&lt;b&gt;Introduction&lt;/b&gt;: The prevalence of Parkinson's disease (PD) in India is roughly 10% of the global burden, which is a considerable public health concern. The burden on healthcare services in India is substantial due to the variations in PD prevalence and the country's large population. The unique cultural, ethnic, and social differences in India give rise to distinct needs among PD patients and their caregivers. Neuropalliative care (NPC) is an emerging subspecialty with a holistic approach that requires a unique skill set and the involvement of allied healthcare professionals who play a crucial role in providing integrated services._x000D_
&lt;b&gt;Aim&lt;/b&gt;: The objective of this study is to explore the experiences and perspectives of the primary and allied healthcare professionals working with persons with PD in India._x000D_
&lt;b&gt;Methods&lt;/b&gt;: The current study employed a qualitative, exploratory, inductive research design, using in-depth interviews with 15 primary and allied healthcare professionals who had more than 5 years of experience working with persons with PD. Participants worked in varied settings such as academic hospitals, rehabilitation services, and tertiary care hospitals._x000D_
&lt;b&gt;Results&lt;/b&gt;: The mean years of work experience for the participants were 7.5 +/- 3.26 years with a mean number of 30.8 +/- 14.8 patients with PD per month. Thematic analysis of the data revealed 5 main themes and 20 subthemes. The major themes revealed were understanding of NPC, the needs of patients and caregivers of PD, barriers and challenges, interventions for patients and caregivers, facilitators, and components of NPC for PD._x000D_
&lt;b&gt;Conclusion&lt;/b&gt;: To provide a structured stepped-care approach to managing PD, there is a need to understand the psychosocial and palliative care aspects of PD in patients and caregivers in the Indian context. Adequate training and resource allocation are needed for NPC to be adopted in clinical care.</t>
  </si>
  <si>
    <t>India</t>
  </si>
  <si>
    <t>J6232</t>
  </si>
  <si>
    <t>Assessing the economic case for public health interventions provided in non-health public sector settings: a feasibility study in job centres in Cornwall, South West of England</t>
  </si>
  <si>
    <t>Background: Poor mental wellbeing costs society over 105 billion/year in England. Those with a mental health condition face significant health inequalities and lower employment rates. This feasibility study assessed the cost benefit of a public health intervention to help unemployed people with poor mental wellbeing to access employment. Method(s): Mental health employment advisors located in all 11 job centres supported people aged over 16 years. Support was provided over a 2-to-4-month period via an agreed action plan. Employment status, baseline and follow up wellbeing outcomes (using the Short Warwick-Edinburgh Mental Wellbeing scale) were obtained and used to estimate the return on investment. Result(s): Of the 540 people with baseline and follow-up wellbeing scores, a total of 57.79% had probable depression and/or anxiety when they accessed the intervention. The number of people with probable depression and/or anxiety reduced at follow up (23.82%). A total of 235 people accessed new employment after receiving the intervention. The resulting benefit/cost ratios were 8.4 and 17.6 (depending on whether a cost of illness or income equivalence approach is used to value the improvement in wellbeing). Discussion(s): This cross-sector public health intervention may provide a cost-effective way to reduce health inequalities for those who are unemployed, especially those whose mental wellbeing acts as a barrier to employment. The resultant outcomes may also be influenced by a range of other factors such as social isolation, financial precarity and housing. Despite this, the findings support the development of this approach to reduce health inequalities but is reliant on a close collaboration between local authorities, NHS, Department for Work and Pensions and the voluntary sector. Copyright © The Author(s) 2025.</t>
  </si>
  <si>
    <t>non-health public sector settings</t>
  </si>
  <si>
    <t>J6233</t>
  </si>
  <si>
    <t>Neoadjuvant chemotherapy before surgery versus surgery followed by chemotherapy for initial treatment in advanced epithelial ovarian cancer</t>
  </si>
  <si>
    <t>- Rationale Epithelial ovarian cancer (EOC) presents at an advanced stage in the majority of women. These women require a combination of surgery and chemotherapy for optimal treatment. Conventional treatment has been to perform surgery first and then give chemotherapy. However, there may be advantages to using chemotherapy before surgery. Objectives To assess the advantages and disadvantages of treating women with advanced EOC with chemotherapy before cytoreductive surgery (neoadjuvant chemotherapy (NACT)) compared with conventional treatment where chemotherapy follows cytoreductive surgery (primary cytoreductive surgery (PCRS)). Search methods We searched the Cochrane Central Register of Controlled Trials (CENTRAL), MEDLINE, Embase, ClinicalTrials.gov, and the World Health Organization International Clinical Trials Registry Platform on 21 March 2024. We also checked the reference lists of relevant papers for further studies. We contacted the principal investigators of relevant trials for further information. Eligibility criteria Randomised controlled trials (RCTs) of women with advanced epithelial ovarian cancer (International Federation of Gynecology and Obstetrics (FIGO) stage III/IV) who were randomly allocated to treatment groups that compared platinum‐based chemotherapy before cytoreductive surgery with platinum‐based chemotherapy following cytoreductive surgery. Outcomes We extracted data on overall (OS) and progression‐free survival (PFS), adverse events, surgically related mortality and morbidity, and quality of life outcomes. Risk of bias We used the Cochrane RoB 1 tool to assess risk of bias in RCTs. Synthesis methods We conducted meta‐analyses using random‐effects models (due to heterogeneity between studies) to calculate hazard ratios (HR), risk ratios (RR), mean differences (MD), and 95% confidence intervals (CI) for all outcomes. We assessed the certainty of evidence according to the GRADE approach. Included studies We identified a further 1022 titles and abstracts through our searches in this update (958 unique records after further de‐duplication), adding to the 2227 titles and abstracts identified in previous versions of this review. A total of five RCTs of varying quality and size met the inclusion criteria. We identified no new completed studies in this update, but we did include additional data from existing studies. The studies assessed a total of 1774 women with stage III/IV ovarian cancer randomised to NACT followed by interval cytoreductive surgery (ICRS) or PCRS followed by chemotherapy. We included data from four studies in the meta‐analyses (1692 participants). Synthesis of results Survival We found little or no difference between groups in OS (HR 0.96, 95% CI 0.86 to 1.08; P = 0.49; I 2 = 0%; 4 studies; 1692 women; high‐certainty evidence) and likely little or no difference between groups in PFS (HR 0.98, 95% CI 0.88 to 1.08; P = 0.62; I 2 = 0%; 4 studies; 1692 women; moderate‐certainty evidence). Adverse events Adverse events, surgical morbidity, and quality of life outcomes were variably and incompletely reported across studies. NACT reduces postoperative mortality (0.4% in the NACT group versus 3.3% in the PCRS group) (RR 0.18, 95% CI 0.06 to 0.52; P = 0.002; I 2 = 0%; 4 studies; 1542 women; high‐certainty evidence). There are probably clinically meaningful differences in favour of NACT compared to PCRS in overall surgically related adverse effects (grade 3+ (G3+)) (6% in the NACT group versus 29% in the PCRS group) (RR 0.22, 95% CI 0.13 to 0.38; P &lt; 0.001; I 2 = 0%; 2 studies; 435 women; moderate‐certainty evidence). Organ resection NACT probably results in a large reduction in the need for stoma formation (5.8% in the NACT group versus 20.4% in the PCRS group) (RR 0.29, 95% CI 0.12 to 0.74; P = 0.009; I 2 = 70%; 2 studies; 632 women; moderate‐certainty evidence) and probably reduces the risk of needing bowel resection at the time of surgery (13.0% in the NACT group versus 26.6% in the PCRS group) (RR 0.47, 95% CI 0.27 to 0.81; P = 0.007; I 2 84%; 4 studies; 1578 women; moderate‐certainty evidence). Quality of life Global quality of life on the EORTC QLQ‐C30 produced imprecise results in three studies, with high levels of heterogeneity (quality of life at six months: MD 6.62, 95% CI −2.89 to 16.13; P = 0.17; I 2 = 92%; 3 studies; 559 women; low‐certainty evidence). Overall, functional and symptom scores may be slightly improved for NACT at 6 months, but similar by 12 months, although the differences might not be clinically meaningful. Authors' conclusions The available high‐ to moderate‐certainty evidence shows there is likely little or no difference in primary survival outcomes between PCRS and NACT for those with advanced EOC who are suitable for either treatment option. NACT reduces the risk of postoperative mortality and likely reduces the risk of serious adverse events, especially those around the time of surgery, and the need for stoma formation. These data should inform women and clinicians (involving specialist gynaecological multidisciplinary teams) and allow treatment to be tailored to the individual patient, taking into account surgical resectability, age, histology, stage, and performance status. Data from an unpublished study and ongoing studies are awaited. Funding This Cochrane review update had no dedicated funding. Registration Protocol (2005): DOI: 10.1002/14651858.CD005343 Original review (2007): DOI: 10.1002/14651858.CD005343.pub2 Review update (2012): DOI: 10.1002/14651858.CD005343.pub3 Review update (2019): DOI: 10.1002/14651858.CD005343.pub4 Review update (2021): DOI: 10.1002/14651858.CD005343.pub5 Review updated (2021a): DOI: 10.1002/14651858.CD005343.pub6 Plain language summary Does giving chemotherapy before surgery improve survival or quality of life in women with advanced epithelial ovarian cancer? Key messages There is little difference in how long women with advanced epithelial ovarian cancer (EOC) survive, whether they have chemotherapy or surgery first. There is probably little difference in how long it takes for EOC to return after treatment. Giving chemotherapy prior to surgery (neoadjuvant chemotherapy (NACT) and interval cytoreductive surgery (ICRS)) probably reduces some of the risks of surgery; probably halves the risk of needing the bowel removed during surgery; and probably results in a large reduction in the risk of needing a stoma (bowel diverted through the abdominal wall into a bag to collect bowel contents). NACT/ICRS is an alternative to surgery followed by chemotherapy (primary cytoreductive surgery (PCRS) and adjuvant chemotherapy) in women with stage IIIC/IV EOC. Decisions about which treatment to have first will depend on patient preference, how well the woman is at time of diagnosis, the risks of surgery, and the amount and spread of disease. What is epithelial ovarian cancer, and how is it treated? Ovarian cancer is the eighth most common cancer worldwide in females. Around 90% of ovarian cancers are epithelial ovarian cancer (EOC), arising from the surface of the ovary or lining of fallopian tubes. Most women with EOC are diagnosed when their cancer is at a late stage, and their disease has spread throughout the abdominal cavity (stage IIIC/IV). Abnormal cells can spread throughout the abdominal cavity even when the primary tumour is microscopic (cannot be seen), attach to other surfaces, and grow over time before they cause symptoms. Although survival rates have improved over the last 20 years, only two in every five women with EOC are alive five years after diagnosis. Treatment for ovarian cancer involves a combination of surgery and chemotherapy. Surgery aims to remove as much visible (macroscopic) cancer as possible. However, with widespread disease, surgery alone is unlikely to cure EOC, and most women will also need chemotherapy, which uses platinum‐based medications to treat cells that cannot be removed by surgery (macroscopic disease) or cannot be seen (microscopic disease). Traditionally, chemotherapy was given after surgery (primary cytoreductive surgery (PCRS) and adjuvant chemoth rapy). However, chemotherapy can be used before surgery (neoadjuvant chemotherapy (NACT) and interval cytoreductive surgery (ICRS)). Women who receive NACT and ICRS complete the remaining cycles of chemotherapy following surgery. Why is this important? Women with advanced EOC may be very unwell at diagnosis or may have disease that would require extensive surgery to remove all visible disease, or both. NACT can help to shrink EOC prior to surgery, which might result in women needing less extensive surgery, or being made well enough to undergo surgery. What did we want to find out? We wanted to find out if giving chemotherapy before surgery was better than doing surgery first. What did we do? We reviewed the evidence on whether NACT and ICRS or PCRS followed by chemotherapy is more effective and safe in women diagnosed with advanced EOC. We compared and summarised the results of the studies and rated our confidence in the evidence based on factors such as study methods and sizes. What did we find? We included five studies involving a total of 1774 women. We were able to pool data from four studies (1692 women). These studies compared women who were given NACT/ICRS with women who underwent PCRS prior to chemotherapy. We found little or no difference between treatments in time to death, and probably little or no difference in time to disease regrowth. NACT/ICRS reduces deaths due to surgery and probably reduces the risk of some severe unwanted effects of surgery. NACT/ICRS probably results in a large reduction in the risk of needing a stoma (bowel diverted through the abdominal wall into a bag to collect bowel contents) and probably reduces the risk of needing the bowel removed during surgery (bowel resection). Overall, patient symptoms and quality of life may be slightly better at 6 months after treatment with NACT/ICRS, but this did not differ at 12 months after starting treatment. These differences might not be noticeable to patients. The studies only enrolled women with advanced ovarian cancer (stage IIIC/IV), and many had extensive disease. We await the results of four ongoing studies and one unpublished full publication of a study. What are the limitations of the evidence? We are confident that there is little difference in overall survival (the length of time after diagnosis that a person is still alive) and fewer deaths due to surgery with NACT/ICRS. We are only moderately confident in other results related to survival, unwanted effects, and need for surgery to remove sections of bowel and need for a stoma, because women knew which treatment they were getting. We have little confidence in the quality of life evidence because the studies were done in different types of women, and approaches to surgery have changed over time, although the results of more recent studies are similar. How up‐to‐date is the evidence? The evidence is current to 21 March 2024.</t>
  </si>
  <si>
    <t>J6234</t>
  </si>
  <si>
    <t>Protocol for a feasibility randomised controlled trial of the OUTDOOR mobility intervention for older adults after hip fracture</t>
  </si>
  <si>
    <t>Introduction: A high proportion of patients do not regain outdoor mobility after hip-fracture. Rehabilitation explicitly targeting outdoor mobility is needed to enable older adults to resume activities that they value most. The aim of this study is to determine the feasibility of a randomised, controlled trial intended to assess the clinical and cost-effectiveness of an intervention enabling recovery of outdoor mobility post hip-fracture (the OUTDOOR intervention). Method(s): OUTDOOR is a multi-centre, parallel group, randomised, controlled, feasibility trial. Adults 60 years and older, admitted to hospital and planned discharge to home; with self-reported outdoor mobility three-months pre-fracture, surgically treated for hip fracture, who are able to consent and participate, are eligible. Individuals requiring two or more people to support mobility upon discharge are excluded. Screening and consent (or consent to contact) will take place in hospital. Baseline assessment and randomisation will follow discharge. Participants will receive usual care (physiotherapy, occupational therapy), or usual care plus the OUTDOOR intervention. OUTDOOR intervention includes a goal-orientated outdoor mobility programme, therapist-led motivational dialogue supported by a past-patient led videos sharing recovery experiences; and support to transition to independent recovery. Terapists delivering the OUTDOOR intervention will receive training in motivational interviewing, and behaviour change techniques. Patient reported outcome measures-health-related quality of life, daily activities, pain, community mobility, falls related self-efficacy, resource use, and readmission; will be collected at baseline, 6-weeks, 12-weeks, and 6-months (if enrolled early in the trial) post-randomisation. Exercise adherence and intervention acceptability will be collected. Subset of 20 participants will support accelerometery data collection for 10 days at each time point. Trial received approval from East of England-Essex Research Ethics Committee (REF: 23/EE/0246) and the Health Research Authority. Findings will be disseminated to patients, the public, health professionals and researchers through publications, presentations, and social media.</t>
  </si>
  <si>
    <t>J6235</t>
  </si>
  <si>
    <t>Protocol for an economic evaluation alongside a natural experiment to evaluate the impact of later trading hours for bars and clubs in the night-time economy in Scotland: The ELEPHANT study</t>
  </si>
  <si>
    <t>Introduction The night-time economy comprises various sectors, including hospitality, transportation and entertainment, which generate substantial revenues and contribute to employment opportunities. Furthermore, the night-time economy provides spaces for leisure activities, cultural expression and social interaction. On-trade alcohol premises (places where consumers can buy and consume alcohol such as bars, pubs, clubs and restaurants) are a significant component of this night-time economy, functioning as focal points for socialising, entertainment and cultural events. However, when on-trade alcohol premises stay open later at night, this can be associated with negative public health impacts including increased alcohol consumption, intoxication, assaults, injuries and burden on public services including ambulance call outs, hospitalisations and increased impacts on criminal justice services. The evidence on the societal impact of policies to 'later' trading hours for bars and clubs in the night-time economy is limited. This protocol details the design of an economic evaluation of policy to later trading hours for bars and clubs in the night-time economy alongside the ELEPHANT study (National Institute for Health and Care Research (NIHR) Public Health Research, ref:129885). Methods and analysis The research design is an economic evaluation alongside a natural experiment within the ELEPHANT study carried out in Glasgow and Aberdeen. The economic evaluation has been designed to identify, measure and value prospective resource impacts and outcomes to assess the costs and consequences of local policy changes regarding late night trading hours for bars and clubs. A number of economic evaluation frameworks will be employed. A cost-effectiveness analysis (CEA) is appropriate for assessing the effectiveness of complex interventions when the impacts of policy are measured in natural units. Therefore, a CEA will be conducted for the primary consequence, alcohol-related ambulance call-outs, using a health service sector perspective. Since this outcome is essentially a cost, the CEA will also be reported as a cost-analysis. A cost-consequence analysis will also be performed for the primary and secondary consequences including all ambulance call-outs and reported crimes to evaluate the full economic impacts of later trading hours for bars and clubs in the night-time economy. The analysis will be conducted from a wider societal perspective, including health sector, criminal justice system, business and third sector perspectives and will be in line with the recent National Institute for Health and Care Excellence guidance and recommendations. Ethics and dissemination The economic evaluation of the ELEPHANT study will be conducted using secondary data. Thus, no ethical approval is required for this economic evaluation. However, ethical approval for the ELEPHANT study has been granted from the University of Stirling's General Research Ethics Committee, and prior consent has also been obtained from the participants, if involved. The results of this study will be disseminated through peer-reviewed publications in journals and national and international conferences. Copyright © Author(s) (or their employer(s)) 2025.</t>
  </si>
  <si>
    <t>health sector perspective</t>
  </si>
  <si>
    <t>J6236</t>
  </si>
  <si>
    <t>Evaluating the Diagnostic Accuracy and Challenges of the Two-Week Wait Referral Pathway for Skin Cancers in Primary Care</t>
  </si>
  <si>
    <t>Skin cancers are among the most common cancers in the Western world, with incidence rates increasing significantly over time. Skin cancer survival rates are highly dependent upon early identification. In the United Kingdom (UK), initial assessment of skin lesions is carried out via general practitioners (GPs) who identify and refer suspected cases under the two-week pathway in compliance with the National Institute for Health and Care Excellence (NICE) guidelines. A major challenge in this pathway is the relatively low proportion of these referrals resulting in a skin cancer diagnosis. This retrospective study, conducted at a general practice encompassing 17,000 patients, evaluated the efficacy of primary care referral pathways for suspected skin malignancies and examined the key factors affecting diagnostic accuracy. The SystmOne patient database was used to identify referral letters for suspected skin cancers, including squamous cell carcinoma, basal cell carcinoma, and melanoma, in a period between September 8th, 2021, and July 28th, 2022. A total of 146 referral letters were reviewed, with 35 selected for further analysis. The study highlighted that only 13% of referrals resulted in a confirmed diagnosis of skin cancer, falling below the local audit standard of 50%. Additionally, while 74% of patients were seen by a dermatologist within the two-week timeframe, this did not meet the 100% standard set by NICE guidelines. These findings not only demonstrate the exponentially increasing burden placed on tertiary specialist services but also highlight the need for improved referral efficiency and diagnostic accuracy within primary care. The contributing factors identified include limited post-graduate dermatology training for GPs and the promotion of referrals for uncertain lesions. Proposed interventions to enhance referral pathways include the development of e-learning modules to improve GP education, the implementation of teledermatology and artificial intelligence services to effectively triage cases, and regular reviews of referral patterns by local primary care services. Through earlier and more targeted diagnosis, the suggested techniques may improve the effectiveness of the referral process and have the potential to improve outcomes for patients with suspected skin malignancies.</t>
  </si>
  <si>
    <t>primary care</t>
  </si>
  <si>
    <t>J6237</t>
  </si>
  <si>
    <t>Improving outcomes for people with autism spectrum disorders by reducing mental health problems: The iamhealth research programme including one rct</t>
  </si>
  <si>
    <t>&lt;b&gt;BACKGROUND&lt;/b&gt;: Autism is a neurodevelopmental condition whose core symptoms include impairments in social communication, restricted and repetitive behaviours and sensory atypicalities, which can have varying severity. Most autistic people experience additional, impairing mental health and behavioural problems, but these are often under-recognised by healthcare professionals, autistic people and their caretakers._x000D_
&lt;b&gt;OBJECTIVE(S)&lt;/b&gt;: We aim to improve identification of mental health problems by developing a tool for clinical use, which can also be used to monitor treatment response._x000D_
&lt;b&gt;DESIGN&lt;/b&gt;: Work package 1: we developed and validated a new instrument to provide improved detection of mental health and behavioural problems in autistic people from childhood through to adult life. Work package 2: we explored how autistic young adults understand and manage their mental health. Work package 3: we undertook a cohort study to identify risk and protective factors for mental health and behavioural problems in autistic adolescents. Work package 4: we undertook a pilot feasibility randomised controlled trial of Predictive Parenting compared to group-based psychoeducation and active control intervention. It was not the aim of the pilot feasibility randomised controlled trial to undertake hypothesis testing._x000D_
&lt;b&gt;SETTING&lt;/b&gt;: Participants in work package 1 were ascertained through clinical sites within London and Liverpool and through specialist autism schools in London. In work package 2, participants were selected from a cohort originally ascertained from 11 regions across south-east England. Participants were drawn from London Boroughs of Bromley and Lewisham (work packages 3 and 4) and London Borough of Lambeth (work package 4)._x000D_
&lt;b&gt;PARTICIPANTS&lt;/b&gt;: Work package 1: 255 parents of autistic children/adolescent; work package 2: 19 autistic young adults; work package 3: QUEST cohort of 277 children; work package: 62 children._x000D_
&lt;b&gt;INTERVENTION&lt;/b&gt;: Predictive Parenting - a novel parent-mediated intervention._x000D_
&lt;b&gt;MAIN OUTCOME MEASURE&lt;/b&gt;: Work package 4: a blinded observational measure of child behaviours that challenge._x000D_
&lt;b&gt;RESULTS&lt;/b&gt;: We developed the Assessment of Concerning Behaviour to be completed by parents/caretakers, autistic children/young people/adults and teachers, and showed it has two reliable and valid subscales reflecting emotional and behavioural problems. We identified that poor or incomplete understanding of autism affected young adults' and parents' understanding, discernment and management of mental health difficulties. We showed strong continuity of emotional and behavioural problems as well as attention deficit hyperactivity disorder from early childhood to late adolescence, with prediction being largely within domain (emotional, behavioural or attention deficit hyperactivity disorder). Early childhood attention deficit hyperactivity disorder symptoms had a significant negative impact on adolescent everyday functioning. At an individual level, parents' accounts suggested multiple factors may affect mental health trajectories and outcomes in the late teenage years. Our pilot feasibility trial of our new intervention, Predictive Parenting, directed at parents of young autistic children was highly acceptable and feasible to deliver._x000D_
&lt;b&gt;LIMITATIONS&lt;/b&gt;: To date, only the parent version of the Assessment of Concerning Behaviour has had its psychometric properties ascertained. We combined clinical and non-clinical samples and the scale could have different psychometric properties for these two groups. The qualitative work in work package 2 was limited to young adults without an intellectual disability and there was under-representation of females and non-white ethnicity, as well as those with severe mental health problems. The QUEST cohort in work package 3 was derived from those receiving an early autism diagnosis, who are more likely to have severe autistic presentations and intellectual disability, so the results may not generalise to the full autistic population. The pilot feasibility study had a small sample size and hence modest power to detect group differences; the lack of an objective rating of intervention fidelity; the lack of a treatment as usual group to track the natural trajectory of child and parent behaviours over time; and the fact that although the researchers who coded the observational measure were blinded to intervention allocation, they were not blinded to time point._x000D_
&lt;b&gt;CONCLUSIONS&lt;/b&gt;: The research undertaken in the current programme shows that mental health and behavioural problems are more common in autistic people and are strongly persistent over time, even when they commence in the early childhood period. Interventions for mental health and behavioural problems are a priority for autistic people and their families. However, we showed that autistic people and their families often find it difficult to discern the difference between autistic features and mental health and behavioural problems._x000D_
&lt;b&gt;FUTURE WORK&lt;/b&gt;: A definitive randomised controlled trial including an economic evaluation is needed to determine the effectiveness and cost-effectiveness of Predictive Parenting. Future longitudinal research could focus on modifiable risk and resilience factors related to mental health problems in autistic people and could determine whether routine use of mental health screening questionnaires increases the identification and treatment of mental health problems in autistic children and young people._x000D_
&lt;b&gt;TRIAL REGISTRATION&lt;/b&gt;: This trial is registered as Current Controlled Trials ISRCTN91411078._x000D_
&lt;b&gt;FUNDING&lt;/b&gt;: This award was funded by the National Institute for Health and Care Research (NIHR) Programme Grants for Applied Research programme (NIHR award ref: RP-PG-1211-20016) and is published in full in Programme Grants for Applied Research; Vol. 13, No. 5. See the NIHR Funding and Awards website for further award information.</t>
  </si>
  <si>
    <t>no relevant outcomes, more validation of tool</t>
  </si>
  <si>
    <t>J6238</t>
  </si>
  <si>
    <t>Physiotherapists' delivery of cognitive functional therapy in clinical practice: perceived facilitators and barriers from a socioecological perspective</t>
  </si>
  <si>
    <t>&lt;b&gt;PURPOSE&lt;/b&gt;: Cognitive functional therapy (CFT) is a person-centred biopsychosocial intervention for chronic low back pain, with large sustained clinical and economic benefits. This study explored the experiences of physiotherapists delivering CFT in their usual clinical practice after being trained to competency for the RESTORE clinical trial._x000D_
&lt;b&gt;MATERIALS AND METHODS&lt;/b&gt;: A qualitative study design was used. Fifteen primary care physiotherapists were interviewed (seven female, clinical experience 3-25 years). An inductive-deductive content analysis was used, including the Theoretical Domains Framework and socioecological model._x000D_
&lt;b&gt;RESULTS&lt;/b&gt;: Facilitators and barriers were identified within and between individual, micro (clinical interface), meso (health service), and macro (health system) levels. Physiotherapists reported feeling competent and skilled delivering CFT. At the microsystem, this was influenced by time and their evolving professional identity. At the mesosystem, social support within the clinical community and positive patient outcomes facilitated CFT, while disunity in pain management across the health system and inadequate remuneration were barriers. Societal beliefs about pain, shifts in professional identity, and funding models influenced delivery at the macrosystem._x000D_
&lt;b&gt;CONCLUSIONS&lt;/b&gt;: This study highlights multilevel facilitators and barriers that physiotherapists perceive when implementing CFT. Targeting these may help to optimise the implementation of this promising intervention, thereby contributing to better patient outcomes.</t>
  </si>
  <si>
    <t>Aus?</t>
  </si>
  <si>
    <t>Physiotherapists</t>
  </si>
  <si>
    <t xml:space="preserve">facilitators and barriers </t>
  </si>
  <si>
    <t>could be Community/Prevention</t>
  </si>
  <si>
    <t>J6239</t>
  </si>
  <si>
    <t>216 The role of text message triage in assessing eligibility for lung cancer screening</t>
  </si>
  <si>
    <t>Introduction Lung cancer screening (LCS) is unique amongst other screening programmes in the United Kingdom as it uses personalised risk scores to determine screening eligibility. Individuals who have ever smoked according to their primary care records are invited to undergo eligibility assessment. However, smoking histories may be recorded inaccurately, leading to inappropriate invitation of never-smokers for eligibility assessment. We evaluated the potential uptake and cost of text message triage in clarifying smoking history in our regional LCS programme. Methods Our invitation pathway is summarised in Figure 1. Between 24 April and 24 July 2024, we trialled the use of an NHS-approved digital communication platform to send a text message to all potential participants to confirm their smoking status. Data were extracted from the platform, while staff costs were calculated using NHS pay scales. Results 9,668 potential LCS participants were sent a text message. 36.0% (n = 3,483/9,669) of individuals responded, while 8.78% (n = 849/9668) of messages failed delivery, for example, if there was no working mobile number. 4.31% (417/9,668) of all potential participants and 12.0% (n = 417/3,483) of responders self-identified as never-smokers and were ineligible for further triage. Implementation of the communication platform in our programme was estimated at 28,000 annually. On the other hand, each ten-minute telephone call for eligibility assessment costs approximately 9.65 (booklet: 0.05, invitation letter: 0.60, phone cost: 0.27, staff costs: 8.73). Conclusion Text message triage had a low response rate in our regional LCS programme, limiting its potential. Further qualitative evaluation of why uptake rates were low, accuracy of responses as well as cost-effectiveness are required prior to using text messaging services in LCS programmes. [Formula presented] Disclosure LC and RC are employed by Accurx. Copyright © 2025 Elsevier Inc. All rights reserved.</t>
  </si>
  <si>
    <t>J6240</t>
  </si>
  <si>
    <t>In vitro maturation in subfertile women with polycystic ovarian syndrome undergoing assisted reproduction</t>
  </si>
  <si>
    <t>- Background Polycystic ovarian syndrome (PCOS) occurs in 8% to 13% of all women of reproductive age and 50% of women presenting with infertility (i.e. inability to reach a pregnancy after 12 months or more of regular unprotected sexual intercourse). A proportion of these women ultimately need assisted reproductive technology. In vitro fertilisation (IVF)/intracytoplasmic sperm injection (ICSI) are assisted reproduction techniques used to raise the chances of a pregnancy. In women with PCOS, the supra‐physiological doses of gonadotrophins used for controlled ovarian hyperstimulation (COH) often result in an exaggerated ovarian response characterised by the development of a large cohort of follicles of uneven quality, retrieval of immature oocytes, and increased risk of ovarian hyperstimulation syndrome (OHSS). A potentially effective intervention for women with PCOS‐related infertility involves earlier retrieval of immature oocytes at the germinal‐vesicle stage followed by in vitro maturation (IVM). This is the third update of this Cochrane review on the subject (after the last update on 27 June 2018). Objectives To assess the benefits and harms of IVM followed by IVF or ICSI versus conventional IVF or ICSI among women with PCOS. Search methods On 27 February 2023, we searched the Cochrane Gynaecology and Fertility Group Specialised Register of Controlled Trials, CENTRAL, MEDLINE, Embase, and the Open Grey database. We further searched the National Institute for Health and Care Excellence (NICE) fertility assessment and treatment guidelines. We also searched reference lists of relevant papers and Google Scholar for any additional trials. Selection criteria We included randomised controlled trials (RCTs) comparing IVM before IVF or ICSI with conventional IVF or ICSI for infertile women with PCOS, irrespective of language and country of origin. Data collection and analysis Two review authors independently selected studies, assessed the risk of bias, extracted data from studies, and, where needed, attempted to contact the authors for missing data. Our primary outcomes were live birth per woman randomised and miscarriage. We performed statistical analysis using Review Manager. We assessed the certainty of the evidence using GRADE and the risk of bias using the Cochrane RoB 2 tool. Main results We found four published trials suitable for inclusion in this update. The studies involved 810 subfertile women undergoing assisted reproductive technology. Two of four were already included in the previous version of the review, were published as abstracts in international conferences, and were at high risk of bias. The two new studies were at low risk of bias in all domains and in terms of all outcomes. We implemented the random‐effects model for the quantitative analyses and restricted the primary analysis to studies at low risk of bias in all domains. We are very uncertain about the effect of IVM or capacitation IVM (a new biphasic IVM system improving the developmental competence of oocytes) on live birth when compared to IVF when a GnRH antagonist protocol was applied (odds ratio (OR) 0.47, 95% confidence interval (CI) 0.17 to 1.32; I 2 = 91%; 2 studies, 739 participants; very low‐certainty evidence). This suggests that if the chance of live birth following standard IVF is assumed to be 45.7%, then the chance of IVM would be 12.5% to 52.6%. In contrast, IVM or capacitation IVM increases miscarriage per clinical pregnancy (where clinical pregnancy was defined as evidence of a fetal heart beat on ultrasound at seven gestational weeks) in women with PCOS when compared to IVF (OR 1.66, 95% CI 1.02 to 2.70; I 2 = 0%; 2 studies, 378 clinical pregnancies; high‐certainty evidence). This suggests that if the chance of miscarriage following standard IVF is assumed to be 20.1%, then the chance using IVM would be 20.4% to 40.4%. Results remained similar when using the risk ratio (RR) as the measure of effect. We are uncertain about the effect of IVM or capacitation IVM on clinical pregnancy when compared to IVF hen a GnRH antagonist protocol was applied (OR 0.49, 95% CI 0.14 to 1.70; I 2 = 94%; 2 studies, 739 participants; very low‐certainty evidence). The results were similar after pooling the RRs. IVM or capacitation IVM results in a large reduction in the incidence of moderate or severe OHSS as compared to IVF when a GnRH antagonist protocol was applied (OR 0.08, 95% CI 0.01 to 0.67; I 2 = 0%; 2 studies, 739 participants; high‐certainty evidence). This suggests that if the incidence of OHSS following IVF is assumed to be 3.5%, then the incidence with IVM would be 0% to 2.4%. Also, there is probably little to no difference in preterm birth between IVM or capacitation IVM and IVF after the application of a GnRH antagonist protocol (OR 0.69, 95% CI 0.31 to 1.52; I² = 45%; 2 studies, 739 participants; moderate‐certainty evidence). As for congenital anomalies, one study reported no events, while another showed an uncertain effect of IVM (OR 0.33, 95% CI 0.01 to 8.24; 1 study, 351 participants; low‐certainty evidence). Results remained similar when using the RR as the measure of effect. There were no data from any of the studies for cycle cancellation, oocyte fertilisation, or subgroup analyses. Authors' conclusions There is continuous scientific interest in IVM, and promising data have been published. Concerning live birth and clinical pregnancy, we are very uncertain about the effect of the technique when compared to IVF after using a GnRH antagonist protocol. In contrast, high‐certainty evidence shows that IVM increases miscarriage per clinical pregnancy and reduces the incidence of moderate or severe OHSS in women with PCOS compared to IVF after a GnRH antagonist protocol. Regarding the rest of the outcomes, low‐ to moderate‐certainty evidence showed little to no difference in preterm birth and risk of congenital anomalies between the two modalities. We eagerly anticipate further evidence from high‐quality trials in the field (we found five ongoing trials). Plain language summary What is the best therapy for women who produce too many eggs when having fertility treatment? Key messages – We do not know if in vitro maturation (growing immature eggs outside the body until they are mature enough for fertilisation) is better than in vitro fertilisation (treatment where eggs are fertilised with sperm in a laboratory) in increasing live births and pregnancies in women with polycystic ovarian syndrome (where the ovaries do not produce eggs properly) who undergo fertility treatment. – In vitro maturation increases miscarriage and reduces ovarian hyperstimulation syndrome (painful condition where the ovaries produce too many eggs) in women with polycystic ovarian syndrome compared to in vitro fertilisation. – There is little to no difference in premature births (before the due date) and the baby's development while in the womb, but more studies are needed. What is the problem? Women who have difficulty getting pregnant (reduced fertility) may need treatment to increase their chances of conceiving. This is where women take medication to stimulate egg growth, the eggs are removed and fertilised with sperm in a laboratory, and the fertilised egg is returned to the woman's womb. This is called in vitro fertilisation. Some women with reduced fertility have ovaries that do not produce eggs properly (called polycystic ovarian syndrome). If these women take medication to stimulate egg growth, they may produce too many eggs (called ovarian hyperstimulation syndrome). This causes the ovaries to swell and become painful and may cause serious illness or (rarely) death. When women with polycystic ovarian syndrome take medications to stimulate their ovaries, the eggs produced are often too immature to be fertilised by sperm, leading to low pregnancy rates. Women with polycystic ovarian syndrome may benefit from the earlier retrieval of eggs if the eggs are matured in the laboratory before they are fertilised (called in vitro maturation). While successful pregnancies have been reported, there is concern about the health of the babies born. What did we want to find out? We wanted to know if in vitro maturation is beneficial or harmful compared to in vitro fertilisation techniques in women with reduced fertility and polycystic ovarian syndrome. What did we do? We searched for studies investigating in vitro maturation and in vitro fertilisation techniques in women with reduced fertility and polycystic ovarian syndrome. We compared and summarised the results of these studies and rated our confidence in the evidence based on factors such as study method and size. We were interested in live births (delivery of a live baby after 20 weeks of pregnancy), miscarriage (loss of pregnancy during the first 20 weeks of pregnancy), clinical pregnancy (a fetal heartbeat on ultrasound scan at seven weeks of pregnancy), ovarian hyperstimulation, premature births, and the baby's development while in the womb. What did we find? We found four studies. Two provided insufficient data, but the other two published their results in full. These two studies involved 810 women. Main results Live birth rate was similar between in vitro maturation and in vitro fertilisation, but our confidence in the evidence is very low (2 studies, 739 women). If 45 women out of 100 have a live birth following in vitro fertilisation, the chance with in vitro maturation would be between 13 and 53 women out of 100. In vitro maturation increases miscarriage compared to in vitro fertilisation (2 studies, 378 women). If 20 women out of 100 have a miscarriage following in vitro fertilisation, the chance with in vitro maturation would be between 20 and 40 women out of 100. In vitro maturation results in a large reduction in ovarian hyperstimulation syndrome (2 studies, 739 women). If 4 women out of 100 have ovarian hyperstimulation syndrome with in vitro fertilisation, the chance with in vitro maturation would be between 0 and 2 women out of 100. There may be little to no difference in clinical pregnancy, but our confidence in the evidence is very low (2 studies, 739 women). In vitro maturation probably results in little to no difference in premature birth (2 studies, 739 women) and our confidence in the evidence is very low about the baby's health, development, or genetics while in the womb (1 study, 351 women). What are the limitations of the evidence? There is still uncertainty about the effect of in vitro maturation on live births and clinical pregnancies compared to in vitro fertilisation because the study methods differed and did not include enough women to provide meaningful results. We are confident that in vitro maturation increases the chance of miscarriage, and reduces the possibility of ovarian hyperstimulation syndrome. We are moderately confident in the evidence for premature birth due to the small number of women enrolled and have little confidence in the evidence for the baby's health, development, or genetics while in the womb due to the small number of women enrolled in only one study. These findings should be interpreted with caution. How up to date is the evidence? We reviewed the evidence up to February 2023. This is the third update of this review.</t>
  </si>
  <si>
    <t>J6241</t>
  </si>
  <si>
    <t>Gonadotropin‐releasing hormone agonist protocols for pituitary suppression in assisted reproduction</t>
  </si>
  <si>
    <t>- Background Gonadotropin‐releasing hormone agonists (GnRHa) are commonly used in assisted reproduction technology (ART) cycles to prevent a luteinising hormone (LH) surge during controlled ovarian hyperstimulation (COH) prior to planned oocyte retrieval, thus optimising the chances of live birth. We compared the benefits and risks of the different GnRHa protocols used. Objectives To evaluate the effectiveness and safety of different GnRHa protocols used as adjuncts to COH in women undergoing ART. Search methods We searched the following databases in December 2022: the Cochrane Gynaecology and Fertility Group's Specialised Register, CENTRAL, MEDLINE, Embase, and registries of ongoing trials. We also searched the reference lists of relevant articles and contacted experts in the field for any additional trials. Selection criteria We included randomised controlled trials (RCTs) comparing any two protocols of GnRHa, or variations of the protocol in terms of different doses or duration, used in in vitro fertilisation (IVF) or intracytoplasmic sperm injection (ICSI) cycles in subfertile women. Data collection and analysis We used standard methodological procedures recommended by Cochrane. Our primary outcome measures were number of live births or ongoing pregnancies and incidence of ovarian hyperstimulation syndrome (OHSS) per woman/couple randomised. Our secondary outcome measures included number of clinical pregnancies, pregnancy losses, number of oocytes retrieved, amount of gonadotropins used, and cost and acceptability of the treatment protocols. Main results We included 40 RCTs (4148 women). The trials evaluated 10 different comparisons between protocols. The evidence is current to December 2022. Only half of the studies reported the primary outcome of live birth or ongoing pregnancy rates. We restricted the primary analysis of live birth and ongoing pregnancy to trials with low risk of selection and reporting bias. Nineteen studies compared long and short protocols. The primary analysis restricted to trials with low risk of bias included five studies reporting on live birth or ongoing pregnancy rates. Results showed little or no difference when the long protocol was compared with a short protocol (odds ratio (OR) 1.45, 95% confidence interval (CI) 0.83 to 2.52; I² = 0%; 5 studies, 381 women; low‐certainty evidence). For the same comparison, there was evidence that the long protocol may improve clinical pregnancy rates when compared to the short protocol (OR 1.56, 95% CI 1.01 to 2.40; I² = 23%; 8 studies, 552 women; low‐certainty evidence). No study in this comparison reported on OHSS. We are uncertain if there is a difference between groups in terms of live birth and ongoing pregnancy rates when the following GnRHa protocols were compared: long versus ultrashort (OR 1.78, 95% CI 0.72 to 4.36; 1 study, 150 women; very low‐certainty evidence); long luteal versus long follicular phase (OR 1.89, 95% CI 0.87 to 4.10; 1 study, 223 women; very low‐certainty evidence); GnRHa reduced‐dose versus GnRHa same‐dose continued in the long protocol (OR 1.59, 95% CI 0.66 to 3.87; 1 study, 96 women; very low‐certainty evidence); GnRHa administration for two versus three weeks before stimulation (OR 0.88, 95% CI 0.37 to 2.05; 1 study, 85 women; very low‐certainty evidence); GnRHa continued versus discontinued after human chorionic gonadotropin (HCG) administration in the long protocol (OR 0.89, 95% CI 0.49 to 1.64; 1 study, 181 women; very low‐certainty evidence); and 500 µg dose versus 80 µg dose in the short protocol (OR 0.31, 95% CI 0.10 to 0.98; 1 study, 200 women; very low‐certainty evidence). Clinical pregnancy rates may improve with a 100 µg dose compared to a 25 µg dose in the short protocol (OR 2.30, 95% CI 1.06 to 5.00; 2 studies, 133 women; low‐certainty evidence). Only four of the 40 included studies reported adverse events. We are uncertain of any difference in OHSS rate in the GnRHa reduced‐dose versus GnRHa same‐dose regimen in the long protocol (OR 0.47, 95% CI 0.04 to 5.35 1 study, 96 women; very low‐certainty evidence) or when administration of GnRHa lasted for two versus three weeks before stimulation (OR 0.93, 95% CI 0.06 to 15.37; 1 study, 85 women; very low‐certainty evidence). Regarding miscarriage rates, we are uncertain of any difference when the GnRHa long protocol was administered for two versus three weeks before stimulation (OR 0.93, 95% CI 0.18 to 4.87; 1 study, 85 women; very low‐certainty evidence) and when a 500 µg dose was compared with an 80 µg dose in the short protocol (OR 3.15, 95% CI 0.32 to 31.05; 1 study, 131 women; very low‐certainty evidence). No studies reported on cost‐effectiveness or acceptability of the different treatment protocols. The certainty of the evidence ranged from low to very low. The main limitations were failure to report live birth or ongoing pregnancy rates, poor reporting of methods in the primary studies, imprecise findings due to lack of data, and insufficient data regarding adverse events. Only eight of the 40 included studies were conducted within the last 10 years. Authors' conclusions When comparing long and short GnRHa protocols, we found little or no difference in live birth and ongoing pregnancy rates, but there was evidence that the long protocol may improve clinical pregnancy rates overall. We were uncertain of any difference in OHSS and miscarriage rates for all comparisons, which were reported by only two studies each. There was insufficient evidence to draw any conclusions regarding other adverse effects or the cost‐effectiveness and acceptability of the different treatment protocols. Plain language summary Which hormone (GnRHa) medications work best with ovarian stimulation hormones in assisted conception cycles? Key messages • When comparing long versus short gonadotropin‐releasing hormone agonists (GnRHa) treatment, there was little to no difference between groups for live birth and ongoing pregnancy rates, but the long treatment may result in a higher clinical pregnancy rate (where the foetus can be seen or heard). • We are uncertain if there is any difference in live birth and clinical pregnancy rates for the other comparisons studied, except for the comparison 100 µg dose versus 25 µg dose in a short treatment, which showed that clinical pregnancy may improve with a 100 µg dose. • Further research is needed to look at the cost‐effectiveness and acceptability of the different treatments. What did we want to find out? Gonadotropin‐releasing hormone agonists (GnRHa) are given along with hormone injections that stimulate the ovaries to try to prevent the premature release of eggs before they can be harvested in a planned way by means of a surgical procedure. GnRHa have been shown to improve pregnancy rates. Various ways of giving GnRHa are described in the literature. We wanted to find out the most effective way of giving GnRHa to increase the number of babies born and ongoing pregnancy rates, in addition to reducing the rates of pregnancy loss and ovarian hyperstimulation syndrome (OHSS) (an unwanted effect of treatment with fertility medicines). What did we do? We reviewed the evidence on which medications (in the form of GnRHa) are best given together with hormones to stimulate ovaries for women trying to become pregnant through assisted conception. What did we find? We found 40 studies of 4148 women comparing the use of GnRHa in different ways during assisted conception treatment. Nineteen of these studies (1582 women) compared a long treatment (where GnRHa is started at least two weeks prior to hormone stimulation) with a short treatment (where GnRHa is started with the hormone stimulation). Main results When comparing long versus short GnRHa treatment, there was little to no difference between groups for live birth and ongoing pregnancy rates. Our findings suggest that in a population in which 14% of women achieve a live birth or ongoing pregnancy using a short treatment, between 12% and 30% will achieve this with a long treatment. There is evidence that the long treatment may result in a hig er clinical pregnancy rate (where the foetus can be seen or heard) when compared to the short treatment. Our findings suggest that, in a population where 16% of women will achieve a clinical pregnancy with the short treatment, 17% to 32% will achieve this with a long treatment. For other comparisons of GnRHa treatments, we are uncertain if there is any difference in terms of live birth and clinical pregnancy rate, except for the comparison of 100 µg dose versus 25 µg dose in a short treatment, which showed that clinical pregnancy may improve with a 100 µg dose. We are uncertain if there is any difference in OHSS rates and pregnancy loss, which were reported by only two studies each. There was not enough evidence to reach any conclusions regarding other harmful effects. Further research is needed to look at the cost‐effectiveness and acceptability of the different treatments. What are the limitations of the evidence? We have low to very low confidence in the evidence. The main limitations in the evidence were non‐reporting of live birth or ongoing pregnancy in half of the studies, poor reporting of study methods, unclear findings, very few studies reporting on unwanted effects such as OHSS, and lack of data regarding other harmful events, cost‐effectiveness, and acceptability of the treatments. Only eight of the 40 included studies were conducted within the last 10 years. How up‐to‐date is this evidence? The evidence is current to December 2022.</t>
  </si>
  <si>
    <t>J6242</t>
  </si>
  <si>
    <t>Cost-effective and Green renal failure care - Hope or Reality : A proof of concept study</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</si>
  <si>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 2024</t>
  </si>
  <si>
    <t>dialysis centre/community</t>
  </si>
  <si>
    <t>Could include, 'There was consistent cost-savings was found in all study patients whom did self-care in the dialysis centre or required nursing or medical input to offer them appropriate care.'</t>
  </si>
  <si>
    <t>J6243</t>
  </si>
  <si>
    <t>Clinical Pharmacist and Clinical Nurse Specialist led medicine optimisation and medication adherence via eArly identifiCation advanCed gEriatric aSsesSment (ACCESS) tool in Senior Adult Oncology Programme (SAOP)</t>
  </si>
  <si>
    <t>Background: Comprehensive geriatric assessment evaluates key health domains for older adults, focusing on medicine optimisation and medication adherence to improve tolerability and quality of life for older adults on systematic anticancer therapy. The Royal Marsden (RM) Senior Adult Oncology Programme (SAOP) provides multidisciplinary geriatric assessment and interventions for patients &gt;= 70 undergoing systematic anticancer therapy. Aim(s): We designed an ACCESS (eArly identifiCation advanCed gEriatric aSsesSment) tool to enhance efficiency of SAOP outpatient clinics by facilitating geriatric assessment including medications, nutrition, social support, mood, and functional assessments. Setting(s): SAOP at RM NHS Foundation Trust, London, UK. Development: Developed by SAOP pharmacist and clinical nurse specialist with input from SAOP multidisciplinary team, the ACCESS tool includes medication review patient counselling deprescribing, and comorbidity management, aligning with the Royal Pharmaceutical Society Advanced Pharmacy Framework. Implementation: From January to December 2022, ACCESS was implemented in three steps: screening with Senior Adult Oncology Programme v 3 (SAOP3) questionnaire, remote consultation based on results, and medication review and patient counselling for complex medication needs, enhancing patient engagement and treatment understanding. Evaluation: The practice was audited through the implementation process. Quantitative data from staff and 100 patients who were users of the SAOP service and ACCESS tool revealed higher medication adherence, improved identification of inappropriate medications, and enhanced confidence in managing complex geriatric oncology cases. Conclusion(s): The ACCESS tool, led by clinical pharmacist and clinical nurse specialist has improved outpatient clinic efficiency, patient satisfaction, and healthcare coordination. It allows personalised follow-up plans for older adults with complex health issues on anticancer therapy. Regular multidisciplinary team meetings and digital health records enhance care coordination and decision-making for older adults with cancer. Copyright © The Author(s), under exclusive licence to Springer Nature Switzerland AG 2025.</t>
  </si>
  <si>
    <t>J6244</t>
  </si>
  <si>
    <t>Pain management training for people with persistent pain and their informal carers (JOINT SUPPORT): Multicentre randomised controlled feasibility trial with embedded qualitative study in English musculoskeletal services</t>
  </si>
  <si>
    <t>Objectives To assess the feasibility of conducting a pragmatic, multicentre randomised controlled trial (RCT) to test the clinical and cost-effectiveness of a pain management training intervention to support people with persistent musculoskeletal pain and their informal carers. Design Two-arm, multicentre, pragmatic, open, feasibility RCT with embedded qualitative study. Setting National Health Service (NHS) providers in four English hospitals. Participants Adults receiving NHS care for persistent musculoskeletal pain and their informal carers. Intervention Control: usual NHS care. Experimental: usual NHS care plus a carer-patient pain management training intervention (JOINT SUPPORT), comprising five, 1-hour, group-based sessions for patients and carers, delivered by trained physiotherapists or occupational therapists. Content included understanding pain, pacing, graded activity, fear avoidance, goal-setting, understanding the benefits of physical activity and medication management. This was re-enforced with a workbook. After the group-based sessions, patients and carers were supported through three telephone sessions. Randomisation Central randomisation was computer-generated (2:1 Experimental:Control), stratified by hospital and patient-participant age (&lt;=65 years). There was no blinding. Main outcome measures Data collected at baseline and 3 months post-randomisation included screening logs, intervention logs, fidelity checklists and clinical outcomes on quality of life, physical and emotional outcomes, adverse events and resource use. Interviews with 14 patient-carer participants and six health professionals who delivered the intervention. Results A total of 76 participants (38 patients; 38 carers) were enrolled. Sixty per cent (312/480) of patients screened were eligible with 12% consenting to be randomised (38/312). Fifty-four per cent (13/24) of the experimental group reached minimal compliance with the JOINT SUPPORT intervention. There was no evidence of treatment contamination. For patient-participant outcomes, within-group differences from baseline to 3 months favoured the control group when assessed by EQ-5D and Generalised Self-Efficacy total score, but favoured the intervention group when assessed by numerical rating scale pain, fatigue and Centre for Epidemiologic Studies Depression Scaletotal score. Qualitative data demonstrated the acceptability of the trial design and JOINT SUPPORT intervention with modifications to improve trial processes. Conclusions The JOINT SUPPORT intervention was acceptable to patient-carer dyads and health professionals. Modifications to trial design, particularly enhanced recruitment strategies, are required. Trial registration number ISRCTN78169443. Data availability statement The data that support the findings of this study are available from the corresponding author (TS) on reasonable request. This includes access to the full protocol, anonymised participant-level dataset and statistical code. Copyright © Author(s) (or their employer(s)) 2025.</t>
  </si>
  <si>
    <t>J6245</t>
  </si>
  <si>
    <t>A qualitative analysis of Allied Health Professions views on the benefits, challenges and evaluation of digital health interventions</t>
  </si>
  <si>
    <t>Purpose: Digital health interventions (DHIs) are poised to transform healthcare, improving efficiency and accessibility through technologies like telemedicine and mobile applications. Despite the NHS's anticipated 12 million investment in integrating these interventions, little research has examined allied health professionals' (AHPs) attitudes towards DHIs. This study aims to investigate AHPs' perceptions of the benefits, barriers, and evaluation competence of DHIs. Method(s): A qualitative online survey targeting AHPs across the UK was conducted between February 2023 and May 2023. Survey questions covered 1) demographics, 2) perceptions of digital literacy, 3) attitudes towards DHIs, and 4) evaluation of DHIs. Data were analysed using thematic analysis. Consensus meetings were held with the research team to review and finalize the findings. Result(s): Sixty AHPs from eight allied health disciplines participated in the study. Participants' perceptions of DHIs were mixed, recognising its benefits in empowering self-management and improving clinical efficiency but also aware of its limitations in confidentiality and the need for digital health literacy. Regarding how AHPs evaluated DHIs, they emphasised the significance of ensuring acceptability, effectiveness, and safety to increase DHI usage. Participants also stressed that more randomised control trials and beta testing would improve their confidence in DHIs. Conclusion(s): The findings highlight the importance of addressing current limitations for successful DHI implementation. AHPs are optimistic about integrating DHIs into practice, but more training and evidence-based research are needed to build assurance and trust. Future research should consider individual interviews for a deeper exploration that surveys alone cannot provide; this will further unfold AHPs' perceptions noted in this study. Impact: By identifying the perceived advantages and drawbacks of digital health interventions among allied health practitioners, and evaluating their knowledge of DHIs such as clinical decision support systems, wearable technology, telerehabilitation, and artificial intelligence algorithms, this study provides stakeholders with valuable insights for future actions and framework development. These findings will support the successful integration of DHIs into allied health practice. Additionally, the study could shed light on the development of a global education framework for AHPs, emphasizing the importance of digital proficiency in both undergraduate and postgraduate training. Funding acknowledgements: This project was funded by the British Council. Keywords: qualitative study, digital health interventions, allied health Copyright © 2025</t>
  </si>
  <si>
    <t>Allied Health Professions</t>
  </si>
  <si>
    <t>J6246</t>
  </si>
  <si>
    <t>Stakeholders’ perceptions and experiences of factors influencing the commissioning, delivery, and uptake of general health checks: a qualitative evidence synthesis</t>
  </si>
  <si>
    <t>- Background General health checks are integral to preventive services in many healthcare systems. They are offered, for example, through national programmes or commercial providers. Usually, general health checks consist of several screening tests to assess the overall health of clients who present without symptoms, aiming to reduce the population's morbidity and mortality. A 2019 Cochrane review of effectiveness studies suggested that general health checks have little or no effect on either all‐cause mortality, cancer or cardiovascular mortality or cardiovascular morbidity. These findings emphasise the need to explore the values of different stakeholder groups associated with general health checks. Objectives To identify how stakeholders (i.e. healthcare managers or policymakers, healthcare providers, and clients) perceive and experience general health checks and experience influencing factors relevant to the commissioning, delivery and uptake of general health checks. Also, to supplement and contextualise the findings and conclusions of a 2019 Cochrane effectiveness review by Krogsbøll and colleagues. Search methods We searched MEDLINE (Ovid) and CINAHL (EBSCO) and conducted citation‐based searches (e.g. reference lists, effectiveness review‐associated studies and cited references in our included studies). The original searches cover the period from inception to August 2022. The results from the update search in September 2023 have not yet been incorporated. Selection criteria We included primary studies that utilised qualitative methods for data collection and analysis. Included studies explored perceptions and experiences of commissioning, delivery and uptake of general health checks. Stakeholders of interest were healthcare managers, policymakers, healthcare providers and adults who participate (clients) or do not participate (potential clients) in general health checks. The general health check had to include screening tests for at least two diseases or risk factors. We considered studies conducted in any country, setting, and language. Data collection and analysis We applied a prespecified sampling frame to purposefully sample a variety of eligible studies. This sampling approach allowed us to capture conceptually rich studies that described the viewpoints of different stakeholder groups from diverse geographical regions and different settings. Using the framework synthesis approach, we developed a framework representing individual, intervention and contextual factors, which guided data extraction and synthesis. We assessed the methodological limitations of each study using an adapted version of the Critical Appraisals Skills Programme (CASP) tool. We applied the GRADE‐CERQual (Confidence in the Evidence from Reviews of Qualitative Research) approach to assess our confidence in each finding. Main results One hundred and forty‐six studies met the inclusion criteria, and we sampled 36 of these for our analysis. While most of the studies were set in high‐income countries in Europe, nearly a third (11/36) were set in culturally diverse middle‐income countries across Eastern Europe, South and Southeast Asia, and Latin America. Sixteen sampled studies were conducted in primary and community healthcare settings, four in workplace settings and four in community settings. Included studies explored the perceptions and experiences of clients (n = 25), healthcare providers (n = 15) and healthcare managers or commissioners (n = 9). We grouped the findings at the individual level, intervention level and surrounding context. The findings at the individual level mainly reflect the client’s perspective. General health checks helped motivate most clients to change their lifestyles. They were trusted to assess their health objectively, finding reassurance through professional confirmation (moderate confidence). However, those who feared negative results or relied on symptom‐based care were more reluctant to attend (moderate confidence). Perceptions of disease, risk factors and prevention affected ptake (high confidence). Some clients felt an obligation to their families and society to maintain and improve their health through general health checks (moderate confidence). Healthcare providers played a crucial role in motivating participation, but negative experiences with unqualified providers discouraged attendance (moderate confidence). The availability and accessibility of general health checks and awareness systems played significant roles in clients’ decision‐making. Factors such as time and concerns that health insurance may not cover potential treatment costs influenced attendance (moderate confidence). The findings at the intervention level drew on the perspectives of all three stakeholder groups, with a strong focus on the healthcare provider's perspective. Healthcare providers and clients considered it essential that general health check providers were skilled and culturally competent (high confidence). Barriers to delivery included time competition with curative care, staff changes and shortages, resource limitations, technical issues, and reimbursement challenges (moderate confidence). Stakeholders thought innovative and diverse settings might improve access (moderate confidence). The evidence suggests that clients appreciated a comprehensive approach, with various tests. At the same time, healthcare providers deemed individualised approaches tailored to clients' health risks suitable, focusing on improving rather than abandoning general health checks (low confidence). The perspectives on the effectiveness of general health checks differed among healthcare commissioners, managers, providers, and clients (moderate confidence). Healthcare providers and clients recognised the importance of information, invitation systems, and educational approaches to create awareness of general health check availability and their respective advantages or disadvantages (moderate confidence). Clients considered explaining test results and providing recommendations as key elements of general health checks (low confidence). We have low or very low confidence in findings related to the contextual level and reasons for commissioning general health checks. The evidence suggests that cultural background, social norms, religion, gender, and language shape the perception of prevention and disease, thereby influencing the uptake of general health checks. Policymakers thought that a favourable political climate and support from various stakeholders are needed to establish general health checks. Authors' conclusions Despite the lack of effectiveness in the quantitative review, our findings showed that general health checks remain popular amongst clients, healthcare providers, managers and policymakers across countries and settings. Our data did not offer strong evidence on why these are commissioned, but it did point to these interventions being valued in contexts where general health checks have long been established. General health checks fulfil specific wants and needs, and de‐implementation strategies may need to offer alternatives before a constructive debate can take place about fundamental changes to this widely popular or, at least, accepted service. Plain language summary What influences people to fund, provide, and attend general health checks? Key messages • People decide to get general health checks based on several things, such as being aware of general health checks and getting reminders from family, friends, or healthcare providers. In places where general health checks and treatment are not free, resources like time and money also play a role. Some people avoid general health checks because they are afraid of bad results. • We found less information about healthcare funders and providers, so we do not fully understand what drives their decisions about funding or delivering general health checks. • People should think carefully about whether to have a general health check, weighing up the pros and cons and taking into account their own health and situation. What are general health checks? General health chec s are routine health examinations offered to people who feel healthy, especially in wealthier countries. They include screening for various cancers, and assessing people's risk of getting diabetes or heart disease. These checks are believed to help by spotting risks or diseases early so they can be treated, or so people can make changes to their lifestyle. However, there may be risks. For example, people might receive a wrong screening diagnosis and have to undergo further testing, and possibly unnecessary treatment. General health checks are expensive to provide, and research shows that they may not be effective for preventing heart disease. What did we want to find out? Demand for general health checks remains high, but we don't know whether they significantly help to reduce death, cancer and heart disease. We wanted to understand what factors lead policy‐makers, healthcare managers and providers, and clients to fund, provide and attend general health checks. What did we do? We searched for studies where policy‐makers, healthcare managers, healthcare providers and clients shared their views and experiences. We evaluated the quality of each study individually and summarised the findings. What did we find? We found 146 studies, and selected 36 of them to analyse. Most studies took place in high‐income European countries, with a third from middle‐income countries in Eastern Europe, South and Southeast Asia, and Latin America. Most clients, healthcare providers and policy‐makers had similar perceptions and experiences of general health checks. We developed 22 findings and judged our confidence in these findings to be high, moderate, low, or very low, indicating how likely the finding represents what we sought to study. 1. We have high confidence in the evidence of the following findings. • Clients’ perceptions of the disease, prevention and risk affect uptake. • Both healthcare providers and clients believe that people who provide general health checks need to be skilled and understand the clients' culture. 2. We have moderate confidence in the evidence of the following findings. • Many clients see general health checks as a way to get an objective health assessment, reassurance from health professionals and motivation for healthier living. • Clients who fear bad results or who only seek care when they have symptoms are less likely to attend. • Some clients feel a duty to their families or society to attend health checks, believing it helps maintain or improve their health. • Interaction with healthcare providers can either encourage or discourage attendance. • Availability, accessibility and clear information are crucial in clients' decision‐making process. • Factors like time, money and health insurance affect whether people attend. • Healthcare providers face barriers to delivering general health checks, like time constraints, staff shortages, limited resources, technical issues and complicated reimbursement processes. Some believe offering general health checks in locations like supermarkets or churches might improve access. • Healthcare funders, managers, providers and clients have different views on how beneficial general health checks actually are. • Healthcare providers and clients feel that raising awareness of general health checks, including their benefits and risks, requires clear information, effective invitation systems and educational efforts. 3. We have low or very low confidence in the following findings. • Clients prefer a broad range of tests, while healthcare providers favour more tailored testing, based on the person's needs. • For clients, clear explanations of test results and recommendations are important. Everyone agrees that follow‐up care is essential to make general health checks meaningful. • Clients report that cultural background, social norms, religion, gender and language shape how people perceive prevention and disease, which influences their decision to attend general health checks. • Policy‐makers believe that a supportive political climate and backing from various groups are necessary to implement general health checks. What are the limitations of the evidence? We tried to include a sample of studies representing diverse geographical regions, settings, and people. However, there were gaps in the research, so we could not get a clear picture of everything we were interested in. In particular, information about funders and providers is probably incomplete. How up‐to‐date is this evidence? We searched for studies in January 2022 and August 2022. The studies that we analysed were published between 1995 and 2021.</t>
  </si>
  <si>
    <t>J6247</t>
  </si>
  <si>
    <t>Exploring the potential cost-effectiveness and societal burden implications of screening for fracture risk in a UK general radiography setting</t>
  </si>
  <si>
    <t>general radiography setting</t>
  </si>
  <si>
    <t>J6248</t>
  </si>
  <si>
    <t>On the Cusp-A Questionnaire-Based Assessment of Implementing PIVOTAL Into UK Practice</t>
  </si>
  <si>
    <t>BACKGROUND: Anemia is a common occurrence in people with chronic kidney disease and end-stage kidney disease. Intravenous administration of iron is standard treatment for people undergoing maintenance hemodialysis. However, until the recent PIVOTAL randomized control trial, there was uncertainty around clinically effective regimens. This study found that among incident, people receiving hemodialysis in the first year, a proactive high-dose intravenous iron regimen was superior to reactive low-dose regimen, leading to reduced mortality and cardiac events. Our study investigated whether the research and guidelines have been successfully implemented into clinical care across the United Kingdom, identified barriers experienced, and explored our local hemodialysis population's awareness of the treatment they are receiving. METHOD(S): We conducted a cross-sectional survey using a convenient sample of UK-based kidney physicians working in the NHS and local people receiving hemodialysis. Two preconceived, standardized questionnaires were designed. RESULT(S): Forty physicians responded. Of these, 40% had implemented a proactive iron protocol, whereas 37.5% had not. Respondents acknowledged concerns about doses of iron and the need for local protocols. Thirty-seven patients responded to the patient questionnaire within our own hemodialysis unit. Fifty-one percent of patients reported to be receiving iron supplementation, of which 84% stated it was intravenous through their dialysis machine. CONCLUSION(S): We have not observed a paradigm shift in clinical practice and identified poor patient understanding of their treatment. Strategies to overcome barriers are necessary to introduce treatments that offer both clinical advantages and cost savings. Eliminating futile practice is challenging due to departmental prioritization and economic considerations. Traditionally, efforts to improve care are targeted towards newer therapies; however, there is an opportunity to improve implementation of current evidence. Copyright © 2025 Wiley Periodicals LLC.</t>
  </si>
  <si>
    <t>kidney physicians working in the NHS and local people receiving hemodialysis</t>
  </si>
  <si>
    <t>J6249</t>
  </si>
  <si>
    <t>Economic Burden and Cost-Effectiveness of Management of Non-Infectious Uveitis: A Systematic Review</t>
  </si>
  <si>
    <t>Purpose: To evaluate the economic burden and cost-effectiveness of interventions and management of non-infectious uveitis (NIU). Method(s): A comprehensive search was conducted across Medline, Embase, and Scopus databases from inception to March 2023. Risk of bias assessments were conducted using the Joanna Briggs Institute critical appraisal tools. Result(s): A total of 24 articles consisting of 16 economic burden studies (67%) and 9 cost-effectiveness or cost-utility studies (38%) met the inclusion criteria. Annual direct medical costs ranged from $16,428 to $134,135 USD 2023, with costs being 4.3 times higher for those with blindness compared to those without vision loss. Direct medical costs for corticosteroid, immunosuppressive, and biologic therapies were $19,497, $29.979, and $45,830, respectively. Indirect costs ranged from $806 to $57,170, with costs being 2.1 times higher for persistent NIU and 2.3 times higher for those with blindness. Annual medication and intervention costs ranged from $345 to $13,134, with prescription drug costs being 60% higher for blind patients compared to those with moderate vision loss. Overall, cost-effectiveness analyses show promise for treatments like adalimumab and certain implants, though the extent of economic benefit depends on price reductions and healthcare system variations. Varying parameters like willingness-to-pay (WTP) thresholds and input parameters further complicated comparability. Conclusion(s): NIU poses a significant economic impact, particularly in patients with blindness and those on advanced therapies. While evidence is growing in Western countries like the US and UK, further research in non-westernized countries is warranted for a comprehensive, global understanding of the disease's economic burden. Copyright © 2025 Taylor &amp; Francis Group, LLC.</t>
  </si>
  <si>
    <t>unclear, but think it includes UK study</t>
  </si>
  <si>
    <t>J6250</t>
  </si>
  <si>
    <t>Multimorbidity clusters and their associations with health-related quality of life in two UK cohorts</t>
  </si>
  <si>
    <t>Background: Identifying clusters of multiple long-term conditions (MLTCs), also known as multimorbidity, and their associated burden may facilitate the development of effective and cost-effective targeted healthcare strategies. This study aimed to identify clusters of MLTCs and their associations with long-term health-related quality of life (HRQoL) in two UK population-based cohorts. Method(s): Age-stratified clusters of MLTCs were identified at baseline in UK Biobank (n = 502,363, 54.6% female) and UKHLS (n = 49,186, 54.8% female) using latent class analysis (LCA). LCA was applied to people who self-reported &gt;= 2 LTCs (from n = 43 LTCs [UK Biobank], n = 13 LTCs [UKHLS]) at baseline, across four age-strata: 18-36, 37-54, 55-73, and 74 + years. Associations between MLTC clusters and HRQoL were investigated using tobit regression and compared to associations between MLTC counts and HRQoL. For HRQoL, we extracted EQ-5D index data from UK Biobank. In UKHLS, SF-12 data were extracted and mapped to EQ-5D index scores using a standard preference-based algorithm. HRQoL data were collected at median 5 (UKHLS) and 10 (UK Biobank) years follow-up. Analyses were adjusted for available sociodemographic and lifestyle covariates. Result(s): LCA identified 9 MLTC clusters in UK Biobank and 15 MLTC clusters in UKHLS. Clusters centred around pulmonary and cardiometabolic LTCs were common across all age groups. Hypertension was prominent across clusters in all ages, while depression featured in younger groups and painful conditions/arthritis were common in clusters from middle-age onwards. MLTC clusters showed different associations with HRQoL. In UK Biobank, clusters with high prevalence of painful conditions were consistently associated with the largest deficits in HRQoL. In UKHLS, clusters of cardiometabolic disease had the lowest HRQoL. Notably, negative associations between MLTC clusters containing painful conditions and HRQoL remained significant even after adjusting for number of LTCs. Conclusion(s): While higher LTC counts remain important, we have shown that MLTC cluster types also have an impact on HRQoL. Health service delivery planning and future intervention design and risk assessment of people with MLTCs should consider both LTC counts and MLTC clusters to better meet the needs of specific populations. Copyright © The Author(s) 2024.</t>
  </si>
  <si>
    <t>UK biobank</t>
  </si>
  <si>
    <t>prevalence, clusters, QoL</t>
  </si>
  <si>
    <t>J6251</t>
  </si>
  <si>
    <t>Lurasidone versus typical antipsychotics for schizophrenia</t>
  </si>
  <si>
    <t>- Background Antipsychotic drugs are the mainstay of treatment for schizophrenia. Even though several novel second‐generation antipsychotics (i.e. lurasidone, iloperidone and cariprazine) have been approved in recent years, typical antipsychotics (e.g. chlorpromazine, haloperidol, and fluphenazine) remain a crucial therapeutic option for the condition around the world. Little is known about the relative risk‐to‐benefit ratio of the 'latest' second‐generation antipsychotics compared to the typical agents of 'established stature'. Objectives To systematically review the efficacy and safety of lurasidone versus typical antipsychotics for adults with schizophrenia or schizophrenia‐related disorders. Search methods We searched the Cochrane Schizophrenia Group’s Study‐Based Register of Trials on 5 June 2019. We also ran an update search in CENTRAL, MEDLINE, Embase, and three additional databases as well as two trial registers and the US Food and Drug Administration database on 1 April 2024. Selection criteria We searched for randomized controlled trials (RCTs) comparing lurasidonewith typical antipsychotic drugs (such as chlorpromazine, fluphenazine, haloperidol, loxapine, mesoridazine, molindone, perphenazine, thioridazine, thiothixene, zuclopenthixol) for adults with schizophrenia. No additional search restrictions were applied. Data collection and analysis We followed standard Cochrane methodological procedures. We extracted information on participant characteristics, interventions, study outcomes, study design, trial methods, and funding sources. Two review authors independently extracted data and assessed the risk of bias. We assessed the certainty of evidence with GRADE for these key outcomes: change in mental state, death by suicide or natural cause, quality of life, total serious adverse events and severe adverse events (as defined by study authors). Main results We included two studies with a total of 308 individuals diagnosed with schizophrenia (220 men and 85 women). A total of 223 participants received lurasidone (20, 40, or 80 mg/day), and 82 received haloperidol (up to 10 mg/day) or perphenazine (up to 32 mg/day); three people did not receive any study medication. Both studies were performed in the US. The duration of the follow‐up was four to six weeks. Death by suicide/natural causes and quality of life were not reported by the two included studies. The evidence is very uncertain about the effects of lurasidone on change in mental state: the Brief Psychiatric Rating Scale (BPRS) (MD 3.74, 95% CI 0.57 to 6.90; 1 RCT, 281 participants; very low‐certainty evidence); and the Positive and Negative Syndrome Scale (PANSS) (MD 6.68, 95% CI 2.45 to 10.91; 1 RCT, 281 participants; very low‐certainty evidence). The evidence is also very uncertain about the effects of lurasidone on total serious adverse events (RR 0.98, 95% CI 0.37 to 2.60; 2 RCTs, 303 participants; very low certainty of evidence) and on severe adverse events (RR 1.70, 95% CI 0.46 to 6.32; 1 RCT, 281 participants; very low certainty of evidence). Authors' conclusions We are very uncertain about whether lurasidone offers benefits to the mental state, total serious adverse events, or severe adverse events when compared to typical antipsychotics for people with schizophrenia. The evidence included in this review is of very low certainty, derived from two small trials. Study limitations (risk of bias) and imprecise results impacted our confidence in the evidence. Furthermore, data on mortality (due to suicide or natural causes) or quality of life are unavailable. Further large‐scale randomized studies are needed to provide clearer insights into the benefits and harms of lurasidone compared to typical antipsychotics for treating schizophrenia. Plain language summary Lurasidone or typical antipsychotics: which works better to treat schizophrenia? Key messages • We compared lurasidone, a newer antipsychotic, with traditional antipsychotics like haloperidol to treat schizophrenia. • Based on two studies, we are uncertain w ether lurasidone improves schizophrenia symptoms or causes fewer unwanted effects compared to traditional medications. • More research is needed to determine the benefits and potential harms of lurasidone in managing schizophrenia. What is schizophrenia? Schizophrenia is a condition that affects how a person perceives reality, leading to symptoms such as hallucinations, delusions, and difficulty thinking clearly. It can also make familiar environments feel strange and may impact relationships and social interactions. While living with schizophrenia is challenging, many people work hard to manage their symptoms and lead fulfilling lives. How is schizophrenia treated? Antipsychotic medications are essential for reducing the severe symptoms of schizophrenia. What did we want to find out? We wanted to find out if lurasidone: • Is more effective than traditional antipsychotic medications, such as haloperidol, in reducing schizophrenia symptoms. • Causes fewer unwanted effects. • Improves quality of life or reduces the risk of death by suicide or natural causes. What did we do? We reviewed clinical trials comparing lurasidone with traditional antipsychotic medications. Our focus was on changes in schizophrenia symptoms and whether lurasidone caused any unwanted effects. We also looked for evidence on quality of life, deaths by suicide or natural causes, and other important outcomes. What did we find? We found two studies that included 308 adults with schizophrenia (220 men and 85 women). These studies compared lurasidone with haloperidol, a traditional antipsychotic. The results showed: • Symptoms of schizophrenia: It is unclear whether lurasidone improves symptoms as measured by common scales (e.g., the Brief Psychiatric Rating Scale). One study suggested a slight improvement, but we are very uncertain about these results. • Unwanted effects: It is unclear whether lurasidone causes fewer or more unwanted effects compared to haloperidol. • Other outcomes: No studies examined whether lurasidone reduces the risk of suicide or improves quality of life. What are the limitations of the evidence? The evidence is based on only two small studies, limiting our confidence in the results. Additionally, the studies were conducted in specific populations, so the findings may not apply to everyone with schizophrenia. Both studies had limitations in their design, which may affect the reliability of their results. How up to date is this evidence? The evidence is up to date to April 2024.</t>
  </si>
  <si>
    <t>comparison and outcomes (could exclude - uncertain)</t>
  </si>
  <si>
    <t>J6252</t>
  </si>
  <si>
    <t>Design and Rationale of 'A pragmatic approach to the investigation of stable chest pain: a UK, multi-centre, randomised trial to assess patient outcomes, quality of life and cost effectiveness (CE-MARC 3)'</t>
  </si>
  <si>
    <t>&lt;b&gt;RATIONALE&lt;/b&gt;: The optimal non-invasive diagnostic imaging strategy for patients with suspected coronary artery disease (CAD) is widely debated. Computed Tomography Coronary Angiography (CTCA) and functional imaging are both guideline-recommended, although comparative effectiveness in patients with intermediate-high pre-test likelihood (PTL) is limited. Primary Hypothesis: We aim to establish if a personalised investigation strategy compared to CTCA first-line for allcomers, leads to improved patient outcomes._x000D_
&lt;b&gt;DESIGN&lt;/b&gt;: In a multi-centre, randomised trial, 4,000 patients newly referred for the investigation of suspected cardiac chest pain will be recruited and randomised (1:1) to either personalised care (first-line CTCA or functional imaging based on PTL) or CTCA first-line for allcomers. The primary endpoint is time to a composite of cardiovascular death, myocardial infarction, or unobstructed coronary arteries on invasive angiography. Follow up will occur at 6 and 12 months and then annually for up to four years for symptoms, quality of life, and guideline directed medical therapy usage. A cost-effectiveness analysis will be performed capturing impacts on health, measured in quality adjusted life years (QALYs) using the EQ-5D-5L, and costs (including investigations, procedures, procedural complications, medical treatment costs and any future hospital admissions) calculated. It will be possible for the whole trial pathway to be conducted remotely with the option to perform non-face-to-face consent, randomisation, and follow-up data collection including health-related quality of life._x000D_
&lt;b&gt;SITES&lt;/b&gt;: 20 UK sites ENROLMENT: First site opened April 2022 and recruitment is due to complete by July 2025, with an average recruitment of 135 patients a month to date._x000D_
&lt;b&gt;CURRENT STATUS&lt;/b&gt;: 3,407 patients recruited and randomised by the end of February 2025 CONCLUSION: This trial will address whether, in patients with suspected cardiac chest pain, a strategy of personalised investigation according to pre-test likelihood (PTL), compared to CTCA for allcomers, leads to improved patient outcomes, quality of life and cost-effectiveness.</t>
  </si>
  <si>
    <t>J6253</t>
  </si>
  <si>
    <t>Abdominal drainage to prevent intraperitoneal abscess after appendectomy for complicated appendicitis</t>
  </si>
  <si>
    <t>- Rationale This is the third update of a Cochrane review first published in 2015 and last updated in 2021. Appendectomy, the surgical removal of the appendix, is performed primarily for acute appendicitis. People who undergo appendectomy for complicated appendicitis, defined as gangrenous or perforated appendicitis, are more likely to suffer postoperative complications in comparison to uncomplicated appendicitis. The routine use of abdominal drainage to reduce postoperative complications after appendectomy for complicated appendicitis is controversial. Objectives To evaluate the benefits and harms of abdominal drainage in reducing intraperitoneal abscess after appendectomy (irrespective of open or laparoscopic) for complicated appendicitis; to compare the effects of different types of surgical drains; and to evaluate the optimal time for drain removal. Search methods We searched CENTRAL, MEDLINE, Embase, two other databases, and five trials registers, together with reference checking, citation searching, and contact with study authors, to identify studies for inclusion in the review. The latest search date was 12 October 2023. Eligibility criteria We included randomised controlled trials (RCTs) and quasi‐RCTs in people with complicated appendicitis comparing (1) use of drain versus no drain, (2) open drain versus closed drain, or (3) different schedules for drain removal. We excluded studies in which not all participants received antibiotics after appendectomy. Outcomes Our critical outcome was intraperitoneal abscess. Important outcomes were wound infection, morbidity, mortality, and hospital stay. Risk of bias We used the Cochrane RoB 1 tool to assess the risk of bias in RCTs and quasi‐RCTs. Synthesis methods We synthesised the results for each outcome in a meta‐analysis using the random‐effects model, except for the Peto odds ratio, which only has a fixed‐effect model. We planned to use the Synthesis Without Meta‐analysis (SWiM) approach to report studies when it was not possible to undertake a meta‐analysis of effect estimates. We used GRADE to assess the certainty of evidence for each outcome. Included studies We included eight studies (five RCTs and three quasi‐RCTs) with a total of 739 paediatric and adult participants, of which 370 participants were randomised to the drainage group and 369 participants to the no‐drainage group. The studies were conducted in North America, Asia, and Africa and published between 1973 and 2023. The majority of participants had perforated appendicitis with local or general peritonitis. All participants received antibiotic regimens after open or laparoscopic appendectomy. All studies were at overall high risk of bias. Synthesis of results Use of drain versus no drain We assessed the certainty of the evidence for 30‐day mortality as moderate due to imprecision. We assessed the certainty of the evidence for all other outcomes as very low, downgraded mainly due to high risk of bias, inconsistency, and imprecision. The evidence is very uncertain regarding the effects of abdominal drainage versus no drainage on intraperitoneal abscess at 30 days (risk ratio (RR) 1.08, 95% confidence interval (CI) 0.55 to 2.12; 7 studies, 671 participants; very low‐certainty evidence), wound infection at 30 days (RR 1.76, 95% CI 0.89 to 3.45; 7 studies, 696 participants), and morbidity at 30 days (RR 1.84, 95% CI 0.14 to 24.50; 2 studies, 124 participants) in paediatric and adult participants undergoing open or laparoscopic appendectomy for complicated appendicitis. Approximately 113 (57 to 221 participants) out of 1000 participants in the drainage group developed intraperitoneal abscess, compared with 104 out of 1000 participants in the no‐drainage group. There were seven deaths in the drainage group (N = 291) compared with one in the no‐drainage group (N = 290); abdominal drainage probably increases the risk of 30‐day mortality (Peto odds ratio 4.88, 95% CI 1.18 to 20.09; 6 studies, 581 participants; moderate‐certainty evidence) in paediatric and adult partic pants undergoing open appendectomy for complicated appendicitis. Abdominal drainage may increase hospital stay by 1.58 days (95% CI 0.86 to 2.31; 5 studies, 516 participants; very low‐certainty evidence) in paediatric and adult participants undergoing open or laparoscopic appendectomy for complicated appendicitis, but the evidence is very uncertain. Open drain versus closed drain No studies compared open drain versus closed drain for complicated appendicitis. Early versus late drain removal No studies compared early versus late drain removal for complicated appendicitis. Authors' conclusions The evidence is very uncertain whether abdominal drainage prevents intraperitoneal abscess, wound infection, or morbidity in paediatric and adult participants undergoing open or laparoscopic appendectomy for complicated appendicitis. Abdominal drainage may increase hospital stay in paediatric and adult participants undergoing open or laparoscopic appendectomy for complicated appendicitis, but the evidence is very uncertain. Consequently, there is no evidence for any clinical improvement with the use of abdominal drainage in people undergoing open or laparoscopic appendectomy for complicated appendicitis. The increased risk of mortality with drainage comes from eight deaths observed in paediatric and adult participants undergoing open appendectomy for complicated appendicitis. Larger studies are needed to more reliably determine the effects of drainage on mortality outcomes. Funding This Cochrane review was funded by the National Natural Science Foundation of China (Grant No. 81701950, 82172135), Natural Science Foundation of Chongqing (Grant No. CSTB2022NSCQ‐MSX0058, cstc2021jcyj‐msxmX0294), Medical Research Projects of Chongqing (Grant No. 2018MSXM132, 2023ZDXM003, 2024jstg028), and the Kuanren Talents Program of the Second Affiliated Hospital of Chongqing Medical University. Registration Registration: not available.  Protocol and previous versions available via doi.org/10.1002/14651858.CD010168, doi.org/10.1002/14651858.CD010168.pub2, doi.org/10.1002/14651858.CD010168.pub3, and doi.org/10.1002/14651858.CD010168.pub4. Plain language summary What are the effects of using a drain compared to no drain after surgical removal of the appendix for treating complicated appendicitis? Key messages • We do not know if drain (tube) use after open (where a large cut is made to access underlying organs or tissues) or keyhole (surgery performed through a very small surgical cut) removal of the appendix has an important effect on the abdominal abscess (collection of pus in the abdomen) rate, wound infection rate, or overall complication rate in children and adults with complicated appendicitis (death, decay, or perforation of the appendix). • Use of drain after open removal of the appendix probably increases the death rate in children and adults with complicated appendicitis. • Use of drain after open or keyhole removal of the appendix may increase the length of hospital stay in children and adults with complicated appendicitis, but we are very uncertain about the results. What is complicated appendicitis? The human appendix is a tube located at the connection between the small and large intestines. The term 'appendicitis' covers a variety of conditions resulting from painful swelling of the appendix. Complicated appendicitis is defined as gangrenous appendicitis (death and decay of the appendix) or perforated appendicitis (bursting of the appendix). How is this managed? People with complicated appendicitis (gangrenous or perforated appendicitis) usually need surgical removal of the appendix to relieve their symptoms and avoid complications. Individuals undergoing surgical removal of the appendix for complicated appendicitis are more likely to suffer complications after surgery in comparison to uncomplicated appendicitis. The routine placement of a surgical drain to prevent abdominal abscess after surgical removal of the appendix for complicated appendicitis has been questioned. Use of a drain may decrease the risk of abdominal absces , but it may also have no benefit and may even cause harm. What did we want to find out? We wanted to find out whether the use of a drain after open or keyhole removal of the appendix is effective in reducing the abdominal abscess rate for people with complicated appendicitis in any care setting. We wanted to compare the use of a drain versus no drain by looking at: • abdominal abscess rate; • wound infection rate; • overall complication rate; • death rate; • length of hospital stay. What did we do? We searched for studies that compared the use of a drain with no drain after surgical removal of the appendix for people with complicated appendicitis. There were no restrictions on language, date of publication, or study setting. We compared and summarised the results of the studies and rated our confidence in the evidence based on factors such as study methods and sizes. What did we find? We found eight studies in which 739 children and adults with complicated appendicitis were randomly assigned to either use of drain (370 participants) or no drain (369 participants) after open or keyhole removal of the appendix. We are uncertain whether the use of a drain in children and adults after open or keyhole removal of the appendix reduces: • abdominal abscess rate (9 more abdominal abscesses per 1000 participants); • wound infection rate; or • overall complication rate. Compared with no drain, the use of a drain probably increases the death rate in children and adults after open removal of the appendix. Use of a drain may increase the length of hospital stay in children and adults after open or keyhole removal of the appendix, but we are very uncertain about this result. What are the limitations of the evidence? We have very little confidence in the evidence because it is possible that people in the studies were aware of what treatment they were getting, and not all studies provided data about everything that we were interested in. In addition, some studies did not clearly report how they were conducted, and there were not enough studies to be certain about the results of our outcomes. How up‐to‐date is this evidence? This review updates our previous review. The evidence is current to October 2023.</t>
  </si>
  <si>
    <t>J6254</t>
  </si>
  <si>
    <t>Financial Rewards for Smoking Cessation during Pregnancy and Birth Weight: A Meta-Analysis</t>
  </si>
  <si>
    <t>Importance  Offering pregnant women financial rewards to stop smoking is associated with a more than 2-fold increase in smoking cessation and is cost-effective; however, it is possible that the association is the result of gaming of the outcome measure (eg, not smoking for 24 hours before outcome measurement using a carbon monoxide breath test). Birth weight is an outcome measure that is independent of the rewards process.</t>
  </si>
  <si>
    <t>J6255</t>
  </si>
  <si>
    <t>Impact and effect of imaging referral guidelines on patients and radiology services: a systematic review</t>
  </si>
  <si>
    <t>Objectives: The objective of this systematic review was to offer a comprehensive overview and explore the associated outcomes from imaging referral guidelines on various key stakeholders, such as patients and radiologists. Material(s) and Method(s): An electronic database search was conducted in Medline, Embase and Web of Science to retrieve citations published between 2013 and 2023. The search was constructed using medical subject headings and keywords. Only full-text articles and reviews written in English were included. The quality of the included papers was assessed using the mixed methods appraisal tool. A narrative synthesis was undertaken for the selected articles. Result(s): The search yielded 4384 records. Following the abstract, full-text screening, and removal of duplication, 31 studies of varying levels of quality were included in the final analysis. Imaging referral guidelines from the American College of Radiology were most commonly used. Clinical decision support systems were the most evaluated mode of intervention, either integrated or standalone. Interventions showed reduced patient radiation doses and waiting times for imaging. There was a general reduction in radiology workload and utilisation of diagnostic imaging. Low-value imaging utilisation decreased with an increase in the appropriateness of imaging referrals and ratings and cost savings. Clinical effectiveness was maintained during the intervention period without notable adverse consequences. Conclusion(s): Using evidence-based imaging referral guidelines improves the quality of healthcare and outcomes while reducing healthcare costs. Imaging referral guidelines are one essential component of improving the value of radiology in the healthcare system. Clinical relevance statement: There is a need for broader dissemination of imaging referral guidelines to healthcare providers globally in tandem with the harmonisation of the application of these guidelines to improve the overall value of radiology within the healthcare system. Key Points: The application of imaging referral guidelines has an impact and effect on patients, radiologists, and health policymakers. The adoption of imaging referral guidelines in clinical practice can impact healthcare costs and improve healthcare quality and outcomes. Implementing imaging referral guidelines contributes to the attainment of value-based radiology. Copyright © The Author(s) 2024.</t>
  </si>
  <si>
    <t>Not cash releasing, vague mention of cost saving</t>
  </si>
  <si>
    <t>J6256</t>
  </si>
  <si>
    <t>Identifying and Predicting Risk for Hospital Admission among Patients with Parkinsonism</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</si>
  <si>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 2024 The Author(s). Movement Disorders Clinical Practice published by Wiley Periodicals LLC on behalf of International Parkinson and Movement Disorder Society.</t>
  </si>
  <si>
    <t>J6257</t>
  </si>
  <si>
    <t>Interventions to reduce non‐prescription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</si>
  <si>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non‐prescription antimicrobial sales in the community setting. Objectives To assess the effects of interventions for reducing non‐prescription antimicrobial sales by pharmacists and non‐pharmacists in community pharmacies, drugstores, and other medicine outlets. To assess whether the effects of interventions differ according to types of interventions (single or multicomponent), community pharmacy personnel (pharmacists or non‐pharmacists), and countries (low to lower‐middle‐income and upper‐middle to high income). Search methods We searched five databases, including CENTRAL, MEDLINE, and Embase, and two trial registers to 26 September 2022. We also conducted reference checking and citation searches. Selection criteria We included randomized trials, cluster‐randomized trials, and quasi‐randomized trials evaluating interventions targeted at pharmacists and non‐pharmacists in community pharmacies, drugstores, and other medicine outlets. Our primary outcomes were non‐prescription antimicrobial sales, symptomatic or asymptomatic infections caused by antimicrobial‐resistant pathogens among pharmacy clients or community residents, and adverse events associated with non‐prescription antimicrobial drug use in pharmacy clients. Our secondary outcomes were history taking and provision of advice to pharmacy clients, and knowledge of pharmacists and non‐pharmacists.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non‐pharmacists. One study conducted in Scotland was a four‐arm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peer‐monitoring) with a control of no intervention. Only non‐prescription antimicrobial sales, history taking and provision of advice to pharmacy clients, and knowledge of pharmacists and non‐pharmacists were assessed in the included studies; no study assessed other outcomes. We judged the overall risk of bias for non‐prescription antimicrobial sales to be high risk and for the other two outcomes to be some concerns. One study conducted in Scotland assessed single‐component interventions (in two intervention arms) versus a control of written guidelines, and reported one primary outcome and one secondary outcome. Non‐prescription antimicrobial sales: the study reported the sale or non‐sale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non‐pharmacists: the study reported knowledge scores at baseline and follow‐up, but did not compare the scores between t o single‐component intervention arms and the control arm at both time points. Four studies assessed multicomponent interventions versus a control of written guidelines or no intervention, and reported one primary outcome and two secondary outcomes. Non‐prescription antimicrobial sales: two studies conducted in Uganda, Thailand, and Vietnam involving 337 randomized community pharmacies and drugstores reported the proportion of non‐prescription antimicrobial sales to the total number of requests using a simulated client method. Based on vote counting, both studies favored the intervention, that is multicomponent interventions reduced the sales of non‐prescription antimicrobial drugs by pharmacists and non‐pharmacists. The information in the other two studies was inadequate to address this primary outcome. One study in Portugal reported that total antibiotic consumption at the municipal level (comprising both prescribed and non‐prescribed antibiotic sales) was reduced after a multicomponent intervention. The study conducted in Scotland assessed a multicomponent intervention (in one intervention arm) and reported the sale or non‐sale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non‐pharmacists in the intervention groups, while Uganda reported a paradoxical decline. Knowledge of pharmacists and non‐pharmacists: the study conducted in Scotland reported knowledge scores at baseline and follow‐up, but did not compare the scores between the multicomponent intervention arm and control arm at both time points. Authors' conclusions No firm conclusions can be drawn about the effects of single‐component interventions due to limited evidence. Multicomponent interventions may not reduce the sales of non‐prescription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 There is no clear evidence that the single‐component interventions targeted at pharmacists and non‐pharmacists in community pharmacies and drugstores are effective. • When multicomponent interventions are used, the sale of antimicrobial drugs without a prescription may not be reduced, but we are very uncertain about the results. • Better‐quality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doctor’s prescription, but some pharmacists and non‐pharmacists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non‐p armacists reduce the sale of antimicrobial drugs without a prescription in countries where laws do not permit the sale of antimicrobial drugs without a prescription. What did we want to find out? In this review we looked at whether interventions that target pharmacists and non‐pharmacists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peer‐monitoring for reducing the sales of antimicrobial drugs without a prescription by pharmacists and non‐pharmacists.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non‐pharmacists, and peer‐monitoring on antimicrobial drug sales. When pharmacists and non‐pharmacists in community pharmacies and drugstores received more than one intervention component, the number of sales of antimicrobial drugs without a prescription may not be reduced, but we are very uncertain about the results. No studies measured drug‐resistant infections or unwanted effects of antimicrobial drugs in pharmacy users. Further studies on this topic are needed, particularly looking at the effects of single‐component interventions. How up‐to‐date is this review? The evidence is current to September 2022.</t>
  </si>
  <si>
    <t>Community pharmacies - in scope?</t>
  </si>
  <si>
    <t>J6258</t>
  </si>
  <si>
    <t>Differences in the effectiveness of individual‐level smoking cessation interventions by socioeconomic status</t>
  </si>
  <si>
    <t>- Background People from lower socioeconomic groups are more likely to smoke and less likely to succeed in achieving abstinence, making tobacco smoking a leading driver of health inequalities. Contextual factors affecting subpopulations may moderate the efficacy of individual‐level smoking cessation interventions. It is not known whether any intervention performs differently across socioeconomically‐diverse populations and contexts. Objectives To assess whether the effects of individual‐level smoking cessation interventions on combustible tobacco cigarette use differ by socioeconomic groups, and their potential impact on health equalities. Search methods We searched the Cochrane Database of Systematic Reviews from inception to 1 May 2023 for Cochrane reviews investigating individual‐level smoking cessation interventions. We selected studies included in these reviews that met our criteria. We contacted study authors to identify further eligible studies. Selection criteria We included parallel, cluster or factorial randomised controlled trials (RCTs) investigating any individual‐level smoking cessation intervention which encouraged complete cessation of combustible tobacco cigarette use compared to no intervention, placebo, or another intervention in adults. Studies must have assessed or reported smoking quit rates, split by any measure of socioeconomic status (SES) at longest follow‐up (≥ six months), and been published in 2000 or later. Data collection and analysis We followed standard Cochrane methods for screening, data extraction, and risk of bias assessment. We assessed the availability of smoking abstinence data by SES in lieu of selective reporting. The primary outcome was smoking cessation quit rates, split by lower and higher SES, at the longest follow‐up (≥ six months). Where possible, we calculated ratios of odds ratios (ROR) with 95% confidence intervals (CIs) for each study, comparing lower to higher SES. We pooled RORs by intervention type in random‐effects meta‐analyses, using the generic inverse‐variance method. We subgrouped by type of SES indicator and economic classification of the study country. We summarised all evidence in effect direction plots and categorised the intervention impact on health equality as: positive (evidence that the relative effect of the intervention on quit rates was greater in lower rather than higher SES groups), possibly positive, neutral, possibly neutral, possibly negative, negative, no reported statistically significant difference, or unclear. We evaluated certainty using GRADE. Main results We included 77 studies (73 from high‐income countries), representing 127,791 participants. We deemed 12 studies at low overall risk of bias, 13 at unclear risk, and the remaining 52 at high risk. Included studies investigated a range of pharmacological interventions, behavioural support, or combinations of these. Pharmacological interventions We found very low‐certainty evidence for all the main pharmacological interventions compared to control. Evidence on cytisine (ROR 1.13, 95% CI 0.73 to 1.74; 1 study, 2472 participants) and nicotine electronic cigarettes (ROR 4.57, 95% CI 0.88 to 23.72; 1 study, 989 participants) compared to control indicated a greater relative effect of these interventions on quit rates in lower compared to higher SES groups, suggesting a possibly positive impact on health equality. CIs for both estimates included the possibility of no clinically important difference and of favouring higher SES groups. There was a lower relative effect of bupropion versus placebo on quit rates in lower compared to higher SES groups, indicating a possibly negative impact on health equality (ROR 0.05, 95% CI 0.00 to 1.00; from 1 of 2 studies, 354 participants; 1 study reported no difference); however, the CI included the possibility of no clinically important difference. We could not determine the intervention impact of combination or single‐form nicotine replacement therapy on relative quit rates by SES. No studies on varenicline versus control were included. Behavioural interventions We found low‐certainty evidence of lower quit rates in lower compared to higher SES groups for print‐based self‐help (ROR 0.85, 95% CI 0.52 to 1.38; 3 studies, 4440 participants) and text‐messaging (ROR 0.76, 95% CI 0.47 to 1.23; from 3 of 4 studies, 5339 participants; 1 study reported no difference) versus control, indicating a possibly negative impact on health equality. CIs for both estimates included the possibility of no clinically important difference and of favouring lower SES groups. There was very low‐certainty evidence of quit rates favouring higher SES groups for financial incentives compared to balanced intervention components. However, the CI included the possibility of no clinically important difference and of favouring lower SES groups (ROR 0.91, 95% CI 0.45 to 1.85; from 5 of 6 studies, 3018 participants; 1 study reported no difference). This indicates a possibly negative impact on health equality. There was very low‐certainty evidence of no difference in quit rates by SES for face‐to‐face counselling compared to less intensive counselling, balanced components, or usual care. However, the CI included the possibility of favouring lower and higher SES groups (ROR 1.26, 95% CI 0.18 to 8.93; from 1 of 6 studies, 294 participants; 5 studies reported no difference), indicating a possibly neutral impact. We found very low‐certainty evidence of a greater relative effect of telephone counselling (ROR 4.31, 95% CI 1.28 to 14.51; from 1 of 7 studies, 903 participants; 5 studies reported no difference, 1 unclear) and internet interventions (ROR 1.49, 95% CI 0.99 to 2.25; from 1 of 5 studies, 4613 participants; 4 studies reported no difference) versus control on quit rates in lower versus higher SES groups, suggesting a possibly positive impact on health equality. The CI for the internet intervention estimate included the possibility of no difference. Although the CI for the telephone counselling estimate only favoured lower SES groups, most studies narratively reported no clear evidence of interaction effects. Authors' conclusions Currently, there is no clear evidence to support the use of differential individual‐level smoking cessation interventions for people from lower or higher SES groups, or that any one intervention would have an effect on health inequalities. This conclusion may change as further data become available. Many studies did not report sufficient data to be included in a meta‐analysis, despite having tested the association of interest. Further RCTs should collect, analyse, and report quit rates by measures of SES, to inform intervention development and ensure recommended interventions do not exacerbate but help reduce health inequalities caused by smoking. Plain language summary Do interventions to help adults stop smoking cigarettes work differently depending on people’s socioeconomic background? Key messages • We have little or no confidence in the evidence for all treatments. This means there is no clear evidence to support using different stop‐smoking interventions for people from lower versus higher socioeconomic groups, or that any one intervention would have an effect on health inequalities. However, this conclusion may change as more research becomes available. • More studies that report quit rates by socioeconomic status for each study group are needed. Quitting smoking and differences in socioeconomic status Smoking is the leading risk factor for disease and premature death, killing one in two users and eight million people worldwide every year. People who smoke are at increased risk of heart disease, lung disease, and cancer. Many different types of treatments can help people quit smoking. These treatments include medication or behavioural support, such as counselling, and can be delivered in diverse ways. People from lower socioeconomic groups (e.g. people living on lower incomes, who are unemployed, or who have lower levels of education) are more likely to smoke but less likely to quit with the help of curren treatments compared to people from higher socioeconomic groups. Potential impact of quitting smoking on health inequalities Health inequalities are differences in health between groups of people. As smoking is uniquely harmful and deadly, higher numbers of people smoking leads to unequal smoking‐related disease and death in disadvantaged groups. This makes smoking a leading driver of health inequalities. Quitting smoking is vital to reduce this risk and also to reduce differences in health between people from different socioeconomic groups. What did we want to find out? We wanted to know whether current treatments to help adults quit smoking tobacco cigarettes work better or worse in people from different socioeconomic groups, and their potential impact on health equalities. What did we do? We searched for studies that looked at any treatments an adult (aged 18 years or older) might use to help them stop smoking tobacco cigarettes. We looked for randomised controlled trials, where people were randomly assigned to different treatment groups. We compared and summarised study results on the number of people who quit smoking after at least six months, in lower compared to higher socioeconomic groups. We then categorised the potential impact of the intervention on health equality. We rated our confidence in the evidence based on factors such as study methods and sizes. What did we find? We found 77 studies reporting on 127,791 adults who smoke. They investigated a range of medications and behavioural support to help people stop smoking. Seventy‐three studies were conducted in high‐income countries. What are the main results of our review? Nicotine electronic cigarettes and cytisine (a medicine) each had a greater effect on quit rates in lower rather than higher socioeconomic groups. This suggests each of these interventions may have a possibly positive impact on health equality compared to the control intervention. We found that bupropion (an antidepressant) had a greater effect on quit rates in higher rather than lower socioeconomic groups, indicating a possibly negative impact on health equality. The evidence on nicotine replacement therapy was unclear, and no evidence was available for varenicline (a medicine). However, we are very uncertain about these results. Evidence on print‐based self‐help materials, text‐messaging, and financial incentives to stop smoking suggested lower quit rates in lower socioeconomic groups compared to higher groups. This suggests that these interventions have a possibly negative impact on health equality, compared to control. Evidence on face‐to‐face counselling suggested no difference between socioeconomic groups, while telephone counselling and internet‐based interventions showed a greater effect on quit rates in lower compared to higher socioeconomic groups. Again, we have limited confidence in these results. What are the limitations of the evidence? We have little to no confidence in the findings due to: (1) the small numbers of studies; (2) variations in intervention impact on health equality between studies; (3) issues with the design or conduct of studies; and (4) limited data on the number of people who quit smoking by socioeconomic status by study group, which prevented further analyses. More evidence may change or strengthen our findings. How current is this evidence? The evidence is current to 1 May 2023.</t>
  </si>
  <si>
    <t>comparison and outcomes (could exaclude - no clear evidence to support the use of differential individual‐level smoking cessation interventions for people from lower or higher SES group)</t>
  </si>
  <si>
    <t>J6259</t>
  </si>
  <si>
    <t>Using routine primary care data in research: (in)efficient case studies and perspectives from the Asthma UK Centre for Applied Research</t>
  </si>
  <si>
    <t>Aim We aimed to identify enablers and barriers of using primary care routine data for healthcare research, to formulate recommendations for improving efficiency in knowledge discovery. Background Data recorded routinely in primary care can be used for estimating the impact of interventions provided within routine care for all people who are clinically eligible. Despite official promotion of 'efficient trial designs', anecdotally researchers in the Asthma UK Centre for Applied Research (AUKCAR) have encountered multiple barriers to accessing and using routine data. Methods Using studies within the AUKCAR portfolio as exemplars, we captured limitations, barriers, successes, and strengths through correspondence and discussions with the principal investigators and project managers of the case studies. Results We identified 14 studies (8 trials, 2 developmental studies and 4 observational studies). Investigators agreed that using routine primary care data potentially offered a convenient collection of data for effectiveness outcomes, health economic assessment and process evaluation in one data extraction. However, this advantage was overshadowed by time-consuming processes that were major barriers to conducting efficient research. Common themes were multiple layers of information governance approvals in addition to the ethics and local governance approvals required by all health service research; lack of standardisation so that local approvals required diverse paperwork and reached conflicting conclusions as to whether a study should be approved. Practical consequences included a trial that over-recruited by 20% in order to randomise 144 practices with all required permissions, and a 5-year delay in reporting a trial while retrospectively applied regulations were satisfied to allow data linkage. Conclusions Overcoming the substantial barriers of using routine primary care data will require a streamlined governance process, standardised understanding/application of regulations and adequate National Health Service IT (Information Technology) capability. Without policy-driven prioritisation of these changes, the potential of this valuable resource will not be leveraged. Copyright © Author(s) (or their employer(s)) 2025. Re-use permitted under CC BY-NC. No commercial re-use. See rights and permissions. Published by BMJ Group.</t>
  </si>
  <si>
    <t>primary care (data)</t>
  </si>
  <si>
    <t>no relevant outcomes - enablers and barriers</t>
  </si>
  <si>
    <t>J6260</t>
  </si>
  <si>
    <t>Patient screening and assessment for home dialysis therapies: A scoping review</t>
  </si>
  <si>
    <t>Background: Home dialysis therapies have limited uptake in most regions despite recognized benefits such as increasing patients' independence, and several domains of quality of life with cost savings in some systems. Objective(s): To perform a scoping review of published literature to identify tools and guides used in systematically screening and assessing patient suitability for home dialysis. A secondary objective was to explore barriers and enablers associated with the home dialysis assessment process. It is important to identify gaps in current research to pose pertinent questions for future work in the field. Design(s): Online databases Embase, Medline (Ovid), and CINAHL were used to identify articles published between January 2007 to May 2023. A total of 23 peer-reviewed primary and secondary studies that investigated screening or selection for patients &gt; 18 years old with kidney failure for home dialysis met the study inclusion criteria. Result(s): The studies consisted of secondary studies (n = 10), observational studies (n = 8), and survey-based studies (n = 5). The major themes identified that influence patient screening and assessment for home dialysis candidacy included: screening tools and guidelines (n = 8), relative contraindications (n = 4), patient or program education (n = 9), and socioeconomic factors (n = 2). Limitation(s): Consistent with the scoping review methodology, the methodological quality of included studies was not assessed. The possible omission of evidence in languages other than English is a limitation. Conclusion(s): This scoping review identified tools and factors that potentially guide the assessment process for home dialysis candidacy. Patient screening and assessment for home dialysis requires a comprehensive evaluation of clinical, psychosocial, and logistical factors. Further research is required to validate and refine existing tools to establish standardized patient screening criteria and evaluation processes. Up-to-date training and education for healthcare providers and patients are needed to improve the utilization of home dialysis and ensure optimal outcomes. Copyright © The Author(s) 2024.</t>
  </si>
  <si>
    <t>J6261</t>
  </si>
  <si>
    <t>Physical rehabilitation approaches for the recovery of function and mobility following stroke</t>
  </si>
  <si>
    <t>- Background Various approaches to physical rehabilitation to improve function and mobility are used after stroke. There is considerable controversy around the relative effectiveness of approaches, and little known about optimal delivery and dose. Some physiotherapists base their treatments on a single approach; others use components from several different approaches. Objectives Primary objective: To determine whether physical rehabilitation is effective for recovery of function and mobility in people with stroke, and to assess if any one physical rehabilitation approach is more effective than any other approach. Secondary objective: To explore factors that may impact the effectiveness of physical rehabilitation approaches, including time after stroke, geographical location of study, intervention dose/duration, intervention provider, and treatment components. Stakeholder involvement: Key aims were to clarify the focus of the review, inform decisions about subgroup analyses, and co‐produce statements relating to key implications. Search methods For this update, we searched the Cochrane Stroke Trials Register (last searched November 2022), CENTRAL (2022, Issue 10), MEDLINE (1966 to November 2022), Embase (1980 to November 2022), AMED (1985 to November 2022), CINAHL (1982 to November 2022), and the Chinese Biomedical Literature Database (to November 2022). Selection criteria Inclusion criteria: Randomised controlled trials (RCTs) of physical rehabilitation approaches aimed at promoting the recovery of function or mobility in adult participants with a clinical diagnosis of stroke. Exclusion criteria : RCTs of upper limb function or single treatment components. Primary outcomes: measures of independence in activities of daily living (IADL) and motor function. Secondary outcomes: balance, gait velocity, and length of stay. Data collection and analysis Two independent authors selected studies according to pre‐defined eligibility criteria, extracted data, and assessed the risk of bias in the included studies. We used GRADE to assess the certainty of evidence. Main results In this review update, we included 267 studies (21,838 participants). Studies were conducted in 36 countries, with half (133/267) in China. Generally, studies were heterogeneous, and often poorly reported. We judged only 14 studies in meta‐analyses as at low risk of bias for all domains and, on average, we considered 33% of studies in analyses of primary outcomes at high risk of bias. Is physical rehabilitation more effective than no (or minimal) physical rehabilitation? Compared to no physical rehabilitation, physical rehabilitation may improve IADL (standardised mean difference (SMD) 1.32, 95% confidence interval (CI) 1.08 to 1.56; 52 studies, 5403 participants; low‐certainty evidence) and motor function (SMD 1.01, 95% CI 0.80 to 1.22; 50 studies, 5669 participants; low‐certainty evidence). There was evidence of long‐term benefits for these outcomes. Physical rehabilitation may improve balance (MD 4.54, 95% CI 1.36 to 7.72; 9 studies, 452 participants; low‐certainty evidence) and likely improves gait velocity (SMD 0.23, 95% CI 0.05 to 0.42; 18 studies, 1131 participants; moderate‐certainty evidence), but with no evidence of long‐term benefits. Is physical rehabilitation more effective than attention control? The evidence is very uncertain about the effects of physical rehabilitation, as compared to attention control, on IADL (SMD 0.91, 95% CI 0.06 to 1.75; 2 studies, 106 participants), motor function (SMD 0.13, 95% CI ‐0.13 to 0.38; 5 studies, 237 participants), and balance (MD 6.61, 95% CI ‐0.45 to 13.66; 4 studies, 240 participants). Physical rehabilitation likely improves gait speed when compared to attention control (SMD 0.34, 95% CI 0.14 to 0.54; 7 studies, 405 participants; moderate‐certainty evidence). Does additional physical rehabilitation improve outcomes? Additional physical rehabilitation may improve IADL (SMD 1.26, 95% CI 0.82 to 1.71; 21 studies, 1972 participants; low‐certainty evidence) and motor function (SMD 0.69, 95% CI 0.46 to 0.92; 22 studies, 1965 participants; low‐certainty evidence). Very few studies assessed these outcomes at long‐term follow‐up. Additional physical rehabilitation may improve balance (MD 5.74, 95% CI 3.78 to 7.71; 15 studies, 795 participants; low‐certainty evidence) and gait velocity (SMD 0.59, 95% CI 0.26 to 0.91; 19 studies, 1004 participants; low‐certainty evidence). Very few studies assessed these outcomes at long‐term follow‐up. Is any one approach to physical rehabilitation more effective than any other approach? Compared to other approaches, those that focus on functional task training may improve IADL (SMD 0.58, 95% CI 0.29 to 0.87; 22 studies, 1535 participants; low‐certainty evidence) and motor function (SMD 0.72, 95% CI 0.21 to 1.22; 20 studies, 1671 participants; very low‐certainty evidence) but the evidence in the latter is very uncertain. The benefit was sustained long‐term. The evidence is very uncertain about the effect of functional task training on balance (MD 2.16, 95% CI ‐0.24 to 4.55) and gait velocity (SMD 0.28, 95% CI ‐0.01 to 0.56). Compared to other approaches, neurophysiological approaches may be less effective than other approaches in improving IADL (SMD ‐0.34, 95% CI ‐0.63 to ‐0.06; 14 studies, 737 participants; low‐certainty evidence), and there may be no difference in improving motor function (SMD ‐0.60, 95% CI ‐1.32 to 0.12; 13 studies, 663 participants; low‐certainty evidence), balance (MD ‐0.60, 95% CI ‐5.90 to 6.03; 9 studies, 292 participants; low‐certainty evidence), and gait velocity (SMD ‐0.17, 95% CI ‐0.62 to 0.27; 16 studies, 630 participants; very low‐certainty evidence), but the evidence is very uncertain about the effect on gait velocity. For all comparisons, the evidence is very uncertain about the effects of physical rehabilitation on adverse events and length of hospital stay. Authors' conclusions Physical rehabilitation, using a mix of different treatment components, likely improves recovery of function and mobility after stroke. Additional physical rehabilitation, delivered as an adjunct to 'usual' rehabilitation, may provide added benefits. Physical rehabilitation approaches that focus on functional task training may be useful. Neurophysiological approaches to physical rehabilitation may be no different from, or less effective than, other physical rehabilitation approaches. Certainty in this evidence is limited due to substantial heterogeneity, with mainly small studies and important differences between study populations and interventions. We feel it is unlikely that any studies published since November 2022 would alter our conclusions. Given the size of this review, future updates warrant consensus discussion amongst stakeholders to ensure the most relevant questions are explored for optimal decision‐making. Plain language summary How effective are different physical rehabilitation approaches in the recovery of function, balance, and walking after stroke? Key messages For people who have had a stroke: ‐ Physical rehabilitation may improve daily activities, moving legs, balance, and walking, when compared to no physical rehabilitation. There may be greater benefits when more than 2.5 hours/week of physical rehabilitation is delivered. ‐ Extra physical rehabilitation, given in addition to 'usual' physical rehabilitation, may also improve outcomes. The greater the amount of extra physical rehabilitation, the greater the benefit may be. ‐ Physical rehabilitation focussed on functional task training (the active practice of real‐life tasks with the aim of acquiring ‐ or reacquiring ‐ a movement skill) may improve daily activities and movement. Why is it important to review the evidence on this topic? Stroke can cause paralysis of some parts of the body and can create difficulties with physical functions. Over the years, various approaches to physical rehabilitation have been developed, based on ideas about how people recover after a stroke. Often, physiotherapists will ch ose one particular approach, based on their clinical experience and the rationale, but clear research evidence is lacking. This means that techniques used by individual physiotherapists may differ (e.g. one may provide strengthening exercises, while another may focus on passive movements). Historically, a number of named physical rehabilitation approaches (e.g. the ‘Bobath’ approach) have been used; together we call these neurophysiological approaches, as they were developed based on knowledge and theories relating to the function and recovery of the nervous system. It is important to help physiotherapists select the approach that will help their patients gain the best recovery. Note: Physiotherapist/physiotherapy can be called physical or rehabilitation therapist/therapy, meaning the same. We use the term physical rehabilitation and describe the person providing physical rehabilitation as a therapist. What did we want to find out? We wanted to know: ‐ Are physical rehabilitation approaches effective in the recovery of function and mobility in people with stroke? ‐ Is one physical rehabilitation approach more effective than another approach? What did we do? We searched for relevant studies, called randomised controlled trials. We brought together studies in which people who had a stroke received physical rehabilitation with the goal of improving the ability to walk and carry out activities of daily living. We were interested in different approaches to physical rehabilitation (i.e. a programme of treatment based on a particular scientific rationale). These approaches might involve therapist‐delivered, group, or remote treatment. Therapists may select specific treatments/exercises according to individual patient needs, or deliver standard exercises based on the stage of patient recovery. We excluded studies that only looked at 'single' treatments (e.g. electrical stimulation, robotic device) or were focused only on arm function. What did we find? We found 267 studies, which included 21,838 people with stroke. Studies were from 36 different countries, but half (133 studies) were carried out in China. One hundred and five studies looked at whether physical rehabilitation was better than no physical rehabilitation. Most of these studies were carried out in hospital in‐patient settings in China where physical rehabilitation was not part of routine care, but a few were carried out in outpatient settings after the patient had been discharged from routine physical rehabilitation. These studies showed that physical rehabilitation may improve a person's ability to carry out activities of daily living, move the legs, remain balanced, and walk, in comparison to no physical rehabilitation. Fifty‐six studies looked at the effect of giving extra, or additional, physical rehabilitation. Everyone in these studies received their usual physical rehabilitation, but one group of stroke survivors received some additional treatment based on a particular physical rehabilitation approach. These studies showed that additional physical rehabilitation may improve the ability to carry out activities of daily living, move the legs, remain balanced, and walk; the greater the amount of additional rehabilitation, the greater the possible benefit. Ninety‐two studies compared different physical rehabilitation approaches. There were many variations in the types and amount of physical rehabilitation, and the types of people (e.g. different lengths of time post‐stroke). These studies showed that physical rehabilitation that focused on functional task training may improve the ability to carry out activities of daily living and move the legs (but not balance or walking). Neurophysiological approaches to physical rehabilitation may be less effective than other approaches at improving daily activities (but no different for other outcomes). For all comparisons, there was very limited information about potential adverse events relating to physical rehabilitation. Few studies took long‐term follow‐up measurements after the physical rehabil tation had stopped. What are the limitations of the evidence? There were large variations between participants, interventions, outcomes, and comparisons in the studies included in this review. There were also geographical and cultural differences that may influence the results. Generally, the reporting of the details of these studies was very poor. These issues mean that we have limited confidence in the results of our statistical analyses. How up‐to‐date is this evidence? The evidence is up‐to‐date to November 2022. It is unlikely that any studies published since November 2022 would alter our conclusions.</t>
  </si>
  <si>
    <t>J6262</t>
  </si>
  <si>
    <t>A quality improvement project to re-design the Fibromyalgia Living Well Programme in Musculoskeletal Physiotherapy Services at Solent NHS Trust</t>
  </si>
  <si>
    <t>Purpose: A low patient attendance rate was identified at the Fibromyalgia Living Well programme in Solent NHS Trust - a 6-week self-management programme set up in June 2021, based on the Bath Outpatient Fibromyalgia Self-Management Programme. Whilst recognised as being a similar DNA rate to other units reported outcomes, review of the service provision to ensure cost effectiveness whilst maintaining patient care was required. The objective was as follows: by 1&lt;sup&gt;st&lt;/sup&gt; December 2023, 100% of fibromyalgia patients referred to the programme and whom opted to attend, will attend every session. Method(s): A quality improvement project using PDSA processes was carried out. Initial service evaluation covered process mapping, patient feedback and attendance statistics. The programme was benchmarked against other UK fibromyalgia services. Evidence and recommendations for management of fibromyalgia were reviewed. As a result, a single point of access for patients with long-term conditions including fibromyalgia was proposed, with more robust inclusion/exclusion criteria and stricter triaging of patients' mental health. Patients with fibromyalgia were offered to attend a one-off education session followed by an optional 5-week programme if they wished to attend. The programme content was revised to make it psychologically informed, following completion of Acceptance and Commitment Therapy training by the Physiotherapists. The education session and 5-week programme were then piloted. Result(s): Initial service evaluation that informed the programme change revealed that, between June 2021 to March 2023, 24 programmes took place. Non-attendance rates of patients at the initial session was 56% (177/318). Non-attendance was higher for face-to-face sessions than virtual (63% vs 45%). 28% of non-attendees stated they were too anxious to attend and 36% too unwell. There was a 74% average attendance rate at every session. Benchmarking revealed no one standardised UK treatment programme for patients with fibromyalgia. Some programmes include psychological input, as do other long-term condition services within Solent. Recommendations for the management of chronic pain include psychologically based treatments through multi-disciplinary team approaches and efforts have been focused in recent years on training non-psychologist practitioners to integrate psychological strategies (Coronado et al, 2020). Following the changes, 81% (13/16) of patients triaged attended the education session. 11 out of 13 opted to attend the 5-week programme. There was a 91% (10/11) attendance rate at the initial session with an 80% average attendance rate at every session. An increase in patients' confidence to self-manage their condition was found. Conclusion(s): A staged, opt in" approach to managing this group of patients, with improved triage of patients' mental health and upskilled clinicians, has been shown to improve attendance rates, with positive feedback from patients. Future work includes updating and digitalizing the Fibromyalgia Living Well programme booklet. Impact: This project has improved the patient pathway for long term conditions in primary care, incorporating shared decision making and improving coordination of care and patient experience, in line with the NHS Long Term Plan. Funding acknowledgements: Not funded. Keywords: Fibromyalgia, Physiotherapy, Pathway Copyright © 2025"</t>
  </si>
  <si>
    <t>Solent NHS Trust</t>
  </si>
  <si>
    <t>J6263</t>
  </si>
  <si>
    <t>QbTest for ADHD assessment and medication management: A mixed-methods systematic review of impact on clinical outcomes and patient, carer and clinician experiences</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</si>
  <si>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 Author(s) (or their employer(s)) 2025. Re-use permitted under CC BY. Published by BMJ Group.</t>
  </si>
  <si>
    <t>Not cash releasing (vague mention of reducing costs)</t>
  </si>
  <si>
    <t>J6264</t>
  </si>
  <si>
    <t>The Post Op: Delivering the final mile of ERAS in Surgery"</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</si>
  <si>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 2024"</t>
  </si>
  <si>
    <t>hospitals/community</t>
  </si>
  <si>
    <t>No shift - could be community/digital</t>
  </si>
  <si>
    <t>J6265</t>
  </si>
  <si>
    <t>The Cost Effectiveness of Elective Surgical Procedures with Longer NHS Waiting Lists: A Targeted Review</t>
  </si>
  <si>
    <t>Objectives</t>
  </si>
  <si>
    <t>J6266</t>
  </si>
  <si>
    <t>Impact Assessment of Covid19 pandemic on operational aspect of national tuberculosis elimination program in Bhavnagar district</t>
  </si>
  <si>
    <t>Purpose: India account more than one forth tuberculosis cases. Covid 19 affect health condition like tuberculosis. We aim to assess impact of covid 19 on National Tuberculosis Elimination Program. Method(s): In depth interviews of district tuberculosis officer, private practitioner and tuberculosis patients (who registered in District Tuberculosis Centre during April 2020-September2020) were conducted in Bhavnagar district. Notification rate during covid 19 was obtained from District Tuberculosis Centre of Bhavnagar district. All interviews were audio-recorded after obtaining written informed consent, transcribed in English, and analyzed in the form of codes and categories. Result(s): Health care providers perceived covid 19 lockdowns, fear among patients, difficult transportation, diversion of resources and reduced concerns towards tuberculosis were the reason for low notification during the COVID-19 pandemic. Conclusion(s): COVID-19 lockdown had detrimental effects on notification rate. During such testing time patients felt proper supervision by front line worker, no issued in direct benefit transfer for nutrition support and adequate supply of medicine. Telemedicine, awareness through social media, collaboration with other agencies, bidirectional screening implementation, coping of covid 19 fear among patients, separate tuberculosis facility were the expectation from higher authority if next wave of covid 19 will come. Future studies can evaluate the feasibility, impact, and cost-effectiveness of such interventions. Copyright © 2024</t>
  </si>
  <si>
    <t>district tuberculosis centre</t>
  </si>
  <si>
    <t>J6267</t>
  </si>
  <si>
    <t>Experiences of support to return to work after stroke: longitudinal case studies from RETAKE trial</t>
  </si>
  <si>
    <t>Background: Returning to work after stroke has physical, psychological and financial benefits for stroke survivors. However, global evidence estimates return-to-work rates 1 year post stroke at &lt; 50%. Although its importance is acknowledged by policy-makers and healthcare providers, vocational rehabilitation is not always part of National Health Service usual care post stroke. Currently, there is limited evidence of the effectiveness of return-to-work support interventions. RETurn to work After stroKE was a multicentre individually randomised controlled pragmatic trial, with embedded process and health economic evaluations. RETurn to work After stroKE aimed to establish whether Early Stroke Specialist Vocational Rehabilitation plus usual care improves the likelihood of return to work at 12 months post stroke compared to usual care alone. As part of an embedded process evaluation, longitudinal case studies enabled exploration of participants' experiences of support to return to work in the trial. Objective(s): This article aims to understand participants' experiences of being supported to return to work and explores the social and structural factors which support, or act as barriers to, implementation of the Early Stroke Specialist Vocational Rehabilitation intervention. Method(s): A longitudinal case-study approach was used to compare experiences of post-stroke return-to-work support received over 12 months by 15 participants who received the Early Stroke Specialist Vocational Rehabilitation intervention plus usual care, and 11 participants who received usual care only. Data were gathered at three time points using follow-up questionnaires, health records, intervention delivery records and semistructured interviews with participants and seven nominated informal carers. Interviews were also conducted with 1 employer and 11 occupational therapists delivering the intervention. Setting(s): Sixteen National Health Service sites across England and Wales. Finding(s): In the intervention arm, stroke survivors, carers and employers reported benefits from information and support from the treating occupational therapist to facilitate acceptance of, and adaptation to, post-stroke abilities. Participants also valued occupational therapists' provision of sustained and tailored vocational rehabilitation, co-ordinating their care and advocating for them in return-to-work discussions with their employers. Those unable to return to their previous employment were supported to consider alternative options. In contrast, participants who received usual care only reported feeling abandoned when community rehabilitation support ended, typically after 2-8 weeks. Usual care largely focused on restoring physical function, leaving these participants struggling to find return-to-work information, advice and support. Longitudinal case studies enabled psychosocial and environmental factors impacting on participants' return-to-work experiences to be considered. Limitation(s): Recruitment to the process evaluation was impacted by the COVID-19 pandemic. It proved difficult to recruit employers for interview, and fewer women participated in the case studies (21 men, 5 women). Direct observation of intervention delivery could not be carried out as planned due to pandemic restrictions on access to clinical areas. Conclusion(s): These case studies highlighted self-reported differences between recipients of the Early Stroke Specialist Vocational Rehabilitation intervention plus usual care and participants allocated to usual care only. Aspects perceived as important in underpinning the differences in support included the length of Early Stroke Specialist Vocational Rehabilitation intervention, occupational therapist advocacy, employer liaison and ongoing workplace monitoring. Provision of these core components as part of post-stroke services may support and help to sustain return to work, with associated benefits for stroke survivors and wider society. Funding(s): This article presents independent research funded by the National Institute for Health and Care Research (NIHR) Health Technology Assessment programme as award number 15/130/11.</t>
  </si>
  <si>
    <t>community (work)</t>
  </si>
  <si>
    <t>more quali</t>
  </si>
  <si>
    <t>J6268</t>
  </si>
  <si>
    <t>Cost-effectiveness of a group psychological intervention for postnatal depression in British south Asian women: an economic evaluation from the ROSHNI-2 trial</t>
  </si>
  <si>
    <t>Background: Minority ethnic groups often face ethnocultural barriers in accessing mental health treatments. The ROSHNI-2 trial compared culturally adapted cognitive behavioural therapy (Positive Health Programme [PHP]) with treatment as usual for postnatal depression in British south Asian women. We aimed to assess the cost-effectiveness of the PHP intervention. Method(s): The ROSHNI-2 trial was a multicentre, two-arm, assessor-blinded, randomised controlled trial; we conducted an economic evaluation over a 12-month period to assess the cost-effectiveness of PHP plus treatment as usual versus treatment as usual alone from the perspective of the English National Health Service and personal social services. In the trial, British south Asian women aged 16 years or older with a child aged up to 12 months, and meeting DSM-5 criteria for depression, were recruited from northwest England, Yorkshire, the East Midlands, and London. The PHP intervention involved 12 group sessions delivered by two trained bilingual facilitators, held once per week for 2 months and once per fortnight thereafter, each lasting 60-90 min. Questionnaires on depression symptoms, quality of life, and resource use were completed at baseline, 4 months (end of intervention), and 12 months after random assignment. Quality-adjusted life-years (QALYs) were used for the cost-utility analysis, and recovery from depression at 4 months (the primary clinical outcome), assessed using the Hamilton Rating Scale for Depression, informed the cost-effectiveness analysis. After the onset of the COVID-19 pandemic, the intervention was adapted for online delivery for the remaining participants. A stratified analysis compared the cost-effectiveness of online versus in-person delivery. The trial involved researchers with lived experience, and all methods, including health economic measures, were developed in consultation with service users, community members, and faith leaders. This is a preplanned analysis of the ROSHNI-2 trial, registered with ISRCTN (ISRCTN10697380). Finding(s): From Feb 8, 2017, to March 29, 2020, 732 eligible women were enrolled: 368 participants were randomly assigned to the PHP arm and 364 to the treatment as usual arm. The base-case intention-to-treat analysis showed that PHP significantly increased costs (712, 95% CI 311 to 1113) and QALYs (0.036, 95% CI 0.006 to 0.067), with an incremental cost-effectiveness ratio of 19 601 (7622 to 83 772). Based on the UK National Institute for Health and Care Excellence (NICE) maximum willingness-to-pay threshold of 30 000 per QALY, the likelihood of PHP being cost-effective was 77% from a health and social care perspective. Cost per remission from depression at the 4-month follow-up was 5509 (2916 to 17 860). In a stratified analysis of 34 participants attending online sessions during the pandemic, incremental QALY effects were 0.125 (0.048 to 0.203), resulting in costs of 202 (-3906 to 10 918) per additional QALY gained. Interpretation(s): The average cost of PHP for postpartum women was below the lower end of the NICE threshold of 20 000-30 000 per QALY, excluding benefits to the child or potential gains such as reduced lost productivity from early remission. PHP, a culturally adapted group cognitive behavioural therapy-based intervention, might be a cost-effective intervention for postnatal depression in British south Asian women. Online PHP delivery showed promising clinical and cost-effective results for this group but requires a large-scale study. Funding(s): UK National Institute for Health and Care Research. Copyright © 2025 Elsevier Ltd</t>
  </si>
  <si>
    <t>J6269</t>
  </si>
  <si>
    <t>Naloxone Distribution Models in the United States: A Scoping Review</t>
  </si>
  <si>
    <t>&lt;b&gt;BACKGROUND&lt;/b&gt;: Increasing naloxone distribution is a high priority means to mitigating opioid overdose rates in the United States. Since a variety of naloxone distribution models exist, with differences in infrastructure and funding between states and health-systems, it is important to review their differences and understand the strengths and barriers to widespread implementation of each model._x000D_
&lt;b&gt;METHODS&lt;/b&gt;: The following 4 databases were searched for articles reporting on naloxone distribution models: (1) PubMed/Medline (National Library of Medicine), (2) Embase (Elsevier), (3) Scopus (Elsevier), and (4) the Cochrane library. Reports from all years written in English that discussed naloxone distribution models in the United States were included, as were all study designs._x000D_
&lt;b&gt;RESULTS&lt;/b&gt;: Of 5825 articles initially identified, 173 were selected for full text review. Of these, 49 met full criteria and were included for data extraction and analysis. Most distribution models occurred in community-based opioid education and naloxone distribution programs and in community pharmacies via a standing order/statewide protocol. Most programs reported strengths related to feasibility, but frequently reported cost as a limitation. Fewer studies described distribution models in ambulatory care or hospital settings, though these studies also highlighted strengths related to feasibility, particularly with support from working partners, and when utilizing an interprofessional care approach. Few studies reported health/economic outcomes data associated with naloxone distribution, such as changes in the number of patient/layperson access, the number of opioid overdose reversals, or cost-savings._x000D_
&lt;b&gt;CONCLUSIONS&lt;/b&gt;: This review outlines the many ways in which naloxone is distributed in the United States and emphasizes a need for improved outcomes data collecting/reporting in the various settings where naloxone is distributed. This would allow for future studies to evaluate which distribution model factors are associated with improvements in health outcomes, such as increased layperson access, and lower opioid overdose/mortality rates.</t>
  </si>
  <si>
    <t>J6270</t>
  </si>
  <si>
    <t>Economic Optimization Through Adherence to Best Practice Guidelines: A Decision Analysis of Traumatic Spinal Cord Injury Care Pathways in Australia</t>
  </si>
  <si>
    <t>Traumatic spinal cord injuries (TSCIs) have significant health, economic, and social effects on individuals, families, and society. In this economic analysis modeling study, we used record-linked administrative patient data from New South Wales, Australia, to construct a decision tree model to compare the economic cost of acute care for patients with TSCI under current clinical pathways with an optimal care (consensus guidelines-informed) modeled pathway. The optimal care pathway included direct transfer to a specialist SCI Unit (SCIU) or indirect transfer to SCIU within 24 h of injury, surgical intervention within 12 h of injury, and subsequent inpatient rehabilitation. Propensity score matching with inverse probability of treatment weighting (IPTW) was used to reduce potential confounding from baseline differences in patient characteristics. A generalized linear model regression with gamma distribution and log link, weighted with IPTW scores, was used for cost and length of stay (LoS) estimations to reduce any residual bias. Sensitivity analyses quantified the sensitivity of the findings to key model parameters. From the healthcare payer perspective, our economic analysis found acute TSCI care at an SCIU was more expensive, with delayed patient transfer pathways, surgery, and timing of surgery driving higher per-patient costs ($14,322 at specialist centers). Probabilistic sensitivity analysis (PSA) using 10,000 Monte Carlo iterations showed the modeled optimal pathway as the expensive option in the majority (86%) of stimulations. However, the modeled direct transfer care pathway demonstrated economic improvements compared to current care pathways, despite a higher upfront cost ($25,428 per patient), the modeled pathway reduced the episode LoS by 5 days (23 days vs. 28 days) on average, generating system-level savings of $20,628 per patient. In PSA, increasing the proportion of patients directly transferred to SCIU by 25%, the optimized pathway was preferred in 28.3% of the simulations. Furthermore, adopting this pathway lowered the incremental per patient cost to $17,157 while preserving a 5-day LoS benefit compared to current pathways (22 days vs. 27 days), which could generate potential savings of $3,471 per patient. Our findings show that guideline-based acute care management is initially resource-intensive but efficient in terms of patient LoS, with a higher proportion of direct transfers resulting in cost savings of $3,471 per patient, which represent system-level benefits from adopting the modeled pathway, rather than episode-level savings. Following consensus guidelines for acute care can provide an economically sustainable approach to resource-intensive patient needs while improving outcomes, as demonstrated in previous studies. In summary, while more intensive, adhering to clinical guidelines of direct transfer to SCIU demonstrates value for patients and health systems. Standardization to optimize time to surgery can achieve improved outcomes through earlier access to rehabilitation and substantial care efficiencies. These findings highlight the economic case for adherence to best practice care guidelines at the healthcare system level to inform future healthcare planning for patients with TSCI. Copyright 2025, Mary Ann Liebert, Inc., publishers.</t>
  </si>
  <si>
    <t>cost saving (in Aus)</t>
  </si>
  <si>
    <t>J6271</t>
  </si>
  <si>
    <t>The structural and organizational aspects of human papillomavirus vaccine affecting immunization coverage in Europe: a systematic review</t>
  </si>
  <si>
    <t>The introduction of HPV vaccinations, that can prevent most prevalent HPV-related cancers of various body districts, is a public health milestone. Despite broad immunization programs, European Health Systems face structural and organizational difficulties that hinder care. This study examined structural and organizational elements that may affect HPV vaccine coverage. We searched numerous databases from January 1, 1995 to May 15, 2023, for literature on HPV immunization research methodologies. Structural and Organizational aspects that cause HPV vaccine concerns in women and men were examined in the outcome evaluations and the research examined vaccination willingness factors. Ottawa, JBI's critical appraisal tool, and Amstar quality assessment assessed bias. A total of 10 articles from 312 studies met the inclusion criteria. Studies were undertaken in Italy, Belgium, England, Switzerland, France, the UK, and Spain. There were also combined-diverse studies in 15 and 27 European countries. Several primary healthcare strategies have increased HPV vaccination rates. These include vaccine procurement and cost-effectiveness, school-based immunization programs, electronic health databases, health professional training, health education and communication, and monitoring and surveillance. Copyright © 2025. The Author(s).</t>
  </si>
  <si>
    <t>J6272</t>
  </si>
  <si>
    <t>Post‐incident debriefing for people with schizophrenia after coercive measures</t>
  </si>
  <si>
    <t>- Background Schizophrenia and schizophrenia‐type psychosis, severe mental illnesses globally impacting millions, present a dual challenge with their characteristic positive and negative symptoms, economic burdens, and heightened susceptibility to coercive measures. These measures, including seclusion and restraint, raise ethical concerns despite their intent to ensure safety, particularly during acute stages marked by violent behaviour. Addressing this backdrop, the significance of post‐incident debriefing as an intervention to curtail the use and duration of coercive measures and alleviate the negative psychological effects of using these methods in managing individuals with schizophrenia is underscored. The employment of coercive measures, such as physical restraint and seclusion, to manage aggressive behaviour in psychiatric settings necessitates a thorough examination of their ethical implications and potential psychological harm. Although post‐incident debriefing is recommended, the limited evidence supporting its efficacy and concerns about its impact on psychological well‐being prompt a comprehensive analysis of existing literature. Objectives To investigate the effects of post‐incident debriefing after coercive measures for people with schizophrenia or schizophrenia‐type psychosis. Search methods The Information Specialist conducted searches of the Cochrane Schizophrenia Specialised Register (compiled from searches of CENTRAL, MEDLINE, Embase, PubMed, CINAHL, PsycINFO, ClinicalTrials.gov, WHO ICTRP, ISRCTN, ProQuest Dissertations and Theses A&amp;I) on 28 February 2023. We also inspected the references of all identified studies. Selection criteria We included all randomised controlled trials (RCTs) of post‐incident debriefing after coercive measures in adult psychiatric care with participants diagnosed with schizophrenia or schizophrenia‐type psychosis, encompassing various clinical states and stages. We considered studies if the post‐incident debriefing was the only intervention randomised. Data collection and analysis At least two authors inspected the citations, selected studies, extracted data and conducted quality appraisal. We calculated a standard estimation of the risk ratio (RR) and its 95% confidence interval (CI) for binary outcomes and the mean difference (MD) with 95% CI for continuous outcomes. We assessed study risk of bias and used the GRADE approach to create a summary of findings table. Main results We included one study; the total number of participants randomised was 422, of which 109 participated. Participants were between 18 and 65 years old with psychotic disorder, at the acute stage of their illness, and had experienced at least one coercive measure during their hospital stay. The study included a standardised post‐coercion review that was conducted until the discharge of the participant. For the primary outcome, we found that there may be an increased risk of being secluded again for those receiving post‐incident debriefing compared to treatment as usual, but the evidence is very uncertain (RR 1.32, 95% CI 0.74 to 2.33; 1 study, 109 participants; very low‐certainty evidence). No evidence was found that post‐incident debriefing had an effect in reducing peritraumatic distress (MD ‐1.62, 95% CI ‐7.47 to 4.23; 1 study, 82 participants; very low‐certainty evidence) or increasing satisfaction with care (perceived coercion: MD ‐0.37, 95% CI ‐1.59 to 0.85; 1 study, 109 participants; coercion experience: MD ‐1.61, 95% CI ‐13.36 to 10.14; 1 study, 109 participants; very low‐certainty evidence) compared to treatment as usual. The evidence is very uncertain about the effect of post‐incident debriefing on these outcomes. No usable data were available for change in patient behaviour or adverse effects. Authors' conclusions Considering the available evidence, it is not possible to arrive at definitive conclusions that post‐incident debriefing after coercive measures is effective for people with schizophrenia or schizophrenia‐type psychosis. F rther high‐quality studies are warranted to evaluate the effects of post‐incident debriefing in psychiatric inpatient care. Plain language summary Is post‐incident debriefing after coercive measures for people with schizophrenia effective? Key messages • Due to a lack of evidence, the benefits of post‐incident debriefing after coercive measures (seclusion: locking someone in a separate room, or restraint: preventing them from moving) for people with schizophrenia or schizophrenia‐type psychosis are unclear. • Future research is needed into the effects of post‐incident debriefing after coercive measures to find out whether it has benefits for people with schizophrenia and whether it has unwanted effects and costs. What is schizophrenia, and what are seclusion and restraint? Schizophrenia is a severe mental health condition that affects how people think, feel and behave. Schizophrenia and related psychotic disorders significantly impact millions of people globally, and pose challenges due to their diverse symptoms, economic burden and the risk of a person being locked in a secure room (seclusion) or prevented from moving (restraint), particularly if their behaviour is violent. Post‐incident debriefing is suggested as a way to reduce the use and duration of these measures, and aims to ensure safety while acknowledging the ethical concerns and potential psychological harm that such measures may cause. Seclusion is a coercive measure, which means locking a person into a separate room in a psychiatric ward. Restraint means preventing a person from moving, manually by staff members, or with different equipment, such as belts. These measures should be used as a last resort to prevent a person from hurting themselves or others. Post‐incident debriefing can be used after these coercive measures and is a form of talking therapy. It aims to allow staff and people who have experienced coercion to learn from the event and so prevent future episodes of coercion. What did we want to find out? We wanted to find out the benefits and harms of post‐incident debriefing after coercive measures for people with schizophrenia or schizophrenia‐type psychosis. What did we do? We carried out a comprehensive search in specialised databases to identify studies in which people with schizophrenia were randomly assigned to two or more treatment groups to assess post‐incident debriefing in adult psychiatric care. What did we find? We found one relevant study with data for 109 people. This study involved standardised post‐incident debriefing until the person left hospital. People who received post‐incident debriefing after coercive measures may be more likely to be secluded again compared to those receiving standard treatment, but this is very uncertain. The evidence supporting this result is based on one study, and we have very limited confidence in this finding. There was no evidence to suggest that people are less distressed during or immediately after the event or that they are more satisfied with their care compared to standard treatment. Again, we have very limited confidence in this finding. There was not enough information to determine changes in patient behaviour or unwanted or harmful effects. What are the limitations of the evidence? We have very little confidence in these findings because we only found one small study, and there were problems with how it was designed and reported. Although post‐incident debriefing is common practice in clinical settings, the evidence is currently not available to support it in current forms. The findings of this review therefore suggest caution in its use. The review highlights the need for further high‐quality studies to thoroughly assess the effects of post‐incident debriefing in psychiatric inpatient care. Any post‐incidence debriefing measures should be clearly defined and described so that people know how and why to use them in daily practice. How up to date is this evidence? This evidence is current to February 2023.</t>
  </si>
  <si>
    <t>J6273</t>
  </si>
  <si>
    <t>Ankle‐foot orthoses for improving walking in adults with calf muscle weakness due to neuromuscular disorders</t>
  </si>
  <si>
    <t>- Background Calf muscle weakness is a common symptom in slowly progressive neuromuscular disorders that lead to walking problems like instability and increased walking effort. The mainstay of treatment to improve walking in this population is the provision of ankle‐foot‐orthoses (AFOs). Since we are not aware of an up‐to‐date and complete overview of the effects of AFOs used for calf muscle weakness in slowly progressive neuromuscular disorders, we reviewed the evidence for the effectiveness of AFOs to improve walking in this patient group, in order to support clinical decision‐making. Objectives To review the evidence for the effects of ankle‐foot orthoses (AFOs) for improving walking in adults with calf muscle weakness due to slowly progressive neuromuscular disorders. Search methods On 10 February 2023, we searched the Cochrane Neuromuscular Specialised Register, CENTRAL, Embase, MEDLINE, ClinicalTrials.gov, and WHO ICTRP. Selection criteria We looked for randomised controlled trials (RCTs), including randomised cross‐over studies and quasi‐RCTs, and non‐randomised studies (NRSs) that examined the effects of AFO interventions compared with shoes‐only walking in adults with calf muscle weakness due to neuromuscular disorders. Data collection and analysis We used the methodological procedures described in the Cochrane Handbook for Systematic Reviews of Interventions . We summarised findings for the primary outcome (objectively measured walking effort, assessed as walking energy cost) and secondary outcomes (perceived walking effort, physical mobility, gait parameters, AFO use, satisfaction with the AFO, and adverse events). We grouped results according to the type of AFO material and synthesised them in meta‐analysis where possible. We used the GRADE approach to rate the certainty of the evidence. Main results We included four randomised cross‐over studies and six NRSs with 186 participants in total (the smallest study had 8 participants and the largest had 37). All studies were designed as self‐controlled studies and examined the effects of custom‐made and/or prefabricated AFOs. The AFOs were made of carbon (5 studies), polypropylene (5 studies), silicone (1 study), metal (1 study), elastic materials (2 studies), or leather combined with other materials (1 study). Outcome measures with AFOs were assessed during a single session (in some studies, people already used the study AFO in daily life), when the AFO was delivered, or at three‐week or three‐month follow‐up. We judged one study to be at moderate risk of bias, and nine studies to be at high or serious risk of bias, primarily due to bias arising from period and carryover effects, selection bias, the inability to blind participants and assessors, missing data, and selective reporting. We found that carbon AFOs may reduce walking energy cost (mean difference (MD) −0.86 J/kg/m, 95% confidence interval (CI) −1.33 to −0.39; 2 studies, 45 participants; low‐certainty evidence), and may increase walking speed (MD 0.19 m/s, 95% CI 0.11 to 0.27; 4 studies, 71 participants; low‐certainty evidence) compared to shoes‐only walking. We found that leather AFOs may increase walking speed (MD 0.25 m/s, 95% CI 0.07 to 0.43; 1 study, 11 participants; low‐certainty evidence). Little or no effect on walking speed was found with polypropylene AFOs (MD 0.00 m/s, 95% CI −0.11 to 0.11; 2 studies, 25 participants; low‐certainty evidence) and elastic AFOs (MD 0.03 m/s, 95% CI −0.12 to 0.18; 1 study, 14 participants; low‐certainty evidence). Carbon AFOs may also enhance satisfaction while walking (1 study, 16 participants; low‐certainty evidence). We were unable to draw conclusions about perceived walking effort (one study, 8 participants), balance (two studies, 21 participants), and AFO use (two studies, 51 participants), as the evidence is very uncertain. Finally, two studies (45 participants) reported on adverse events (low‐certainty evidence). Authors' conclusions The available evidence for ankle‐foot orthoses AFOs) to improve walking in adults with calf muscle weakness comes from a limited number of small studies with heterogeneity in intervention characteristics and outcome assessment, and is of low to very low certainty. The evidence suggests that carbon AFOs may reduce walking energy cost (effort), increase walking speed, and enhance satisfaction, and leather AFOs may increase walking speed, while polypropylene and elastic AFOs may make little or no difference to walking speed. We are unable to draw conclusions about the effects of AFOs on perceived walking effort, balance, and use. Nor can we draw conclusions about adverse effects of using AFOs. The variety in the findings for AFOs made of different materials suggests further investigation is warranted to explore how different AFO materials impact walking improvement in people with calf muscle weakness due to slowly progressive neuromuscular disorders. Plain language summary Ankle‐foot orthoses to improve walking in people with weakness of the calf muscles due to neuromuscular disorders Key messages Ankle‐foot orthoses (AFOs) may reduce the effort required to walk, and increase walking speed and satisfaction with walking in people with calf muscle weakness due to neuromuscular disorders, but we are uncertain about these results. We are unable to draw any conclusions about the effect of AFOs on perceived walking effort, balance, AFO use, and adverse effects. The evidence suggests effects on walking improvement may vary depending on the material from which the AFO is made. Future studies could explore this further. Why is this question important? Many neuromuscular disorders, i.e. disorders of the muscles or the nerves that control the muscles, cause weakness of the calf muscles. As the calf muscles are essential for safe and efficient walking, weakness of these muscles will lead to major changes in how people walk. Calf muscle weakness makes walking less stable and walking requires more energy. This leads to problems such as falls and tiredness. What did we want to find out? Ankle‐foot orthoses are devices that can be provided to improve walking in people with neuromuscular disorders. There are many different types of ankle‐foot orthoses and their effects on walking vary considerably. To help healthcare professionals and patients make informed decisions about the use of ankle‐foot orthoses, we wanted to review the available evidence about their effects on walking. What did we do? We searched the medical literature for all relevant studies that compared walking with ankle‐foot orthoses to walking only with shoes. We then compared the results, summarised the evidence, and assessed our confidence in the evidence. To do this, we considered the way studies were conducted, study sizes, and the consistency of findings across studies. What did we find? We found 10 relevant studies with 186 participants in total. Overall, the results suggest that the use of ankle‐foot orthoses made from carbon may reduce walking effort (measured objectively), increase walking speed, and enhance satisfaction while walking. Leather AFOs may increase walking speed. We are unable to draw conclusions about perceived walking effort and balance with AFOs compared to shoes, and about the use of AFOs, as the evidence is very uncertain. We are unable to draw conclusions about adverse events due to AFO interventions in comparison with no intervention. The certainty of all evidence for the effects found was either very low or low. What does this mean? Currently, the evidence for using ankle‐foot orthoses to improve walking in people with calf muscle weakness is limited. Large prospective studies of high quality are needed to address this knowledge gap. The variety in the effects found for AFOs of different materials warrants further investigation. Future studies could examine the effect of AFO material on the improvement of walking in people with calf muscle weakness due to slowly progressive neuromuscular disorders. What are the limitations of the evidence? Four of the included studies that as essed the effects of AFOs had a randomised cross‐over design; the other six studies were not randomised. Outcomes were assessed at different time points, and most studies did not include follow‐up assessments. The ankle‐foot orthosis types that were examined varied in their design and material. Most ankle‐foot‐orthosis types, in particular the ankle‐foot orthoses that were made of carbon, were custom‐made; the remainder were prefabricated. These factors reduced our confidence in the evidence. How up to date is this review? We searched for studies published up to February 2023.</t>
  </si>
  <si>
    <t>J6274</t>
  </si>
  <si>
    <t>Pre‐emptive treatment for cytomegalovirus viraemia to prevent cytomegalovirus disease in solid organ transplant recipients</t>
  </si>
  <si>
    <t>- Background Cytomegalovirus (CMV) is a significant cause of morbidity and death in solid organ transplant recipients. Pre‐emptive treatment of patients with CMV viraemia using antiviral agents has been suggested as an alternative to routine prophylaxis to prevent CMV disease. This is an update of a Cochrane review first published in 2006 and updated in 2013. Objectives To determine the benefits and harms of pre‐emptive treatment of CMV viraemia to prevent CMV disease and death (any cause) and the indirect effects of CMV infection (acute rejection, graft loss, opportunistic infections) in solid organ transplant recipients. Search methods The Cochrane Kidney and Transplant Register of Studies was searched up to 17 December 2024 using search terms relevant to this review. Studies in the Register are identified through searches of CENTRAL, MEDLINE, and EMBASE, conference proceedings, the International Clinical Trials Registry Platform (ICTRP) Search Portal, and ClinicalTrials.gov. Selection criteria We included randomised controlled trials (RCTs) and quasi‐RCTs comparing pre‐emptive treatment with placebo, no specific treatment, or antiviral prophylaxis in solid organ transplant recipients. Data collection and analysis Two authors independently assessed the eligibility of the identified studies, assessed the risk of bias, and extracted all data. Results were expressed as risk ratio (RR) and 95% confidence intervals (CI) for dichotomous outcomes. Statistical analyses were performed using a random‐effects model. The certainty of evidence was assessed per outcome using the Grades of Recommendation, Assessment, Development and Evaluation (GRADE) approach. Main results In this update, we have included seven new studies, bringing the total number of included studies to 22 (1883 participants). Of these, seven investigated pre‐emptive treatment versus placebo or standard care, 12 looked at pre‐emptive treatment versus antiviral prophylaxis, one study investigated oral versus intravenous pre‐emptive treatment, one investigated pre‐emptive valganciclovir versus pre‐emptive ganciclovir, and one investigated letermovir 40 mg twice/day versus 80 mg once/day. Studies were conducted in Australia, Brazil, the Czech Republic, Germany, Italy, Japan, Norway, Spain, South Korea, and the USA. Organ transplant recipients included kidney, liver, heart, lung, and kidney‐pancreas. Thirteen studies were single‐centre studies, six were multicentre, and three were unknown. The number of participants ranged from 12 to 296. Overall, selection bias was unclear (55%); performance, detection and attrition bias were high (91%, 63% and 95%, respectively), and reporting bias was low (55%). Compared with placebo or standard care, pre‐emptive treatment probably reduces the risk of CMV disease (7 studies, 315 participants: RR 0.29, 95% CI 0.11 to 0.80; I 2 = 54%; moderate‐certainty evidence) but may result in little or no difference in death (any cause) (3 studies, 176 participants: RR 1.23, 95% CI 0.35 to 4.30; I 2 = 0%; low‐certainty evidence). Pre‐emptive treatment may result in little or no difference in CMV organ involvement, CMV‐associated symptoms, acute rejection, graft loss, other infections or leucopenia. Compared to prophylaxis, pre‐emptive treatment may make little or no difference to the risk of developing CMV disease (11 studies, 1322 participants: RR 0.97, 95% CI 0.47 to 2.01; I 2 = 54%; low‐certainty evidence) and probably makes little or no difference to death (any cause) (9 studies, 1098 participants: RR 0.95, 95% CI 0.60 to 1.52; I 2 = 0%; moderate‐certainty evidence). Pre‐emptive treatment may increase the risk of CMV infection (8 studies, 867 participants: RR 1.97, 95% CI 1.48 to 2.61; I 2 = 66%; low‐certainty evidence). The risk of leucopenia (7 studies, 869 participants: RR 0.57, 95% CI 0.38 to 0.87; I 2 = 33%; moderate‐certainty evidence) and neutropenia (5 studies, 859 participants: RR 0.63, 95% CI 0.44 to 0.90; I 2 = 0% moderate certainty evidence) probably decreases w th pre‐emptive therapy. There may be little or no difference in the risks of acute rejection, graft loss, and infections other than CMV. Single studies were identified for comparisons between different pre‐emptive treatments: 1) oral ganciclovir versus IV ganciclovir; 2) valganciclovir versus ganciclovir; 3) 40 mg twice/day versus 80 mg once/day. No differences between these treatment modalities in terms of CMV disease, death (any cause), or adverse events were identified. Authors' conclusions In this review, we have included seven new studies, yet the available evidence is overall of low certainty and the conclusions remain similar to the previous version of this review. Pre‐emptive treatment probably reduces the risk of CMV disease compared with placebo or standard care. There were no clear differences between pre‐emptive treatment and prophylaxis to prevent CMV disease or reduce the risk of death (any cause). The risk of CMV infection may be higher for patients receiving pre‐emptive therapy, but the risk of adverse events, such as leucopenia, is probably lower. Plain language summary Does pre‐emptive treatment with antiviral agents help to reduce the risk of cytomegalovirus disease in transplant recipients? Key messages • Cytomegalovirus (CMV, herpes virus related to chickenpox) is a common virus, with the majority of people being exposed by adulthood. CMV is a major cause of illness and death during the first year after transplantation. Prevention strategies include 1) giving daily low doses of an antiviral agent to all organ transplant recipients (prophylaxis) or 2) prescribing an antiviral agent when an organ transplant recipient develops laboratory‐confirmed evidence of infection (pre‐emptive treatment). • Compared to placebo or standard care, pre‐emptive treatment probably reduces the risk of CMV disease. However, we are less confident in the results for other outcomes such as death, other organs being affected by CMV, CMV symptoms, acute rejection (the body's immune system attacking the transplanted organ), loss of the transplanted organ, other infections, or low white blood cells. • Compared to antiviral prophylaxis, pre‐emptive treatment probably reduces the risk of low white blood cells and probably makes little or no difference to the risk of death. However, we are less confident pre‐emptive treatment may increase the risk of CMV infection or may make little or no difference to risks of acute rejection, graft loss, or infections other than CMV. What is cytomegalovirus?  Cytomegalovirus (CMV, a herpes virus related to chickenpox) is a common virus, with the majority of people being exposed by adulthood. Once a person becomes infected, the virus remains alive but usually inactive (dormant) within that person’s body for life. It does not normally cause a problem; however, for people whose immune system (the body's mechanism for fighting anything foreign) does not work well, the virus can reactivate. People who have received a kidney, heart, liver, lung or pancreas transplant (solid organ transplants) have to take strong medicines to prevent their bodies from trying to fight (or reject) this new transplant. These medicines dampen down the immune system, and the virus may once again become active and may affect the new transplant. CMV is a major cause of illness and death during the first year after transplantation. It is important to distinguish between CMV infection and CMV disease: not every patient with a CMV infection will develop clinical disease with symptoms. Two main strategies to prevent CMV disease have been adopted: 1) giving daily low doses of an antiviral agent to all organ transplant recipients (prophylaxis), or 2) prescribing an antiviral agent when an organ transplant recipient develops laboratory‐confirmed evidence of infection (pre‐emptive treatment). What did we want to find out? We wanted to find out if pre‐emptive treatment aimed at transplant recipients who are at risk of developing CMV disease, rather than administering universal prophylaxis, including those who are unlikely to develop CMV disease, prevents the development of CMV disease, death and adverse events. What did we do?  We searched for all trials that assessed the benefits and harms of pre‐emptive treatment with antiviral agents in preventing CMV disease in solid organ transplant recipients. We compared and summarised the results of the trials and rated our confidence in the information based on factors such as trial methods and size. What did we find?  We found 22 studies involving 1883 people (adults and children) who had received a kidney, liver, heart, lung, or kidney‐pancreas transplant. Studies were conducted in Australia, Brazil, the Czech Republic, Germany, Italy, Japan, Norway, Spain, South Korea, and the USA. The number of people enrolled ranged from 12 to 296. Studies compared pre‐emptive treatment with placebo or standard care (7 studies), pre‐emptive treatment versus antiviral prophylaxis (12), pre‐emptive oral versus intravenous ganciclovir treatment (1), pre‐emptive valganciclovir versus pre‐emptive ganciclovir (1), and two different pre‐emptive dosing strategies of letermovir (1). Compared to placebo or standard care, pre‐emptive treatment probably reduces the risk of CMV disease but may make little or no difference to death, other organs being affected by CMV, CMV symptoms, acute rejection (the body's immune system attacking the transplanted organ), loss of the transplanted organ, other infections or low white blood cells. Compared to antiviral prophylaxis, pre‐emptive treatment may make little or no difference to the risk of developing CMV disease and probably makes little or no difference to the risk of death. CMV infection may increase with pre‐emptive treatment, while the risk of low white blood cells probably decreases. There may be little or no difference in the risks of acute rejection, graft loss, and infections other than CMV. What are the limitations of the evidence?  We are moderately confident that, compared to placebo or standard care, pre‐emptive treatment reduces the risk of CMV disease; however, we are less confident in the results for other outcomes. We are moderately confident that, compared to antiviral prophylaxis, pre‐emptive treatment probably reduces the risk of low white blood cells; however, we are less confident pre‐emptive treatment may increase the risk of CMV infection. How up to date is the evidence? The evidence is current to 17 December 2024.</t>
  </si>
  <si>
    <t>J6275</t>
  </si>
  <si>
    <t>A cost-effectiveness analysis comparing single-inhaler extrafine beclomethasone/formoterol/glycopyrronium bromide against other SITTs in adult patients with uncontrolled asthma in England</t>
  </si>
  <si>
    <t>&lt;b&gt;BACKGROUND&lt;/b&gt;: In patients with asthma uncontrolled by a medium or high-strength (MS/HS) inhaled corticosteroid (ICS) plus long-acting beta2-agonist (LABA), according to Global Initiative for Asthma (GINA) guidelines, a maintenance therapy option is the addition of a long-acting muscarinic antagonist (LAMA) via single-inhaler triple therapy (SITT). Evidence has previously been published on the cost-effectiveness of a SITT extra fine formulation of beclomethasone, formoterol and glycopyrronium bromide (BDP/FOR/GLY) vs. dual ICS/LABA combination, using data from two 52-week clinical trials (TRIMARAN and TRIGGER). However, there is limited evidence on the comparative cost-effectiveness of SITTs. The current analysis evaluated the cost-effectiveness of BDP/FOR/GLY versus other SITTs, in the UK setting._x000D_
&lt;b&gt;METHODS&lt;/b&gt;: Markov cohort state-transition model was developed to investigate the cost-effectiveness of BDP/FOR/GLY Medium Strength (MS) vs. fluticasone, umeclidinium, and vilanterol (FF/UMEC/VI) MS and, BDP/FOR/GLY High Strength vs. FF/UMEC/VI HS and vs. indacaterol acetate, glycopyrronium bromide, and mometasone (IND/GLY/MF) HS. A network meta-analysis was performed to estimate comparative efficacy of BDP/FOR/GLY against other SITTs. The model analyzed cost, quality-adjusted life-years (QALYs), and incremental cost-effectiveness ratio (ICER), net monetary benefit (NMB), and was developed from the perspective of England National Health Service (NHS) and Prescribed Specialized Services expenditure (2022 costs). Uncertainty of the inputs was estimated using one-way and probabilistic sensitivity analyses._x000D_
&lt;b&gt;RESULTS&lt;/b&gt;: BDP/FOR/GLY MS was projected to be a dominant treatment alternative against FF/UMEC/VI MS (5,121 less costly, gained 0.065 additional QALYs). Similarly, BDP/FOR/GLY HS was a dominant treatment alternative against FF/UMEC/VI HS (143, 0.003 additional QALYs) and IND/GLY/MF HS (692 less costly, gained 0.023 additional QALYs). BDP/FOR/GLY MS and HS had 77.1%, 51.3%, and 61.2% likelihoods to be cost-effective vs. FF/UMEC/VI MS, FF/UMEC/VI HS, and IND/GLY/MF HS at the defined willingness-to-pay (WTP) threshold of 20,000 per QALY gained, respectively._x000D_
&lt;b&gt;CONCLUSIONS&lt;/b&gt;: BDP/FOR/GLY MS and HS were a dominant treatment alternative compared with FF/UMEC/VI, both MS and HS, and IND/GLY/MF HS in patients with asthma uncontrolled by ICS/LABA.</t>
  </si>
  <si>
    <t>could includes, outlines less costly treatment</t>
  </si>
  <si>
    <t>J6276</t>
  </si>
  <si>
    <t>Cardiovascular training for fatigue in people with cancer</t>
  </si>
  <si>
    <t>- Rationale Cancerâ€related fatigue (CRF) is the most prevalent and severe symptom among people with cancer. It can be attributed to the cancer itself or to anticancer therapies. CRF affects the individual physically and mentally, and cannot be alleviated by rest. Studies show a positive effect of exercise on CRF. Objectives To evaluate the effects of cardiovascular training on cancerâ€related fatigue (CRF), quality of life (QoL), adverse events, anxiety, and depression in people with cancer, with regard to their stage of anticancer therapy (before, during, or after), up to 12 weeks, up to six months, or longer, postintervention. Search methods We searched CENTRAL, MEDLINE, Embase, ClinicalTrials.gov and World Health Organization ICTRP to identify studies that are included in the review. The latest search date was October 2023. Eligibility criteria We included randomised controlled trials (RCTs) evaluating cardiovascular training for CRF or QoL, or both, in people with cancer. Trials were eligible if training was structured, included at least five sessions, and instruction was faceâ€toâ€face (via video tools or in person). We excluded studies with fewer than 20 randomised participants per group and where only an abstract was available. Outcomes Our critical outcomes were: shortâ€, mediumâ€, longâ€term CRF and QoL. Important outcomes were adverse events, and shortâ€, mediumâ€, longâ€term anxiety and depression. Risk of bias We used the Cochrane RoB 1 tool to assess bias in RCTs. Synthesis methods We used standard Cochrane methodology. We synthesised results for each outcome using metaâ€analysis where possible (inverse variance or Mantelâ€Haenszel; randomâ€effects model). We pooled data for the respective assessment periods above. We used GRADE to assess certainty of evidence for each outcome. Included studies We included 23 RCTs with 2135 participants, of whom 96.6% originated from highâ€income countries; 1101 participants were randomised to cardiovascular training and 1034 to no training. Studies included mostly females who were diagnosed with breast cancer. We also identified 36 ongoing and 12 completed studies that have not yet published (awaiting assessment). We only present findings on CRF, QoL and adverse events. For details regarding anxiety and depression, see full text. Synthesis of results Cardiovascular training before anticancer therapy versus no training for people with cancer We identified no studies for inclusion in this comparison. Cardiovascular training during anticancer therapy versus no training for people with cancer We included 10 studies (1026 participants); eight studies contributed data to quantitative analyses (860 participants). Cardiovascular training probably reduces shortâ€term CRF slightly (mean difference (MD) 2.85, 95% confidence interval (CI) 1.16 to 4.55, on the Functional Assessment of Cancer Therapy â€“ Fatigue (FACTâ€F), scale 0 to 52, higher values mean better outcome; minimally important difference (MID) 3; 6 studies, 593 participants) and probably results in little to no difference in shortâ€term QoL (MD 3.56, 95% CI 0.21 to 6.90, on the European Organisation for Research and Treatment of Cancer Quality of Life Questionnaire C30 (EORTC QLQ Câ€30), scale 0 to 100, higher values mean better outcome, MID 10; 6 studies, 612 participants) (both moderateâ€certainty evidence). We are uncertain about the effects on mediumâ€term CRF (MD 2.67, 95% CI âˆ’2.58 to 7.92, on FACTâ€F; MID 3; 1 study, 62 participants), longâ€term CRF (MD 0.41, 95% CI âˆ’2.24 to 3.05, on FACTâ€F; MID 3; 2 studies, 230 participants), mediumâ€term QoL (MD 6.79, 95% CI âˆ’4.39 to 17.97, on EORTC QLQ Câ€30; MID 10; 1 study, 62 participants), and longâ€term QoL (MD 1.51, 95% CI âˆ’3.40 to 6.42, on EORTC QLQ Câ€30; MID 10; 2 studies, 230 participants) (all very lowâ€certainty evidence). For adverse events (any grade and followâ€up), we did not perform metaâ€analysis due to heterogeneous definitions, reporting, and measurement (9 RCTs, 955 participants; very lowâ€ certainty evidence). Cardiovascular training after anticancer therapy versus no training for people with cancer We included 13 studies (1109 participants); nine studies contributed data to quantitative analyses (756 participants). We are uncertain about the effects of cardiovascular training on shortâ€term CRF (MD 3.62, 95% CI 0 to 7.13, on FACTâ€F; MID 3; 6 studies, 497 participants), longâ€term CRF (MD âˆ’0.80, 95% CI âˆ’1.72 to 0.13, on the Fatigue Symptom Inventory (FSI), scale 1 to 10, higher values mean worse outcome; MID 1; 2 studies, 262 participants), shortâ€term QoL (MD 3.70, 95% CI âˆ’0.14 to 7.41, on the Functional Assessment of Cancer Therapy â€“ General (FACTâ€G), scale 0 to 108, higher values mean better outcome; MID 4; 8 studies, 642 participants), longâ€term QoL (MD 3.10, 95% CI âˆ’1.12 to 7.32, on FACTâ€G; MID 4; 1 study, 201 participants), and adverse events (risk ratio (RR) 2.71, 95% CI 0.58 to 12.67; 1 study, 50 participants) (all very lowâ€certainty evidence). There were no data for mediumâ€term CRF and QoL . Authors' conclusions Moderateâ€certainty evidence shows that cardiovascular training by people with cancer during their anticancer therapy slightly reduces shortâ€term CRF and results in little to no difference in shortâ€term QoL . We do not know whether cardiovascular training increases or decreases mediumâ€term CRF/QoL , and longâ€term CRF/QoL . There is very lowâ€certainty evidence (due to heterogeneous definitions, reporting and measurement) evaluating whether the training increases or decreases adverse events . In people with cancer who perform cardiovascular training after anticancer therapy, we are uncertain about the effects on shortâ€term CRF/QoL , longâ€term CRF/QoL , and adverse events . We identified a lack of evidence concerning cardiovascular training before anticancer therapy and on safety outcomes. The 36 ongoing and 12 completed, but unpublished, studies could help close this gap, and could contribute to improving the effect estimates and certainty. Funding This Cochrane review was funded by the Federal Ministry of Education and Research of Germany, grant number: FKZ 01KG2017. Registration Protocol available via DOI: 10.1002/14651858.CD015211. Plain language summary Does cardiovascular training relieve cancerâ€related fatigue before, during, or after anticancer therapy? Key messages Cardiovascular training during anticancer therapy probably reduces cancerâ€related fatigue slightly for up to 12 weeks. The longerâ€term effects of cardiovascular training on cancerâ€related fatigue and quality of life are uncertain and there is no evidence about the effects of cardiovascular training before anticancer therapy. We found nearly 50 studies of cardiovascular training before, during, and after cancer treatment that are underway and these will add to the evidence when the results are published. What is cancerâ€related fatigue? Cancerâ€related fatigue is an extreme feeling of tiredness over a long period of time. It can be caused by cancer treatment or the cancer itself. It is the most common symptom among people with cancer. It cannot be relieved by rest, and it affects the body and mind. What is cardiovascular training? Cardiovascular training is any activity that uses the large muscle groups of the buttocks and thighs, and increases heart and breathing rate. Examples are walking, running, cycling, and swimming. Why is cardiovascular training possibly effective for cancerâ€related fatigue? Cancerâ€related fatigue is linked to the body's response to cytokines, which regulate how tissues and organs increase in size (called cell growth). Cancer or cancer therapy may produce proteins called proâ€inflammatory cytokines, which cause or worsen inflammation (the body's response to an injury or illness, which includes symptoms such as swelling and pain). Cardiovascular training can help reduce inflammation. What did we want to find out? We wanted to know whether cardiovascular training reduces cancerâ€related fatigue compared to no training. We ex lored the effects at short (up to 12 weeks), medium (up to six months), and long term (longer than six months). We also looked at quality of life, unwanted effects, anxiety, and depression. What did we do? We searched for studies that investigated cardiovascular training before, during, or after anticancer therapy compared to no training. These studies needed to evaluate cancerâ€related fatigue or quality of life, or both. The cardiovascular training had to have at least five sessions of exercise and had to be given by faceâ€toâ€face instruction (either by video or in person). We did not consider studies with fewer than 20 people per group, or that were available in a short summary form only. What did we find? We found 23 studies with 2135 people. Most studies were conducted in highâ€income countries (97%; where people have easy access to goodâ€quality health care). A total of 1101 people received cardiovascular training and 1034 people received no training. The people included in the studies were mostly female and had breast cancer. We also found 36 ongoing studies, and 12 completed studies that have yet to be published. Main results There were no studies comparing cardiovascular training before anticancer therapy to no training. We included 10 studies for cardiovascular training during anticancer therapy, but could only use the results of eight. For cardiovascular training after anticancer therapy versus no training, we found 13 studies for inclusion, but could only use the results of nine. Cardiovascular training during anticancer therapy versus no training: probably reduces shortâ€term cancerâ€related fatigue slightly (6 studies, 593 people); probably results in little to no difference in shortâ€term quality of life (6 studies, 612 people); we do not know if cardiovascular training increases or decreases mediumâ€ and longâ€term cancerâ€related fatigue and quality of life , and any unwanted effects. Cardiovascular training after anticancer therapy versus no training: we do not know if cardiovascular training increases or decreases shortâ€ and longâ€term cancerâ€related fatigue and quality of life , and any unwanted effects; we could not find any data for mediumâ€term cancerâ€related fatigue and quality of life. What are the limitations of the evidence? We are moderately confident in the evidence about the effect of cardiovascular training during anticancer therapy on shortâ€term cancerâ€related fatigue and quality of life . Our confidence in the other evidence is very low as there were fewer or smaller studies, and people knew which treatment they received. There was no evidence for cardiovascular training before anticancer therapy and for cardiovascular training after anticancer therapy on mediumâ€term cancerâ€related fatigue and quality of life . How up to date is this evidence? Our evidence is up to date to 16 October 2023.</t>
  </si>
  <si>
    <t>J6277</t>
  </si>
  <si>
    <t>Patient and practitioner perceptions around use of artificial intelligence within the English NHS diabetic eye screening programme</t>
  </si>
  <si>
    <t>Aims: Automated retinal image analysis using Artificial Intelligence (AI) can detect diabetic retinopathy as accurately as human graders, but it is not yet licensed in the NHS Diabetic Eye Screening Programme (DESP) in England. This study aims to assess perceptions of People Living with Diabetes (PLD) and Healthcare Practitioners (HCP) towards AI's introduction in DESP. Method(s): Two online surveys were co-developed with PLD and HCP from a diverse DESP in North East London. Surveys were validated through interviews across three centres and distributed via DESP centres, charities, and the British Association of Retinal Screeners. A coding framework was used to analyse free-text responses. Result(s): 387 (24%) PLD and 98 (37%) HCP provided comments. Themes included trust, workforce impact, the patient-practitioner relationship, AI implementation challenges, and inequalities. Both groups agreed AI in DESP was inevitable, would improve efficiency, and save costs. Concerns included job losses, data security, and AI decision safety. A common misconception was that AI would directly affect patient interactions, though it only processes retinal images. Conclusion(s): Limited understanding of AI was a barrier to acceptance. Educating diverse PLD groups and HCP about AI's accuracy and reliability is crucial to building trust and facilitating its integration into screening practices. Copyright © 2024</t>
  </si>
  <si>
    <t>Not cash releasing, vague mention of potential to be cost saving</t>
  </si>
  <si>
    <t>J6278</t>
  </si>
  <si>
    <t>Cost effectiveness of different treatment strategies with natalizumab for pregnant women with multiple sclerosis</t>
  </si>
  <si>
    <t>Background: The management of multiple sclerosis (MS) during pregnancy poses significant challenges. This study aimed to evaluate the cost-effectiveness of three natalizumab treatment strategies during pregnancy from the UK healthcare system's perspective. Method(s): A Markov model was developed to assess the health outcomes and costs associated with three treatment strategies: continuous natalizumab treatment throughout pregnancy, treatment until the first trimester followed by discontinuation, and discontinuation at conception with resumption post-pregnancy. The model incorporated data on relapse rates, disability progression, costs and quality-adjusted life years (QALYs). Sensitivity analyses were conducted. Result(s): Continuing natalizumab throughout pregnancy was the most cost-effective strategy, yielding the highest incremental QALY gains and the lowest incremental cost per QALY (1713 per QALY), with a net monetary benefit of 743. The sensitivity analyses confirmed the robustness of these findings and the use of generic or biosimilar forms of natalizumab further reinforced the cost-effectiveness of continuous treatment, with the biosimilar option proving cost-saving. Conclusion(s): Continuing natalizumab treatment throughout pregnancy is the most cost-effective approach for managing MS in pregnant women. These findings should inform clinical guidelines and support healthcare providers and women with MS planning their family in making evidence-based decisions to improve the management of MS during pregnancy. Copyright © The Author(s) 2024.</t>
  </si>
  <si>
    <t>Not cash releasing. Reports net monetary benefit</t>
  </si>
  <si>
    <t>J6279</t>
  </si>
  <si>
    <t>A personalized and systematically designed adherence intervention improves photoprotection in adults with xeroderma pigmentosum (XP): results of the XPAND randomized controlled trial</t>
  </si>
  <si>
    <t>&lt;b&gt;BACKGROUND&lt;/b&gt;: Poor adherence to photoprotection in xeroderma pigmentosum (XP) increases morbidity and shortens lifespan due to skin cancers._x000D_
&lt;b&gt;OBJECTIVES&lt;/b&gt;: To test a highly personalized intervention (XPAND) to reduce the dose of ultraviolet radiation (UVR) reaching the face in adults with XP, designed using known psychosocial determinants of poor photoprotection._x000D_
&lt;b&gt;METHODS&lt;/b&gt;: A two-arm parallel group randomized controlled trial, including patients with suboptimal photoprotection to receive XPAND or a delayed-intervention control arm that received XPAND the following year. XPAND comprises seven 1 : 1 sessions targeting photoprotection barriers (e.g. misconceptions about UVR) supported by personalized text messages, activity sheets and educational materials incorporating behaviour change techniques. The primary outcome, mean daily UVR dose to face across 21 days in June-July 2018, was calculated by combining UVR exposure at the wrist with a face photoprotection activity diary. Secondary outcomes were UVR dose to face across 21 days in August 2018, time spent outside, photoprotective measures used outside, mood, automaticity and confidence to photoprotect. Financial costs and quality-adjusted life years (QALYs) were calculated._x000D_
&lt;b&gt;RESULTS&lt;/b&gt;: Sixteen patients were randomized; 13 provided sufficient data for primary outcome analysis. The XPAND group (n = 8) had lower mean daily UVR dose to face [0.03 standard error of difference (SED) (SD 0.02)] compared with controls (n = 7) [0.43 SED (SD 0.17)] (adjusted difference = -0.25, P &lt; 0.001, Hedge's g = 2.21) at the June 2018 assessment. No significant between-group differences were observed in time spent outside, photoprotection outside, mood or confidence. The delayed-intervention control showed improvements in UVR dose to face (adjusted difference = -0.05; Hedge's g = -0.1), time outside (adjusted difference = -69.9; Hedge's g = -0.28) and photoprotection (adjusted difference = -0.23, Hedge's g = 0.45) after receiving XPAND (June 2019 assessment). XPAND was associated with lower treatment costs [-2642; 95% confidence interval (CI) -8715 to 3873] and fewer QALYs (-0.0141; 95% CI -0.0369 to 0.0028)._x000D_
&lt;b&gt;CONCLUSIONS&lt;/b&gt;: XPAND was associated with a lower UVR dose to face in patients with XP and was cost-effective.</t>
  </si>
  <si>
    <t>lower treatment costs</t>
  </si>
  <si>
    <t>J6280</t>
  </si>
  <si>
    <t>Effectiveness of biomarker-guided duration of antibiotic treatment in children hospitalised with confirmed or suspected bacterial infection: the BATCH RCT</t>
  </si>
  <si>
    <t>&lt;b&gt;Background&lt;/b&gt;: Procalcitonin is a biomarker specific for bacterial infection, with a more rapid response than other commonly used biomarkers, such as C-reactive protein, but it is not routinely used in the National Health Service._x000D_
&lt;b&gt;Objective&lt;/b&gt;: To determine if using a procalcitonin-guided algorithm may safely reduce duration of antibiotic therapy compared to standard of care in hospitalised children with suspected or confirmed infection._x000D_
&lt;b&gt;Design&lt;/b&gt;: A pragmatic, multicentre, open-label, parallel two-arm, individually randomised controlled trial with internal pilot phase, qualitative study and health economic evaluations._x000D_
&lt;b&gt;Setting&lt;/b&gt;: Paediatric wards or paediatric intensive care units within children's hospitals (n = 6) and district general hospitals (n = 9) in the United Kingdom._x000D_
&lt;b&gt;Participants&lt;/b&gt;: Children aged between 72 hours and 18 years admitted to hospital and being treated with intravenous antibiotics for suspected or confirmed bacterial infection._x000D_
&lt;b&gt;Interventions&lt;/b&gt;: Procalcitonin-guided algorithm versus usual standard care alone._x000D_
&lt;b&gt;Main outcome measures&lt;/b&gt;: Coprimary outcomes were duration of intravenous antibiotic use and a composite safety measure._x000D_
&lt;b&gt;Results&lt;/b&gt;: Between 11 June 2018 and 12 October 2022, 1949 children were recruited: 977 to the procalcitonin group [427 female (43.7%), 550 male (56.3%)], and 972 to the usual care group [478 female (49.2%), 494 male (50.8%)]. Duration of intravenous antibiotics was not significantly different between the procalcitonin group (median 96.0 hours) and the usual care group (median 99.7 hours) [hazard ratio = 0.96 (0.87, 1.05)], and the procalcitonin-guided algorithm was non-inferior to usual care [risk difference = -0.81% (95% confidence interval upper bound 1.11%)]. At clinical review, a procalcitonin result was available for 81.8% of the time, which was considered as part of clinical decision-making 66.6% of the time, and the algorithm was adhered to 57.2% of the time. Incremental cost-effectiveness ratio per duration of intravenous antibiotics hour avoided from bootstrapped samples was 467.62 per intravenous antibiotic hour avoided. Cost analysis of complete cases was also higher in the procalcitonin arm for all age groups, and for children aged 5 years and over. The intervention is not cost-effective as it is more expensive with no significant improvement in intravenous antibiotic duration._x000D_
&lt;b&gt;Limitations&lt;/b&gt;: Robust antimicrobial stewardship programmes were already implemented in the lead recruiting sites, and adherence to the algorithm was poor. Clinicians may be reluctant to adhere to biomarker-guided algorithms, due to unfamiliarity with interpreting the test result._x000D_
&lt;b&gt;Conclusions&lt;/b&gt;: In children hospitalised with confirmed or suspected bacterial infection, the addition of a procalcitonin-guided algorithm to usual care is non-inferior in terms of safety, but does not reduce duration of intravenous antibiotics, and is not cost-effective. In the presence of robust antimicrobial stewardship programmes to reduce antibiotic use, a procalcitonin-guided algorithm may offer little added value._x000D_
&lt;b&gt;Future work&lt;/b&gt;: Future trials must include an implementation framework to improve trial intervention fidelity, and repeated cycles of education and training to facilitate implementation of biomarker-guided algorithms into routine clinical care._x000D_
&lt;b&gt;Trial registration&lt;/b&gt;: This trial is registered as ISRCTN11369832._x000D_
&lt;b&gt;Funding&lt;/b&gt;: This award was funded by the National Institute for Health and Care Research (NIHR) Health Technology Assessment programme (NIHR award ref: 15/188/42) and is published in full in Health Technology Assessment; Vol. 29, No. 16. See the NIHR Funding and Awards website for further award information.</t>
  </si>
  <si>
    <t>J6281</t>
  </si>
  <si>
    <t>Clinical and cost-effectiveness of a home-based health promotion intervention for older people with mild frailty in England: a multicentre, parallel-group, randomised controlled trial</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</si>
  <si>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 2024 The Author(s)</t>
  </si>
  <si>
    <t>Primary care/community (home)</t>
  </si>
  <si>
    <t>Could exclude, but demonstrates negative point estimate for incremental costs</t>
  </si>
  <si>
    <t>J6282</t>
  </si>
  <si>
    <t>Impact and cost-effectiveness of scaling up HCV testing and treatment strategies for achieving HCV elimination among people who inject drugs in England: a mathematical modelling study</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</si>
  <si>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 2024 The Authors</t>
  </si>
  <si>
    <t>various community/primary care</t>
  </si>
  <si>
    <t>J6283</t>
  </si>
  <si>
    <t>Integration of social work into specialist palliative home service</t>
  </si>
  <si>
    <t>&lt;b&gt;Background&lt;/b&gt;: The specialist palliative home service (SAPV) federal framework contract for adults, to be enacted in Germany until 2028, does not legally mandate the hiring of a third professional group beyond specialist nurses and physicians, although palliative care embraces the psychosocial dimension and an interprofessional approach._x000D_
&lt;b&gt;Objectives&lt;/b&gt;: This article aims to explore the role of medical staff in integrating social work (SW) into SAPV._x000D_
&lt;b&gt;Design&lt;/b&gt;: Qualitative case study._x000D_
&lt;b&gt;Methods&lt;/b&gt;: The study utilised theoretical and qualitative quota sampling to explore barriers to integrating SW into SAPV-teams, ensuring diverse perspectives. Sequential analysis was applied to uncover collective interpretations, generating and validating interpretive hypotheses directly from the data._x000D_
&lt;b&gt;Results&lt;/b&gt;: Four physicians and four nurses from the SAPV-team based at Heidelberg University Hospital participated. The medical staff's attributions to SW significantly impact its integration into SAPV. Their perception of the SW profession determines the extent and manner of its integration into daily practices. Attributions on SW in SAPV as determined by nurses and physicians were social-medical knowledge, counselling, being a core competence in SAPV and similarities to the profession of psychologists. In the examined case, the integration was effective, and there was a desire for an increased presence of SW because there is still a lack of their working hours, and the medical staff wished for the social workers' presence during home visits._x000D_
&lt;b&gt;Conclusion&lt;/b&gt;: This study highlights that SAPV requires SW to be effective, nonetheless, not being considered in the new federal contract to allocate resources. Possible barriers against the integration of SW within the real-world clinical practice of palliative care should be further investigated in future studies by involving social workers' and healthcare managers' experiences and strategies to understand why the employment of social workers in SAPV is progressing slowly and inform strategies to enhance their integration.</t>
  </si>
  <si>
    <t>Germany</t>
  </si>
  <si>
    <t>hospital/community (home)</t>
  </si>
  <si>
    <t>J6284</t>
  </si>
  <si>
    <t>Gonadotropins for ovulation induction in women with polycystic ovary syndrome</t>
  </si>
  <si>
    <t>- Rationale Ovulation induction with follicle‐stimulating hormone (FSH) is a second‐line treatment in women with polycystic ovary syndrome (PCOS) who do not ovulate or conceive on clomiphene citrate or letrozole, though induction protocols and types of gonadotropins used vary greatly. Objectives To compare the effectiveness and safety of gonadotropins as a second‐line treatment for ovulation induction in women with PCOS who do not ovulate or conceive after clomiphene citrate or letrozole. Search methods In March 2024, we searched the Cochrane Gynaecology and Fertility Group Specialised Register of Controlled Trials, CENTRAL, MEDLINE, Embase and PsycINFO. We checked references of all relevant studies. We had no language or date restrictions. Eligibility criteria All randomised controlled trials (RCTs) reporting data on clinical outcomes in women with PCOS who did not ovulate or conceive on clomiphene citrate or letrozole, and were undergoing ovulation induction with urinary‐derived gonadotropins, including urofollitropin in purified FSH (uFSH) or highly purified FSH (HP‐FSH) form, human menopausal gonadotropin (HMG) and highly purified human menopausal gonadotropin (HP‐HMG), or recombinant FSH (rFSH) were eligible. We included trials reporting on ovulation induction followed by intercourse or intrauterine insemination. We excluded studies that described co‐treatment with clomiphene citrate, metformin, luteinising hormone, or letrozole. Outcomes We implemented the core outcome set for infertility. Our critical outcomes were live birth rate and multiple pregnancy rate per woman. Important outcomes were clinical pregnancy, pregnancy loss, incidence of ovarian hyperstimulation syndrome (OHSS) per woman, total gonadotropin dose, total duration of stimulation per woman, gestational age at birth, birthweight, neonatal mortality, and major congenital anomaly. Risk of bias We used the Cochrane RoB 1 tool to assess bias in the included studies. Synthesis methods Where meta‐analysis was possible, we combined data using a fixed‐effect model to calculate the risk ratio (RR) or mean difference. We summarised the overall certainty of evidence for the main outcomes using GRADE criteria. Included studies We included 15 studies with 2348 women. Ten trials compared rFSH with urinary‐derived gonadotropins (one compared rFSH with human menopausal gonadotropin (HMG), and nine compared rFSH with urinary FSH). Three trials compared HMG with purified FSH (uFSH). One trial compared HP‐FSH with purified FSH (uFSH) and one trial compared gonadotropins with continued clomiphene citrate. Synthesis of results Recombinant FSH (rFSH) versus urinary‐derived gonadotropins There may be little or no difference in the birth rate between rFSH and urinary‐derived gonadotropins (RR 1.21, 95% confidence interval (CI) 0.83 to 1.78; 5 RCTs, 505 participants; low‐certainty evidence). This suggests that if the observed average live birth per woman who used urinary‐derived gonadotropins is 16%, the chance of live birth with rFSH is between 13% and 28%. There may be little or no difference between groups in multiple pregnancy (RR 0.86, 95% CI 0.46 to 1.61; 8 RCTs, 1368 participants; low‐certainty evidence), clinical pregnancy rate (RR 1.05, 95% CI 0.88 to 1.27; 8 RCTs, 1330 participants; low‐certainty evidence), or miscarriage rate (RR 1.20, 95% CI 0.71 to 2.04; 7 RCTs, 970 participants; low‐certainty evidence). We are uncertain whether rFSH reduces ectopic pregnancy (RR 2.81, 95% CI 0.12 to 67.90; 1 RCT, 151 participants; very‐low certainty evidence) or the incidence of OHSS (RR 1.48, 95% CI 0.82 to 2.65; 10 RCTs, 1565 participants; very low‐certainty evidence) when compared to urinary‐derived gonadotropins. Human menopausal gonadotropin (HMG) versus purified urinary FSH (uFSH) When compared to uFSH, we are uncertain whether HMG improves live birth rate (RR 1.44, 95% CI 0.55 to 3.76; 2 RCTs, 79 participants), or reduces multiple pregnancy (RR 6.56, 95% CI 0.28 to 152.45; 3 RCTs, 102 participants). We are also u certain whether HMG improves clinical pregnancy rate (RR 1.31, 95% CI 0.66 to 2.59; 3 RCTs, 102 participants), reduces miscarriage rate (RR 0.33, 95% CI 0.06 to 1.97; 2 RCTs, 98 participants), or reduces the incidence of OHSS (RR 7.07, 95% CI 0.42 to 117.81; 2 RCTs, 53 participants) when compared to uFSH. No trials reported on ectopic pregnancy. The certainty of the evidence was very low for all outcomes. Gonadotropins versus continued clomiphene citrate Gonadotropins (FSH) probably result in more live births than continued clomiphene citrate (RR 1.24, 95% CI 1.05 to 1.46; 1 RCT, 661 participants; moderate‐certainty evidence). This suggests that for a woman with a live birth rate of 41% with continued clomiphene citrate, the live birth rate with gonadotropins was between 43% and 60%. There may be little or no difference in multiple pregnancy between treatments (RR 0.89, 95% CI 0.33 to 2.44; 1 RCT, 661 participants; low‐certainty evidence). Gonadotropins probably result in more clinical pregnancies than continued clomiphene citrate (RR 1.31, 95% CI 1.13 to 1.52; 1 RCT, 661 participants; moderate‐certainty evidence), and may result in more miscarriages (RR 2.23, 95% CI 1.11 to 4.47; 1 RCT, 661 participants; low‐certainty evidence). We are uncertain if there is a difference in ectopic pregnancy between the groups (RR 0.51, 95% CI 0.09 to 2.77; 1 RCT, 661 participants; very low‐certainty evidence). None of the women developed OHSS. The main limitations were imprecision, inconsistency, and indirectness. Authors' conclusions There may be little or no difference in live birth, multiple pregnancy, clinical pregnancy, or miscarriage rates between rFSH and uFSH in women with PCOS. For HMG versus uFSH, we are uncertain whether one or the other improves or lowers rates of live birth, multiple pregnancy, clinical pregnancy, or miscarriage. We are uncertain whether any of the interventions reduce ectopic pregnancy or the incidence of OHSS. In women with clomiphene citrate failure, gonadotropins (FSH) probably result in more live births and clinical pregnancies than continued clomiphene citrate without increasing multiple pregnancies. Gonadotropins may increase the miscarriage rate per woman. We are uncertain if gonadotropins reduce ectopic pregnancy. None of the women developed OHSS. Funding This Cochrane review had no dedicated funding. Registration Protocol (2012) https://doi.org/10.1002/14651858.CD010290 Review (2015) https://doi.org/10.1002/14651858.CD010290.pub2/full Update (2019) https://doi.org/10.1002/14651858.CD010290.pub3 Plain language summary Which gonadotropins are the best choice to stimulate ovulation in women with polycystic ovary syndrome (PCOS) Key messages In women with polycystic ovary syndrome (PCOS), there may be little or no difference in live birth, multiple pregnancy (twins or triplets), pregnancy, or miscarriage rates between urinary‐derived gonadotropins (derived from urine from menopausal women) and recombinant follicle‐stimulating hormone (developed with recombinant DNA technology). For human menopausal gonadotropin (also derived from the urine of menopausal women) versus purified urinary follicle stimulating hormone, we are uncertain whether one or the other improves or reduces the chance of a live birth, multiple pregnancy, pregnancy, or miscarriage. In women who do not conceive after taking clomiphene citrate, gonadotropins probably result in more live births and pregnancies compared to continuing treatment with clomiphene citrate, without increasing the risk of having twins or triplets. Gonadotropins may increase the risk of a miscarriage. What is the problem? One in seven couples worldwide may experience infertility, defined as having trouble getting pregnant after one year of trying. Infertility due to problems with the release of an egg (ovulation) during the menstrual cycle is the most common reason for women to seek counselling or treatment. These women are treated by stimulating the release of an egg from the ovaries with medication, so‐called 'ovulation induction'. This is usuall done with pills containing clomiphene citrate, as the first choice of treatment. If women do not respond to clomiphene, the most common second choice of treatment is stimulation of egg release with gonadotropins, which are injectable drugs. What are the available treatments? Various types of gonadotropins have been developed by processing urine from menopausal women. These gonadotropins include human menopausal gonadotropin, available in purified and highly purified form, and purified and highly purified follicle‐stimulating hormone. Finally, recombinant follicle‐stimulating hormone was developed artificially to obtain even higher purity. Women who do ovulate, but do not get pregnant within six cycles of treatment with clomiphene citrate, may continue with clomiphene citrate or switch to gonadotropins. Gonadotropins can result in the development of multiple follicles. To prevent multiple pregnancy and ovarian hyperstimulation syndrome (OHSS), which is a serious condition, the cycle needs to be cancelled. It is important to know which medication works best to enable doctors and women to make informed decisions about the course of treatment. What did we want to find out? We wanted to find out which gonadotropin is the best choice to trigger egg release in women with PCOS who do not ovulate or get pregnant after taking clomiphene citrate pills. What did we do? We searched for studies comparing different gonadotropins to stimulate ovulation in women with PCOS. We summarised the results of the included studies and rated our confidence in the evidence by evaluating factors such as study methods and study size. What did we find? The review includes 15 studies with 2348 women with PCOS. Ten trials compared recombinant FSH with urinary‐derived gonadotropins. Three trials compared human menopausal gonadotropin with purified urinary follicle‐stimulating hormone and one trial compared gonadotropins with continued clomiphene citrate. Main results There may be little or no difference in live birth, multiple pregnancy, clinical pregnancy, or miscarriage rate between purified urinary‐derived gonadotropins and recombinant follicle‐stimulating hormone. We are uncertain whether human menopausal gonadotropin improves pregnancy outcomes in women with PCOS compared to urinary follicle‐stimulating hormone. We are uncertain whether any of the treatments reduce the risk of OHSS or ectopic pregnancy. When compared to continued treatment with clomiphene citrate, gonadotropins probably result in more live births and pregnancies without increasing the rate of multiple pregnancies. Gonadotropins may result in more miscarriages than clomiphene citrate, while there were no cases of OHSS. What are the limitations of the evidence? Our confidence in the evidence ranged from very low to moderate. Many studies had small sample sizes and were conducted a long time ago, meaning important information about study methods was missing. Ten of the 15 studies included in this review reported a commercial sponsor. We did not take costs and convenience into account; we do encourage patients to discuss costs, convenience and unwanted effects with their healthcare provider. How up to date is the evidence? This is a review update. The evidence is current to March 2024.</t>
  </si>
  <si>
    <t>J6285</t>
  </si>
  <si>
    <t>The cost-effectiveness of an online intervention to prevent dementia: Results from the Maintain Your Brain (MYB) randomised controlled trial</t>
  </si>
  <si>
    <t>&lt;b&gt;BACKGROUND&lt;/b&gt;: The Maintain Your Brain (MYB) randomised controlled trial (RCT) examined the effect of a multi-domain internet-based dementia prevention program against a control group (information only)._x000D_
&lt;b&gt;OBJECTIVES&lt;/b&gt;: A cost-effective analysis (CEA) quantified the differences in costs (direct healthcare and program costs) and effectiveness outcomes between the intervention and control groups from a healthcare sector perspective._x000D_
&lt;b&gt;DESIGN&lt;/b&gt;: An economic evaluation was conducted alongside the MYB RCT over three years._x000D_
&lt;b&gt;SETTING&lt;/b&gt;: Australians aged 55-77 years with at least 2 identified remediable risk factors for cognitive decline/dementia recruited from communities in New South Wales._x000D_
&lt;b&gt;PARTICIPANTS&lt;/b&gt;: There were 3,025 participants in the intervention group and 3,033 in the control group with available linked healthcare data via the Sax Institute's 45 and Up Study out of the 6104 enrolled in the trial (99.2% of total cohort)._x000D_
&lt;b&gt;INTERVENTION&lt;/b&gt;: The MYB trial comprised a personalised schedule of online coaching in physical activity, nutrition, cognitive activity, and depression or anxiety management._x000D_
&lt;b&gt;MEASUREMENTS&lt;/b&gt;: The two effectiveness outcomes were global cognition composite (GCC) scores and the Australian National University-Alzheimer's Disease Risk Index -short form (ANU-ADRI-SF) questionnaire scores. Costs included MYB program costs and the direct healthcare costs incurred by the MYB participants. All costs were reported in Australian dollars (AUD$) during the trial period. The time horizon of this analysis was 3 years after randomisation (2018-2021). Incremental cost-effectiveness ratio (ICERs) between the intervention and the control groups were calculated by comparing the average difference in costs to a mean difference in z score for GCC and ANU-ADRI-SF score using the bootstrapped means and 95% Confidence Intervals._x000D_
&lt;b&gt;RESULTS&lt;/b&gt;: The total unadjusted program and healthcare costs over three years were similar between groups (AUD$16,521 per person in the control group and AUD$16,473 in the intervention group). After adjusting for baseline characteristics, the average difference between groups in total cost per person at three years was not statistically different: AUD$467 favouring the control group (95%CI: -$552 - $1585). This was compared to a significant mean difference (improvement) in GCC z score at three years of 0.18 (95%CI: 0.13, 0.23) and -0.57 (95%CI: -0.95, -0.24) point difference in ANU-ADRI-SF for the intervention versus control. The base case ICERs were AUD$2,568 per 1 standard deviation in z score and $823 per reduction of 1 ANU-ADRI-SF point. With 1000 bootstrapped replications, the scatterplots of ICER ellipses suggest that the MYB intervention was more effective than the control group and with no significant difference in overall healthcare costs._x000D_
&lt;b&gt;CONCLUSION&lt;/b&gt;: The MYB trial showed cost-effectiveness for preventing cognitive decline and reducing dementia risk. Longer-term follow-up and dissemination to other cohorts is needed to confirm the impact on preventing future cases of dementia and relevance to other socio-economic and cultural/ethnic groups than those enrolled in the original trial.</t>
  </si>
  <si>
    <t>community (online)</t>
  </si>
  <si>
    <t>J6286</t>
  </si>
  <si>
    <t>J6287</t>
  </si>
  <si>
    <t>Alendronate for the primary and secondary prevention of osteoporotic fractures in postmenopausal women</t>
  </si>
  <si>
    <t>- Rationale Osteoporosis is an abnormal reduction in bone mass and bone deterioration, leading to increased fracture risk. Alendronate belongs to the bisphosphonate class of drugs, which inhibit bone resorption by interfering with the activity of osteoclasts (bone cells that break down bone tissue). This is an update of a Cochrane review first published in 2008. Objectives To assess the benefits and harms of alendronate in the primary and secondary prevention of osteoporotic fractures in postmenopausal women at lower and higher risk of fracture, respectively. Search methods We searched Evidence‐Based Medicine Reviews (which includes CENTRAL), MEDLINE, Embase, two trial registers, drug approval agency websites, and the bibliographies of relevant systematic reviews to identify the studies included in this review. The latest search date was 01 February 2023. We imposed no restrictions on language, date, form of publication, or reported outcomes. Eligibility criteria We included only randomized controlled trials that assessed the effects of alendronate on postmenopausal women. Targeted participants must have received at least one year of alendronate. We classified a study as secondary prevention if its population met one or more of the following hierarchical criteria: a diagnosis of osteoporosis, a history of vertebral fractures, a low bone mineral density T‐score (‐2.5 or lower), and 75 years old or older. If a study population met none of those criteria, we classified it as a primary prevention study. Outcomes Our major outcomes were clinical vertebral, non‐vertebral, hip, and wrist fractures, withdrawals due to adverse events, and serious adverse events. Risk of bias We used the Cochrane risk of bias 1 tool. Synthesis methods We used standard methodological procedures expected by Cochrane. Based on the previous review experience, in which the clinical and methodological characteristics in the primary and secondary prevention studies were homogeneous, we used a fixed‐effect model for meta‐analysis and estimated effects using the risk ratio (RR) for dichotomous outcomes. Our base case analyses included all eligible placebo‐controlled studies with usable data. We selected the data available for the longest treatment period. We consider a relative change exceeding 15% as clinically important. Included studies We included 119 studies, of which 102 studies provided data for quantitative synthesis. Of these, we classified 34 studies (15,188 participants) as primary prevention and 68 studies (29,577 participants) as secondary prevention. We had concerns about risks of bias in most studies. Selection bias was the most frequently overlooked domain, with only 20 studies (19%) describing appropriate methods for both sequence generation and allocation concealment. Eight studies (8%) were at low risk of bias in all seven domains. Synthesis of results The base case analyses included 16 primary prevention studies (one to five years in length; 10,057 women) and 20 secondary prevention studies (one to three years in length; 7375 women) which compared alendronate 10 mg/day (or 70 mg/week) to placebo, no treatment, or both. Indirectness, imprecision, and risk of bias emerged as the main factors contributing to the downgrading of the certainty of the evidence. For primary prevention, alendronate may lead to a clinically important reduction in clinical vertebral fractures (16/1190 in the alendronate group versus 24/926 in the placebo group; RR 0.45, 95% confidence interval [CI] 0.25 to 0.84; absolute risk reduction [ARR] 1.4% fewer, 95% CI 1.9% fewer to 0.4% fewer; low‐certainty evidence) and non‐vertebral fractures (RR 0.83, 95% CI 0.72 to 0.97; ARR 1.6% fewer, 95% CI 2.6% fewer to 0.3% fewer; low‐certainty evidence). However, clinically important differences were not observed for the following outcomes: hip fractures (RR 0.76, 95% CI 0.43 to 1.32; ARR 0.2% fewer, 95% CI 0.4% fewer to 0.2% more; low‐certainty evidence); wrist fractures (RR 1.12, 95% CI 0.84 to 1.49; ARR 0.3% more, 95% CI 0.4% fewer to 1.1 more; low‐certainty evidence); withdrawals due to adverse events (RR 1.03, 95% CI 0.89 to 1.18; ARR 0.2% more, 95% CI 0.9% fewer to 1.5% more; low‐certainty evidence); and serious adverse events (RR 1.08, 95% CI 0.82 to 1.43; ARR 0.5% more, 95% CI 1.2% fewer to 2.8% more; low‐certainty evidence). For secondary prevention, alendronate probably results in a clinically important reduction in clinical vertebral fractures (24/1114 in the alendronate group versus 51/1055 in the placebo group; RR 0.45, 95% CI 0.28 to 0.73; ARR 2.7% fewer, 95% CI 3.5% fewer to 1.3% fewer; moderate‐certainty evidence). It may lead to a clinically important reduction in non‐vertebral fractures (RR 0.80, 95% CI 0.64 to 0.99; ARR 2.8% fewer, 95% CI 5.1% fewer to 0.1% fewer; low‐certainty evidence); hip fractures (RR 0.49, 95% CI 0.25 to 0.96; ARR 1.0% fewer, 95% CI 1.5% fewer to 0.1% fewer; low‐certainty evidence); wrist fractures (RR 0.54, 95% CI 0.33 to 0.90; ARR 1.8% fewer, 95% CI 2.6% fewer to 0.4% fewer; low‐certainty evidence); and serious adverse events (RR 0.75, 95% CI 0.59 to 0.96; ARR 3.5% fewer, 95% CI 5.8% fewer to 0.6% fewer; low‐certainty evidence). However, the effects of alendronate for withdrawals due to adverse events are uncertain (RR 0.95, 95% CI 0.78 to 1.16; ARR 0.4% fewer, 95% CI 1.7% fewer to 1.3% more; very low‐certainty evidence). Furthermore, the updated evidence for the safety risks of alendronate suggests that, irrespective of participants' risk of fracture, alendronate may lead to little or no difference for gastrointestinal adverse events. Zero incidents of osteonecrosis of the jaw and atypical femoral fracture were observed. Authors' conclusions For primary prevention, compared to placebo, alendronate 10 mg/day may reduce clinical vertebral and non‐vertebral fractures, but it might make little or no difference to hip and wrist fractures, withdrawals due to adverse events, and serious adverse events. For secondary prevention, alendronate probably reduces clinical vertebral fractures, and may reduce non‐vertebral, hip, and wrist fractures, and serious adverse events, compared to placebo. The evidence is very uncertain about the effect of alendronate on withdrawals due to adverse events. Funding This Cochrane review had no dedicated funding. Registration This review is an update of the previous review (DOI: 10.1002/14651858.CD001155). Plain language summary Does alendronate help prevent fractures caused by osteoporosis in postmenopausal women? Key messages • Alendronate used for up to five years may prevent spinal fractures in women who are at lower risk for fractures, or in those who have not yet had a fracture of the spine. • Alendronate used for up to three years in women diagnosed with osteoporosis, with low bone density, or who have already had a fracture of the spine, probably prevents fractures of the spine. What is osteoporosis? Osteoporosis is a disease which makes bones weak and fragile. Bone is living tissue that is constantly being broken down and replaced. In osteoporosis, old bone breaks down faster than new bone can replace it. As this happens, the bones lose minerals (such as calcium). This makes bones more likely to break even after a minor injury, such as a bump or fall. Women are more likely to get osteoporosis after menopause. What is alendronate? Alendronate is a bisphosphonate, a type of medicine which slows down the cells that break down the old bone. What did we want to find out? We aimed to find out if alendronate is better than placebo (an inactive or 'dummy' medicine) or other medicines in preventing or reducing fractures in postmenopausal women. What did we do? We searched for studies that compared alendronate with placebo or other anti‐osteoporotic medicines for osteoporosis in postmenopausal women. We compared and summarized the results of the studies and rated our confidence in the evidence, based on factors such as study methods and sizes. What did we find? We found 119 eligible studies. Of these, 102 studies provided usable data, and 40 studies compared alen ronate to placebo (dummy pill). Key findings In women who are at a lower risk for fractures because they have bone density closer to normal, or they may not yet have a fracture in the bones of their spine, alendronate used for up to five years: may prevent clinical spinal fractures – that is, fractures indicated by clinical signs and symptoms, without radiographic evidence; may prevent fractures in bones other than the spine. However, specifically in hip and wrist fractures, alendronate may make no difference; may make no difference to the number of women who withdrew from the study due to adverse events – that is, unwanted, harmful events; may make no difference to the number of women experiencing serious adverse events. In women who are at a higher risk for fractures because they have already been diagnosed with osteoporosis, have low bone density, or have already had a spinal fracture, alendronate used for up to three years: probably prevents clinical spinal fractures; may prevent fractures in bones other than the spine; may prevent hip and wrist fractures; may reduce serious adverse events; We do not know if alendronate reduces withdrawals due to adverse events in this group of women. The best estimates for women at lower fracture risk taking alendronate or placebo are as follows. For clinical spinal fractures, evidence suggests that if 3 out of 100 women taking placebo experience a fracture, only 1 out of 100 women taking alendronate will. If 10 out of 100 women on placebo have a fracture in bones other than the spine, only 8 out of 100 on alendronate are likely to. For hip and wrist fractures, there may be no difference between the two groups in the number of women experiencing fractures. The best estimates for women at higher fracture risk taking alendronate or placebo are as follows. If 5 out of 100 women on placebo have a clinical spinal fracture, only 2 out of 100 women on alendronate are likely to. If 14 out of 100 women on placebo have a fracture in bones other than the spine, only 11 out of 100 on alendronate are likely to. If 2 out of 100 women on placebo have a hip fracture, only 1 out of 100 on alendronate are likely to. If 4 out of 100 women on placebo have a wrist fracture, only 2 out of 100 on alendronate are likely to. What are the limitations of the evidence? For most findings, our confidence in the evidence was low, because it is possible that the women in the studies, and the researchers assessing outcomes, were aware of which treatment the women received. Additionally, some of the evidence focused on specific alendronate doses, whereas the question we wanted to answer was broader. Finally, for some fracture outcomes, the evidence was based on few cases. How current is the evidence? The evidence is current to 1 February 2023. This is an update of a Cochrane review originally published in 2008.</t>
  </si>
  <si>
    <t>J6288</t>
  </si>
  <si>
    <t>Stem cell injections for osteoarthritis of the knee</t>
  </si>
  <si>
    <t>- Background Stem cells are specialised precursor cells that can replace aged or damaged cells and thereby maintain healthy tissue function. Stem cell therapy is increasingly used as a treatment for knee osteoarthritis, despite the lack of clarity around the mechanism by which stem cell therapy may slow down disease progression in osteoarthritis, and uncertainty regarding its benefits and harms. Objectives To assess the benefits and harms of stem cell injections for people with osteoarthritis of the knee. A secondary objective is to maintain the currency of the evidence, using a living systematic review approach. Search methods We searched the Cochrane Central Register of Controlled Trials (CENTRAL), MEDLINE and Embase on 15 September 2023, unrestricted by date or language of publication. We also searched ClinicalTrials.gov and the WHO International Clinical Trials Registry Platform (ICTRP) for relevant trial protocols and ongoing trials. Selection criteria We included randomised controlled trials (RCTs), or trials using quasi‐randomised methods of participant allocation, comparing stem cell injection with placebo injection, no treatment or usual care, glucocorticoid injection, other injections, exercise, drug therapy, surgical interventions, and supplements and complementary therapies in people with knee osteoarthritis. Data collection and analysis Two review authors selected studies for inclusion, extracted trial characteristics and outcome data, assessed risk of bias and assessed the certainty of evidence using the GRADE approach. The primary comparison was stem cell injection compared with placebo injection. The primary time point for pain, function and quality of life was three to six months, and the end of the trial period for participant‐reported success, joint structure changes and adverse event outcomes. Major outcomes were pain, function, quality of life, global assessment of success, radiographic joint progression, withdrawals due to adverse events and serious adverse events. Main results We found 25 randomised trials (1341 participants) comparing stem cell injections with placebo injection (eight trials), no treatment or usual care (analgesia, weight loss and exercise) (two trials), glucocorticoid injection (one trial), hyaluronic acid injection (seven trials), platelet‐rich plasma injections (two trials), oral acetaminophen (paracetamol) (one trial), non‐steroidal anti‐inflammatory drugs plus physical therapy plus hyaluronic acid injection (one trial) and stem cell injection plus intra‐articular co‐intervention versus co‐intervention alone (three trials) in people with osteoarthritis of the knee. Trials were predominantly small, with sample sizes ranging from 6 to 252 participants, with only two trials having more than 100 participants. The average age of participants across trials ranged from 51 to 66 years, and symptom duration varied from one to 10 years. Placebo‐controlled trials were largely free from bias, while most trials without a placebo control were susceptible to performance and detection biases. Here, we limit reporting to the main comparison, stem cell injection versus placebo injection. Compared with placebo injection, stem cell injection may slightly improve pain and function up to six months after treatment. Mean pain (0 to 10 scale, 0 no pain) was 4.5 out of 10 points with placebo injection and 1.2 points better (2.5 points better to 0 points better) with stem cell injection (I 2 = 80%; 7 studies, 445 participants). Mean function (0 to 100 scale, 0 best function) was 46.3 points with placebo injection and 14.2 points better (25.3 points better to 3.1 points better) with stem cell injection (I 2 = 82%; 7 studies, 432 participants). We are uncertain whether stem cell injections improve quality of life or increase the number of people who report treatment success compared to placebo injection, because the certainty of the evidence was very low. Mean quality of life was 45.3 points with placebo injection and 22.8 points better (18.0 points worse to 63.7 point better) with stem cell injection (I 2 = 96%; 2 studies, 288 participants) at up to six months follow‐up. At the end of follow‐up, 89/168 participants (530 per 1000) in the placebo injection group reported treatment success compared with 126/180 participants (683 per 1000) in the stem cell injection group (risk ratio (RR) 1.29, 95% CI 1.10 to 1.53; I 2 = 0%; 4 trials, 348 participants). We downgraded the evidence to low certainty for pain and function due to indirectness (as the source, method of preparation and dose of stem cells varied across studies), and suspected publication bias (up to three larger RCTs have been conducted but withdrawn prior to reporting of results). For quality of life and treatment success, we further downgraded the evidence to very low certainty due to imprecision in addition to indirectness and suspected publication bias. We are uncertain of the potential harms associated with stem cell injection, as there were very low event rates for serious adverse events. At the end of follow‐up, 5/219 participants (23 per 1000) in the placebo injection group experienced serious adverse events compared with 4/242 participants (16 per 1000) in the stem cell injection group (RR 0.72, 95% CI 0.20 to 2.64; I 2 = 0%; 7 trials, 461 participants) and there were no reported withdrawals due to adverse events. We downgraded the evidence to very low certainty due to indirectness, suspected publication bias and imprecision. Radiographic progression was not assessed in any of the included studies. Authors' conclusions Compared with placebo injections and based upon low‐certainty evidence, stem cell injections for people with knee osteoarthritis may slightly improve pain and function. We are uncertain of the effects of stem cell injections on quality of life or the number who report treatment success. Although the putative benefits of stem cell therapies for osteoarthritis include potential regenerative effects on damaged tissues, particularly articular cartilage, we remain uncertain of the effect of stem cell injections on structural progression in the knee (measured by radiographic appearance). There is also uncertainty regarding the safety of stem cell injections. Serious adverse events were infrequently reported, although all invasive joint procedures (including injections) carry a small risk of septic arthritis. The risk of other important harms, including potential concerns related to the use of a therapy with the theoretical capacity to promote cell growth, or to the use of allogeneic cells, remains unknown. Plain language summary What are the benefits and risks of stem cell injections for knee osteoarthritis? Key messages • Compared with placebo injection, stem cell injection for people with knee osteoarthritis may slightly improve pain and function. • We are uncertain whether stem cell injection slows down the progression of the disease, improves quality of life or the chance of treatment success, or whether stem cell injections are safe. What is osteoarthritis? Osteoarthritis is a disease of the joints. The joint loses cartilage and other changes to the structure of the joint may occur. This can lead to pain and reduced ability to use the joint. How is osteoarthritis treated? Most treatments aim to relieve symptoms, although few are effective. Joint replacement surgery is the only definitive treatment, and is reserved for people with severe disease who have not experienced any benefit from other treatments. Stem cells are a special type of cell that can develop into mature cells in different parts of the body, including cells that produce cartilage, bone and fat tissue. Thus, in theory, these stem cells could lead to regrowth of damaged cartilage in the joint, which has led to their use as a treatment for osteoarthritis. What did we want to find out? We wanted to find out if stem cell injections improve pain, function, treatment success and quality of life, slow down disease progression or lead to harm in people with knee osteoarthritis. What did we do? We searched for studies that investigated tem cell injection compared with placebo, no treatment or usual (routine) care, or other treatments in knee osteoarthritis. We compared and summarised the results of the studies and rated our confidence in the evidence, based on factors such as variability in the stem cell injections, completeness of the evidence and study size. What did we find? We found 25 studies (1341 participants), including 8 studies (459 participants) that compared stem cell injection into the knee with a placebo injection. The remaining studies compared stem cell injection with no treatment or usual care (2 studies, 30 participants), intra‐articular glucocorticoid injection (1 study, 33 participants), hyaluronic acid injection (7 studies, 429 participants), platelet‐rich plasma injection (2 studies, 142 participants), oral acetaminophen (paracetamol; 1 study, 51 participants), NSAIDs (non‐steroidal anti‐inflammatory drugs) plus physical therapy plus hyaluronic acid injection (1 study, 57 participants) and stem cell injection plus intra‐articular co‐intervention versus co‐intervention alone (3 studies, 140 participants). Studies were conducted worldwide, including Europe, the Middle East, Asia, the USA, South America, the United Kingdom and Australia. Main results Compared with placebo injections, stem cell injections may improve pain and function slightly. Pain measured on a 0 to 10 scale (0 is no pain) at six months was 1.2 points better with stem cell injection. • People who had stem cell injection rated their pain as 3.3 points. • People who had placebo injection rated their pain as 4.5 points. Function measured on a 0 to 100 scale (0 is best function) at six months was 14.2 points better with stem cell injection. • People who had stem cell injection rated their function as 32.1 points. • People who had placebo injection rated their function as 46.3 points. Quality of life measured on a 0 to 100 scale (0 is best function) at six months was 22.8 points better with stem cell injection. • People who had stem cell injection rated their quality of life as 68.1 points. • People who had placebo injection rated their quality of life as 45.3 points. After stem cell injection, 153 more people per 1000 rated their treatment a success at 12 months. • 683 per 1000 reported treatment success with stem cell injection. • 530 per 1000 reported treatment success with placebo injection. After stem cell injection, seven fewer people per 1000 had serious adverse events at 12 months. • 16 per 1000 people experienced a serious adverse event with stem cell injection. • 23 per 1000 people reported a serious adverse event with placebo injection. No withdrawals from the study due to harms from stem cell or placebo injections were reported. Disease progression was not assessed in any study. What are the limitations of the evidence? Our confidence in the estimates for pain and function is low, as the optimal preparation and dose of stem cells is unknown, and varied across studies. Further, up to three larger studies could not be included, as they were conducted but withdrawn by their investigators before reporting results. We are uncertain whether more people report treatment success, or improvement in quality of life. We are uncertain of the risk of serious harms and harms leading to treatment discontinuation because, in addition to the variation in stem cells used across studies and missing results from larger studies, there were a very small number of events. How up‐to‐date is this evidence? The evidence is up‐to‐date to 15 September 2023. Editorial note: This is a living systematic review. We search for new evidence every three months and update the review when we identify relevant new evidence. Please refer to the Cochrane Database of Systematic Reviews for the current status of this review.</t>
  </si>
  <si>
    <t>J6289</t>
  </si>
  <si>
    <t>European strategies in the screening of biliary atresia: A scoping review</t>
  </si>
  <si>
    <t>Background Biliary atresia (BA) is a rare condition that meets the criteria for neonatal screening. Taiwan province of China led the way in BA screening during the 1990s by introducing a neonatal stool color card (SCC), which proved effective in facilitating early BA diagnosis and improving outcomes. Another commonly studied BA screening approach is serum bilirubin measurement. Several European countries have also begun implementing BA screening initiatives, although slowly. In this study, we evaluate BA screening strategies across Europe. Methods Published data, after having performed a scoping review, as well as internet searches were analyzed. Screening approaches proposed in Europe are described, including SCC, serum bilirubin measurements, and other biochemical markers such as bile acids or amino acid profiles. Results In Europe, national BA screening programs have been established solely in Switzerland, France, and Germany, all using the SCC. Other European countries, such as the Netherlands, Portugal, and Italy, have made efforts, but have yet to achieve broad implementation beyond localized initiatives. Skepticism among healthcare professionals and logistical challenges seem to hinder broader adoption. Emerging technologies, such as artificial intelligence-enhanced SCC applications, may show promise in overcoming these barriers. Serum bilirubin measurement is another widely deliberated method, particularly in the UK, where it has been shown to be sensitive and specific for BA detection. However, logistical and financial limitations remain key obstacles to its widespread use. Other biochemical methods, such as bile acid and amino acid profiling, have shown potential in research settings, but lack clinical translation in Europe. Conclusions This review highlights Europe's limited role in global BA screening efforts and emphasizes the need for advocacy, collaboration, and integration of screening strategies tailored to regional healthcare systems. Combining the SCC with bilirubin measurements could optimize cost-effectiveness and efficiency. Expanding BA screening programs requires strengthening advocacy efforts to improve outcomes for affected infants. Copyright © Author(s) (or their employer(s)) 2025.</t>
  </si>
  <si>
    <t>J6290</t>
  </si>
  <si>
    <t>Transfusion of blood and blood products for the management of postpartum haemorrhage</t>
  </si>
  <si>
    <t>- Rationale Postpartum haemorrhage (PPH) is commonly defined as blood loss of 500 mL or greater within 24 hours after birth. Intravenous transfusions of whole blood, red blood cells (RBC), or other blood components collected from a donor may be administered to manage PPH. Key questions remain regarding optimal timing for initiating blood and blood product transfusion in managing PPH and whether the use of fractionated blood products, either as replacement for or in addition to whole blood transfusion, could improve maternal outcomes. No systematic review has examined appropriate transfusion strategies for managing PPH. Objectives To assess the benefits and harms of transfusion of whole blood or other blood products for preventing morbidity and mortality among women with PPH. Search methods We searched CENTRAL, MEDLINE, Embase, and two trials registers, together with reference checking, citation searching, and contact with study authors to identify studies for inclusion in the review. The latest search was 18 July 2024. Eligibility criteria We considered randomised controlled trials (RCTs), cluster‐randomised trials, or controlled non‐randomised studies of interventions (NRSI) evaluating the efficacy and safety of blood transfusion for managing PPH, regardless of the mode of birth. Outcomes Our critical outcomes were maternal death, severe maternal morbidity, and adverse effects. Risk of bias We assessed risk of bias in included studies using the Cochrane RoB 2 tool and the Risk Of Bias In Non‐randomized Studies of Interventions (ROBINS‐I) tool. Synthesis methods We synthesised results for each outcome within each comparison using meta‐analysis where possible, and used GRADE to assess the certainty of evidence for each outcome. Included studies We included 12 studies with 17,868 participants. We excluded five NRSIs from outcome analyses due to critical risk of bias related to confounding. Synthesis of results One threshold for initiating transfusion versus another threshold for initiating transfusion None of the studies assessed this comparison. One‐ to two‐unit RBCs versus no transfusion Among women with moderate blood loss, low‐certainty evidence from one NRSI found that transfusing 1 to 2 units of RBCs to treat PPH may increase severe maternal morbidity – composite excluding intensive care unit (ICU) admission (risk ratio (RR) 7.00, 95% confidence interval (CI) 2.75 to 17.80; 2130 women) and severe maternal morbidity – ICU admission (RR 2.12, 95% CI 1.20 to 3.75; 2130 women), though we have substantial concerns about the potential bias due to confounding as the volume of blood lost was not controlled for in the analysis. The study did not report maternal death or adverse effects. Packed RBCs versus whole blood versus combination of blood products One NRSI assessed this comparison but had critical risk of bias and was subsequently excluded from analysis. Fresh frozen plasma (FFP)/RBCs with fibrinogen concentrate versus FFP/RBCs alone One NRSI assessed this comparison but had critical risk of bias and was subsequently excluded from analysis. Fibrinogen concentrate versus placebo or no fibrinogen concentrate The evidence is very uncertain about the effect of fibrinogen concentrate on maternal death (0 events; 2 studies, 674 women; very low‐certainty evidence). Fibrinogen concentrate probably results in little to no difference in severe maternal morbidity – ICU admission (RR 1.09,0 95% CI 0.80 to 1.49; 2 studies, 485 women; moderate‐certainty evidence). The evidence is very uncertain about the effect of fibrinogen concentrate on severe maternal morbidity – arterial embolisation (1 study, 430 women; very low‐certainty evidence). One RCT (430 women) and one NRSI (730 women) reported severe maternal morbidity – hysterectomy , each of which reported different directions of effect with low‐certainty evidence. Fibrinogen concentrate may result in little to no difference in adverse effect – thromboembolic events (RR 0.19, 95% CI 0.01 to 3.95; 2 studies, 674 women; l w‐certainty evidence). The evidence is very uncertain about the effects of fibrinogen concentrate on additional adverse effects, such as shivering or fever (1 study, 244 women; very low‐certainty evidence). Cryoprecipitate versus no cryoprecipitate The evidence is very uncertain about the effect of cryoprecipitate on maternal death . One RCT (0 deaths; 180 women; very low‐certainty evidence) and one NRSI (0 deaths; 157 women; very low‐certainty evidence) reported this outcomes. The evidence is also very uncertain about the effects of cryoprecipitate on severe maternal morbidity – ICU admission , severe maternal morbidity – any organ failure , severe maternal morbidity – laparotomy , or severe maternal morbidity – uterine artery embolisation (1 study, 180 women; very low‐certainty evidence). One RCT (180 women; very low‐certainty evidence) and one NRSI (157 women; very low‐certainty evidence) reported severe maternal morbidity – hysterectomy and the evidence is very uncertain. The evidence is also very uncertain about the effects of cryoprecipitate on adverse effects, such as thromboembolic events or transfusion‐related reactions (1 study, 180 women; very low‐certainty evidence). Massive transfusion protocol versus no massive transfusion protocol Two NRSIs assessed this comparison but had critical risk of bias and were subsequently excluded from analysis. Authors' conclusions Overall, available evidence for the effects of blood and blood product transfusion on priority maternal outcomes is largely uncertain. Low‐certainty evidence suggests that 1 to 2 units of RBC transfusion may increase the risk of severe maternal morbidity; however, we urge caution when interpreting this finding as the effect estimates are at serious risk of bias due to possible confounding. We are unable to comment on the effects of larger blood transfusion amounts on severe maternal morbidity. Funding This review received no dedicated funding. Registration This protocol for this Cochrane review is registered with PROSPERO. Available from: https://www.crd.york.ac.uk/prospero/display_record.php?ID=CRD42024599608 . Plain language summary What are the benefits and harms of transfusions of blood and blood products for managing postpartum haemorrhage? Key messages The best time for women to begin receiving an allogeneic blood transfusion (where blood from a donor is injected into the woman's bloodstream through a vein) to reduce complications from excessive blood loss within 24 hours of birth (postpartum haemorrhage) is unknown. The effect of blood products (substances produced from whole blood) instead of, or in addition to, whole blood transfusion on reducing complications of postpartum haemorrhage is largely uncertain. What is postpartum haemorrhage? Postpartum haemorrhage is heavy bleeding after birth. It is commonly defined as a blood loss of 500 mL or more within 24 hours of birth. Worldwide, it is one of the leading causes of maternal death. How is postpartum haemorrhage treated? There are presently no guidelines on how postpartum haemorrhage should be treated, but transfusions of whole blood or parts of the blood (called blood products, such as fresh frozen plasma, which is made from the liquid part of the blood) can be used to manage postpartum haemorrhage and prevent complications among women who are actively bleeding. What did we want to find out? We wanted to find out the benefits and harms of different transfusion treatments for managing postpartum haemorrhage, which women should begin receiving a blood transfusion and when, and which blood products, alone or in combination, are best. What did we do? We searched for studies that evaluated the benefits and harms of blood transfusion for managing postpartum haemorrhage. We compared and summarised the results of the studies and rated our confidence in the evidence, based on factors such as study methods and sizes. What did we find? We found 12 studies with 17,868 women. We were able to use eight of these studies as four had problems with study design We found no certain evidence on when to start blood transfusion or on whether using blood products instead of, or in addition to, whole blood transfusion reduces complications of postpartum haemorrhage. Overall, we had very little confidence in the findings. Several factors affected this. Many studies did not randomly place women into the different treatment groups. This means that differences between the groups could have been due to differences between women rather than between the treatments. While some studies did randomly place women into the treatment groups, we had concerns about how this was done. A few studies were small and the results varied. What are the limitations of the evidence? We could not draw any conclusions on the benefits and harms of blood transfusions for postpartum haemorrhage management with any certainty because the studies produced findings in which we have very little overall confidence. How up to date is the evidence? The evidence is up to date to 18 July 2024.</t>
  </si>
  <si>
    <t>J6291</t>
  </si>
  <si>
    <t>The Comparison of Cost-Effectiveness Between Magnetic Resonance Spectroscopy and Provocative Discography in the Identification of Chronic Low Back Pain Surgery Candidates</t>
  </si>
  <si>
    <t>&lt;b&gt;Background/Context&lt;/b&gt;: Chronic low back pain (CLBP) is a significant US healthcare burden with millions of lumbar spine procedures annually. Diagnostic tests are essential to guide treatment but provocative discography (PD), the most common diagnostic procedure, is without robust evidence of its value. A non-invasive alternative using Magnetic Resonance Spectroscopy (MRS) offers a potential solution._x000D_
&lt;b&gt;Context/Purpose&lt;/b&gt;: We assess cost-effectiveness of MRS with NOCISCAN diagnostic algorithm compared to PD for identifying lumbar discs requiring surgical intervention._x000D_
&lt;b&gt;Study Design/Setting&lt;/b&gt;: We conducted cost-effectiveness analysis using modelling._x000D_
&lt;b&gt;Patient Sample&lt;/b&gt;: We used data from a clinical study of 139 CLBP patients who met criteria for and received PD of lumbar spine and presented with an ODI score &gt;=40; comparing PD and MRS-based diagnostics._x000D_
&lt;b&gt;Outcome Measures&lt;/b&gt;: We considered diagnostic costs, adverse events, surgical costs and outcomes based on a 15-point improvement on the Oswestry Disability Index._x000D_
&lt;b&gt;Methods&lt;/b&gt;: Incremental cost-effectiveness ratios (ICERS) and probabilistic sensitivity analyses were determined. Some authors have consulted for Aclarion._x000D_
&lt;b&gt;Results&lt;/b&gt;: Mean total cost per PD patient was $59,711, and $57,998 for MRS, demonstrating $1712 cost savings per MRS diagnosed patient. Diagnostic costs ($1950 for PD; $1450 for MRS), saved $500 per MRS patient. PD incurred adverse event costs ($57,323) for 1% of patients, which MRS eliminated. MRS-based diagnosis showed 78% surgical success, whereas PD achieved 68%. MRS was the dominant diagnostic strategy, with better clinical outcomes and cost savings. Probabilistic sensitivity analysis confirmed MRS dominance and was cost-effective across a wide range of willingness-to-pay thresholds and across 2 different scenarios which vary base-case outcomes and surgical rates._x000D_
&lt;b&gt;Conclusion&lt;/b&gt;: This study demonstrates cost-effectiveness dominance of MRS with the Nociscan diagnostic algorithm over PD for identifying CLBP surgical candidates. MRS provides significant cost savings and leads to better surgical outcomes, making it a preferred choice for insurers and health systems.</t>
  </si>
  <si>
    <t>cost saving (USA)</t>
  </si>
  <si>
    <t>J6292</t>
  </si>
  <si>
    <t>Entecavir for children and adults with chronic hepatitis B</t>
  </si>
  <si>
    <t>- Rationale Chronic hepatitis B is a major worldwide public health concern. Entecavir, one nucleos(t)ide analogue antiviral therapy option, is recommended as the first‐line drug for chronic hepatitis B in many clinical guidelines. However, none of the guideline recommendations are based on the findings of a systematic review with meta‐analysis, where entecavir versus no treatment or placebo are compared directly. Objectives To evaluate the benefits and harms of entecavir versus no treatment or placebo in children and adults with chronic hepatitis B, who are either hepatitis B e‐antigen (HBeAg)‐positive or HBeAg‐negative. Search methods We searched the Cochrane Hepato‐Biliary Group Controlled Trials Register, Cochrane Central Register of Controlled Trials, MEDLINE Ovid, Embase Ovid, three other databases, online trial registries, and reference lists, and contacted authors. The latest search was on 19 July 2024. Eligibility criteria We included randomised clinical trials comparing entecavir versus no treatment or placebo in children or adults, or both, with chronic hepatitis B, and irrespective of treatment history with other antiviral drugs and other viral co‐infections. We allowed co‐interventions when administered equally to all intervention groups. Outcomes The outcomes reported in this abstract and in the summary of findings table are all‐cause mortality, health‐related quality of life, and proportion of people with serious adverse events at the longest follow‐up. Risk of bias We used the Cochrane RoB 2 tool to assess risk of bias in the included trials. Synthesis methods We used a random‐effects model to meta‐analyse outcome results, where possible, and presented the results as a risk ratio (RR) with 95% confidence interval (CI). Where there was considerable heterogeneity, we performed a narrative analysis. We used a fixed‐effect model for sensitivity analysis. We used GRADE to evaluate the certainty of evidence. Included studies We included 22 randomised clinical trials (published from 2005 to 2022) with 2940 participants diagnosed with chronic hepatitis B. All trials had a parallel‐group design. The experimental intervention was oral entecavir, with a follow‐up duration of 5 weeks to 228 weeks. The comparator in 12 trials was no treatment, and in 10 trials was placebo. Fourteen trials equally administered co‐interventions to the trial participants in the entecavir and no treatment and placebo groups. One trial included participants between 14 years and 55 years of age, one trial included only children, 19 trials included only adults, and one trial did not provide the age of participants. Synthesis of results Twenty trials contributed data to the quantitative analysis. Ten trials (1379 participants) reported all‐cause mortality with a mean follow‐up duration of 48.9 weeks (range 5 to 100 weeks). The result was not estimable because no deaths occurred in any of the entecavir and no treatment or placebo groups. None of the trials provided data on health‐related quality of life. We are very uncertain about the effect of entecavir versus no treatment or placebo on the proportion of people with serious adverse events (RR 0.66, 95% CI 0.33 to 1.32; absolute risk difference 22 fewer per 1000 (from 44 fewer to 21 more); 15 trials, 1676 participants; very low‐certainty evidence). The mean follow‐up duration was 58.4 weeks (range 5 weeks to 228 weeks). We downgraded the certainty of evidence for these outcomes to very low, mainly because the overall risk of bias in most trials was with some concerns or high, and serious imprecision (no events or few events). Authors' conclusions Given the issues of risk of bias and insufficient power of the included trials and the very low certainty of the available evidence, we could not determine the effect of entecavir versus no treatment or placebo on critical outcomes such as all‐cause mortality and serious adverse events. There is a lack of data on health‐related quality of life. Given the first‐line recommendation and wi e usage of entecavir in people with chronic hepatitis B, further evidence on clinically important outcomes, analysed in this review, is needed. Funding This Cochrane review had no dedicated funding. Registration Registration: Entecavir for children and adults with chronic hepatitis B, CD015536 via DOI 10.1002/14651858.CD015536. Plain language summary Is entecavir better than no treatment or placebo for treating people with chronic hepatitis B? Key messages We could not estimate the effects of entecavir (a medicine used to treat infections caused by viruses) on death due to any cause in people with chronic hepatitis B (a common liver disease) as there were no deaths. No studies looked at health‐related quality of life (a measure of a person's satisfaction with their life and health). We do not know whether entecavir is better than no treatment or placebo (a pretend treatment) regarding the proportion of people with serious harmful effects. We found 10 ongoing studies that may provide further evidence for the benefits and harms of entecavir for people with chronic hepatitis B in updates of this review. What is chronic hepatitis B? Chronic hepatitis B is a common liver disease and is frequently spread through unprotected sex (without using barrier methods such as condoms), or transmission from the mother to the child during pregnancy, labour, and birth, or while breastfeeding. There were 296 million people infected with chronic hepatitis B in 2019. It is estimated that every year, about 1.5 million people will become infected with hepatitis B. Chronic hepatitis B caused more than 800,000 deaths in 2019 and is also associated with the incidence of cirrhosis (severe scarring of the liver) and hepatocellular carcinoma (liver cancer). How is chronic hepatitis B treated? Antiviral medicines (which are used to treat infections caused by viruses) are widely accepted therapies for chronic hepatitis B. These include interferon‐alpha therapy (medications that mimic a protein naturally produced by the body to combat viral infections) and nucleos(t)ide analogue therapy (medications that mimic the building blocks of viral genetic material to prevent the virus from replicating). Entecavir is a nucleos(t)ide analogue antiviral medicine and has comparable benefits and harms to other antiviral medicines, but it has a lower cost and it is not easy to develop resistance (where viruses no longer respond to antiviral medicines). Therefore, entecavir has been used as the preferred medicine in treating people with chronic hepatitis B. What did we want to find out? We wanted to find out if entecavir is useful and safe for children and adults with chronic hepatitis B compared with no treatment or placebo (a pretend treatment). What did we do? We searched for studies in which people with confirmed chronic hepatitis B were randomly allocated to one of two treatment groups. People in the studies received either entecavir or no treatment or placebo. We allowed other treatments, such as standard medical therapies and other supportive measures, if these were equally administered to the people in all study groups (which means that treatments administered to all study groups can be ignored). We compared and summarised the results of the studies and rated our confidence in the evidence, based on factors such as study methods and sizes. What did we find? We found 22 studies involving 2940 people with chronic hepatitis B. No studies looked at the impact of using entecavir on health‐related quality of life (a measure of a person's satisfaction with their life and health) in people with chronic hepatitis B. The effect of entecavir on the risk of death due to any cause could not be estimated as there were no deaths in any of the available studies. There was insufficient evidence to determine whether entecavir was better or worse than no treatment or placebo regarding the proportion of people with serious harmful effects. What are the limitations of the evidence? The included studies did not provide data on health‐related quality of life. We could not est mate the effect of entecavir on death in people with chronic hepatitis B. Some studies were very small, and some studies used methods likely to introduce errors in their results. For example, it is possible that people in the studies were aware of which treatment they were receiving and the knowledge of the treatment may have influenced how they reported the effects. Therefore, we have very low confidence in our findings and the results of further studies may change the results of this review. How up to date is this evidence? The evidence is up to date to 19 July 2024.</t>
  </si>
  <si>
    <t>Not cash releasing. Vague mention of lower costs</t>
  </si>
  <si>
    <t>J6293</t>
  </si>
  <si>
    <t>Economic evaluation of personalised versus conventional risk assessment for women who have undergone testing for hereditary breast and ovarian cancer genes: A modelling study</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</si>
  <si>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 Author(s) (or their employer(s)) 2025. Re-use permitted under CC BY. Published by BMJ Group.</t>
  </si>
  <si>
    <t>specific population - women who have undergone testing for hereditary breast and ovarian cancer genes</t>
  </si>
  <si>
    <t>could be prevention</t>
  </si>
  <si>
    <t>J6294</t>
  </si>
  <si>
    <t>Evolution and effectiveness of bilateral and multilateral development assistance for health: a mixed-methods review of trends and strategic shifts (1990-2022)</t>
  </si>
  <si>
    <t>Background Development assistance for health (DAH) plays a vital role in supporting health programmes in low- and middle-income countries. While DAH has historically focused on infectious diseases and maternal and child health, there is a lack of comprehensive analysis of DAH trends, strategic shifts and their impact on health systems and outcomes. This study aims to provide a comprehensive review of DAH from 1990 to 2022, examining its evolution and funding allocation shifts. Methods We conducted a mixed-methods review, adhering to the Preferred Reporting Items for Systematic Reviews and Meta-Analyses guidelines. A systematic literature search was performed across PubMed, Embase, Web of Science and the Cochrane databases, yielding 102 eligible studies. Quantitative data were obtained from the Institute for Health Metrics and Evaluation database, covering DAH data from 1990 to 2022. Qualitative data were analysed through thematic synthesis based on the WHO's six health system building blocks. Results The DAH has predominantly focused on HIV/AIDS and maternal and child health. Despite the increasing global burden of non-communicable diseases (NCDs), the proportion of DAH allocated to NCDs remained low, increasing only from 1% in 1990 to 2% in 2022. Similarly, the overall funding for health system strengthening decreased from 19% in 1990 to 7% in 2022. Major contributors to DAH included the USA, the UK and the Bill &amp; Melinda Gates Foundation. While associations between DAH and improvements in certain health outcomes were observed, establishing causality is challenging due to multiple influencing factors. The COVID-19 pandemic underscored the importance of robust health systems. However, DAH allocation did not show any substantial shift towards health system strengthening during this period. Economic evaluations calculated the median incremental cost-effectiveness ratio of DAH interventions, Conclusions This study reviews DAH trends from 1990 to 2022, showing a predominant focus on HIV/AIDS and maternal and child health, with insufficient attention to NCDs and health system strengthening. Despite the increasing burden of NCDs and the impact of COVID-19, DAH priorities have not significantly shifted, highlighting the need for ongoing evaluation and strategic adjustments. To enhance DAH effectiveness, it is crucial to adopt a more balanced approach and also align interventions with needs from recipient countries and implement evidence-based strategies with continuous monitoring and evaluation. Copyright © Author(s) (or their employer(s)) 2025. Re-use permitted under CC BY-NC. No commercial re-use. See rights and permissions. Published by BMJ Group.</t>
  </si>
  <si>
    <t>low+middle income countries</t>
  </si>
  <si>
    <t>development assistance for health</t>
  </si>
  <si>
    <t>J6295</t>
  </si>
  <si>
    <t>Cross language transformation of free text into structured lobectomy surgical records from a multi center study</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</si>
  <si>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 Copyright © 2025. The Author(s).</t>
  </si>
  <si>
    <t>J6296</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</si>
  <si>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t>
  </si>
  <si>
    <t>J6297</t>
  </si>
  <si>
    <t>TCTAP A-086 Implementing Vascular Scientist-Led Contrast-Enhanced Ultrasound (CEUS) Endovascular Aneurysm Repair (EVAR) Scans to Enhance the Patient Pathway in the United Kingdom</t>
  </si>
  <si>
    <t>Background: This project aimed to evaluate the effectiveness of a Vascular Scientist-led contrast-enhanced ultrasound (CEUS) service for detecting Endo leaks following endovascular aneurysm repair (EVAR). By enabling Vascular Scientists to independently administer contrast agents, the project sought to reduce the reliance on Vascular Radiologists, optimize resource utilization and improve overall workflow efficiency. The key objectives were to streamline the patient pathway, reduce appointment waiting times, and make more efficient use of healthcare resources. Method(s): Previously, CEUS appointments for EVAR patients were scheduled around Vascular Radiologist availability, as Radiologists were responsible for the preparation and administration of contrast agents. This dependency often resulted in delays in appointment scheduling, creating bottlenecks in the workflow. To resolve these inefficiencies, an interdisciplinary collaboration was established between the Pharmacy Medicines Management, Learning and Development, Radiology, and Vascular Surgery departments. A comprehensive training and competency framework was developed to enable Vascular Scientists to safely prepare and administer contrast agents. The new service model was implemented in November 2023, allowing Vascular Scientists to lead the CEUS service independently. The effectiveness of this Vascular Scientist-led CEUS model was evaluated by comparing it to the previous Radiologist-led model. Key performance metrics such as average waiting times for appointments and scan durations were analyzed using pre-existing data from both before and after the implementation of the new model. Result(s): The implementation of the Vascular Scientist-led CEUS service demonstrated significant improvements in both appointment scheduling and scan duration. The average waiting time for a CEUS scan appointment decreased from 13 days (Radiologist-led) to 7 days (Vascular Scientist-led). Additionally, scan duration was reduced streamlining the overall patient experience. Importantly, the new pathway also allowed for a more efficient allocation of Radiologist and Vascular Scientist time, as Radiologists could focus on other critical diagnostic and interventional tasks, while Vascular Scientists fully managed the CEUS process. This redistribution of tasks resulted in not only a more efficient use of medical staff time but also significant cost savings for the National Health Service (NHS). By reducing patient waiting times and optimizing resource use, the service improved overall workflow efficiency without compromising the quality of patient care. Conclusion(s): The introduction of a Vascular Scientist-led CEUS service for detecting Endo leaks post-EVAR has proven to be a feasible and effective service improvement model. This initiative not only significantly reduced patient waiting times and scan duration but also optimized the roles of both Radiologists and Vascular Scientists, leading to better resource management and financial savings for the healthcare system. The program represents a significant advancement in the provision of vascular ultrasound services and highlights the expanding role of Vascular Scientists in patient care delivery. Moving forward, the service will undergo routine re-audit and quality assurance checks to ensure that safety, efficacy and patient outcomes are consistently maintained. This initiative paves the way for wider adoption of similar models in other medical imaging services, further developing the expertise of healthcare professionals and improving patient care pathways. Copyright © 2025</t>
  </si>
  <si>
    <t>does mention that it is cost saving to NHS</t>
  </si>
  <si>
    <t>J6298</t>
  </si>
  <si>
    <t>Impact of measles vaccination strategies on vaccination rates in low-income and middle-income countries: a systematic review and meta-analysis</t>
  </si>
  <si>
    <t>&lt;b&gt;INTRODUCTION&lt;/b&gt;: While many interventions aim to raise measles vaccination coverage in low-income and middle-income countries (LMICs), their overall effectiveness and cost-effectiveness are unknown. We did a review to identify and synthesise scientific research that evaluated the impact and cost-effectiveness of measles vaccination strategies on measles vaccination coverage, timeliness, hospitalisation rates, and mortality._x000D_
&lt;b&gt;METHODS&lt;/b&gt;: In this review, we searched for English-language articles published between 2012 and July 2023 in eight databases, including PubMed, ProQuest, MEDLINE (Ovid), Embase (Ovid), CINAHL, Scopus, Web of Science and the Cochrane Database of Systematic Reviews. We also included relevant grey literature sources. The review focused on studies evaluating the impact of vaccination strategies on vaccination-related outcomes in children under 5. Following Preferred Reporting Items for Systematic Reviews and Meta-Analyses guidelines throughout the process, we used Covidence software to manage most review activities. Two independent reviewers screened articles, assessed their quality using the Joanna Briggs Institute guidelines and extracted data using a predefined electronic tool. We predetermined measles vaccination coverage and timeliness as the primary outcomes, with hospitalisation and mortality as secondary outcomes. A random-effects model was employed for the meta-analysis._x000D_
&lt;b&gt;RESULTS&lt;/b&gt;: We identified 44 articles, of which 14 were included in the meta-analysis. The meta-analysis indicated that vaccination-targeting interventions such as vaccination reminders, cash incentives, community engagement and health education activities increase measles vaccination coverage (RR 1.19, 95% CI 1.10 to 1.27). Our analysis also indicated that interventions such as vaccine reminders, educational programmes and incentives improved timely vaccination. Furthermore, we identified cost-effective strategies such as geographically informed microplanning, unrestricted vial opening, supplementary immunisation activities, community engagement, outreach programmes and financial incentives._x000D_
&lt;b&gt;CONCLUSION&lt;/b&gt;: Most of the identified vaccination interventions significantly improve measles vaccination coverage and timeliness in LMICs while remaining cost-effective. Tailoring these interventions to local contexts is crucial for maximising their effectiveness in protecting children from measles and its adverse consequences._x000D_
&lt;b&gt;PROSPERO REGISTRATION NUMBER&lt;/b&gt;: CRD42023433125.</t>
  </si>
  <si>
    <t>J6299</t>
  </si>
  <si>
    <t>Economic evaluation of non-invasive test pathways for high-risk metabolic dysfunction-associated steatotic liver disease (MASLD) in the United Kingdom (UK)</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</si>
  <si>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 2025 Fundacion Clinica Medica Sur, A.C.</t>
  </si>
  <si>
    <t>primar care</t>
  </si>
  <si>
    <t>J1785</t>
  </si>
  <si>
    <t>Ankle Home Stay Programme:- A review of ankle fracture management and costs at a busy district general hospital</t>
  </si>
  <si>
    <t>Introduction:</t>
  </si>
  <si>
    <t>cost saving (although intervention added costs, outpatient still cheaper vs admitted)</t>
  </si>
  <si>
    <t>J1786</t>
  </si>
  <si>
    <t>Pharmacological interventions for antisocial personality disorder</t>
  </si>
  <si>
    <t>- Background Antisocial personality disorder (AsPD) is associated with rule‐breaking, criminality, substance use, unemployment, relationship difficulties, and premature death. Certain types of medication (drugs) may help people with AsPD. This review updates a previous Cochrane review, published in 2010. Objectives To assess the benefits and adverse effects of pharmacological interventions for adults with AsPD. Search methods We searched CENTRAL, MEDLINE, Embase, 13 other databases and two trials registers up to 5 September 2019. We also checked reference lists and contacted study authors to identify studies. Selection criteria Randomised controlled trials in which adults (age 18 years and over) with a diagnosis of AsPD or dissocial personality disorder were allocated to a pharmacological intervention or placebo control condition. Data collection and analysis Four authors independently selected studies and extracted data. We assessed risk of bias and created 'Summary of findings tables' and assessed the certainty of the evidence using the GRADE framework. The primary outcomes were: aggression; reconviction; global state/global functioning; social functioning; and adverse events. Main results We included 11 studies (three new to this update), involving 416 participants with AsPD. Most studies (10/11) were conducted in North America. Seven studies were conducted exclusively in an outpatient setting, one in an inpatient setting, and one in prison; two studies used multiple settings. The average age of participants ranged from 28.6 years to 45.1 years (overall mean age 39.6 years). Participants were predominantly (90%) male. Study duration ranged from 6 to 24 weeks, with no follow‐up period. Data were available from only four studies involving 274 participants with AsPD. All the available data came from unreplicated, single reports, and did not allow independent statistical analysis to be conducted. Many review findings were limited to descriptive summaries based on analyses carried out and reported by the trial investigators. No study set out to recruit participants on the basis of having AsPD; many participants presented primarily with substance abuse problems. The studies reported on four primary outcomes and six secondary outcomes. Primary outcomes were aggression (six studies) global/state functioning (three studies), social functioning (one study), and adverse events (seven studies). Secondary outcomes were leaving the study early (eight studies), substance misuse (five studies), employment status (one study), impulsivity (one study), anger (three studies), and mental state (three studies). No study reported data on the primary outcome of reconviction or the secondary outcomes of quality of life, engagement with services, satisfaction with treatment, housing/accommodation status, economic outcomes or prison/service outcomes. Eleven different drugs were compared with placebo, but data for AsPD participants were only available for five comparisons. Three classes of drug were represented: antiepileptic; antidepressant; and dopamine agonist (anti‐Parkinsonian) drugs. We considered selection bias to be unclear in 8/11 studies, attrition bias to be high in 7/11 studies, and performance bias to be low in 7/11 studies. Using GRADE, we rated the certainty of evidence for each outcome in this review as very low, meaning that we have very little confidence in the effect estimates reported. Phenytoin (antiepileptic) versus placebo One study (60 participants) reported very low‐certainty evidence that phenytoin (300 mg/day), compared to placebo, may reduce the mean frequency of aggressive acts per week (phenytoin mean = 0.33, no standard deviation (SD) reported; placebo mean = 0.51, no SD reported) in male prisoners with aggression (skewed data) at endpoint (six weeks). The same study (60 participants) reported no evidence of difference between phenytoin and placebo in the number of participants reporting the adverse event of nausea during week one (odds ratio (OR) 1.00, 95% confidence interval (CI) 0.06 to 16.76; very low‐certainty evidence). The study authors also reported that no important side effects were detectable via blood cell counts or liver enzyme tests (very low‐certainty evidence). The study did not measure reconviction, global/state functioning or social functioning. Desipramine (antidepressant) versus placebo One study (29 participants) reported no evidence of a difference between desipramine (250 to 300 mg/day) and placebo on mean social functioning scores (desipramine = 0.19; placebo = 0.21), assessed with the family‐social domain of the Addiction Severity Index (scores range from zero to one, with higher values indicating worse social functioning), at endpoint (12 weeks) (very low‐certainty evidence). Neither of the studies included in this comparison measured the other primary outcomes: aggression; reconviction; global/state functioning; or adverse events. Nortriptyline (antidepressant) versus placebo One study (20 participants) reported no evidence of a difference between nortriptyline (25 to 75 mg/day) and placebo on mean global state/functioning scores (nortriptyline = 0.3; placebo = 0.7), assessed with the Symptom Check List‐90 (SCL‐90) Global Severity Index (GSI; mean of subscale scores, ranging from zero to four, with higher scores indicating greater severity of symptoms), at endpoint (six months) in men with alcohol dependency (very low‐certainty evidence). The study measured side effects but did not report data on adverse events for the AsPD subgroup. The study did not measure aggression, reconviction or social functioning. Bromocriptine (dopamine agonist) versus placebo One study (18 participants) reported no evidence of difference between bromocriptine (15 mg/day) and placebo on mean global state/functioning scores (bromocriptine = 0.4; placebo = 0.7), measured with the GSI of the SCL‐90 at endpoint (six months) (very low‐certainty evidence). The study did not provide data on adverse effects, but reported that 12 patients randomised to the bromocriptine group experienced severe side effects, five of whom dropped out of the study in the first two days due to nausea and severe flu‐like symptoms (very low‐certainty evidence). The study did not measure aggression, reconviction and social functioning. Amantadine (dopamine agonist) versus placebo The study in this comparison did not measure any of the primary outcomes. Authors' conclusions The evidence summarised in this review is insufficient to draw any conclusion about the use of pharmacological interventions in the treatment of antisocial personality disorder. The evidence comes from single, unreplicated studies of mostly older medications. The studies also have methodological issues that severely limit the confidence we can draw from their results. Future studies should recruit participants on the basis of having AsPD, and use relevant outcome measures, including reconviction. Plain language summary The use of medication to treat people with antisocial personality disorder Background People with antisocial personality disorder (AsPD) may behave in a way that is harmful to themselves or others, and is against the law. They can be dishonest and act aggressively without thinking. Many misuse drugs and alcohol. Certain types of medication (drugs) may help people with AsPD. This review updates one published in 2010. Review question What are the beneficial and harmful effects of medication on aggression, reconviction (reoffending), and people's ability to function in society? Study characteristics We searched for relevant studies up to 5 September 2019 and found 11 randomised controlled trials (RCT); a type of study in which people were allocated at random (by chance alone) to have either a medication (drug) or a placebo (dummy tablet). The studies included 416 AsPD participants, mostly male (90%), with an average age of 39.6 years. Most studies (10/11) were carried out in North America in outpatient clinics (seven studies). Two studies were conducted in mixed settings and one apiece in an inpatient hospital or prison. Studies las ed between six and 24 weeks, and had no follow‐up period. Data were only available from four of the 11 included studies for 274 participants with AsPD. Some studies reported on important outcomes in AsPD: aggression (six studies), global state/functioning (three studies), social functioning (one study) and adverse effects (seven studies). Some reported on other outcomes: leaving the study early (eight studies), substance misuse (five studies), employment status (one study), impulsivity (one study), anger (three studies), and mental state (three studies). No study reported data on reconviction, quality of life, engagement with services, satisfaction with treatment, housing/accommodation status, economic or prison/service outcomes. No study set out to recruit participants on the basis of having AsPD. Many participants presented primarily with substance abuse problems. The studies used methods that increased the risk of data being biased or untrue (e.g. not reporting all of their outcomes) and that did not allow independent statistics to be calculated for this review. The studies assessed 11 medications but comparison data for AsPD participants were available for only three different types of medication and placebo: antiepileptics (drugs to treat epilepsy); antidepressants (drugs to treat depression); and dopamine agonists (drugs to treat Parkinson's disease). Main results Phenytoin (antiepileptic) versus placebo One study (60 participants) found very low‐certainty evidence that, compared to placebo, phenytoin may reduce the average frequency of aggressive acts per week in aggressive male prisoners with AsPD at six weeks. The number of participants reporting sickness during week one did not differ across groups, and no side effects were detectable by blood tests. We are very uncertain about these findings. Desipramine (antidepressant) versus placebo One study (29 participants) found no evidence of a difference in social functioning scores at 12 weeks, between a drug used to treat depression (desipramine) and placebo. We are very uncertain about these findings. Nortriptyline (antidepressant) versus placebo One study (20 participants) found no evidence of a difference in global state/functioning scores in men with alcohol dependency at six months, between a different antidepressant (nortriptyline) and placebo. We are very uncertain about these findings. Bromocriptine (dopamine agonist) versus placebo One study (18 participants) found no evidence of a difference in global state/functioning scores at six months, between a drug used to treat Parkinson's disease (bromocriptine) and placebo. Twelve participants randomised to the bromocriptine group experienced side effects, five of whom dropped out due to sickness and flu‐like symptoms in the first two days. We are very uncertain about these findings. Amantadine (dopamine agonist) versus placebo None of the included studies assessed the effectiveness of another treatment for Parkinson's disease (amantadine) for any of the primary outcomes. Conclusions The certainty of the evidence is very low, meaning that we are not confident in the findings. There is not enough evidence to determine whether or not medication is a helpful treatment for people with AsPD. Further research is required to clarify which medications, if any, are effective for treating the main features of AsPD. Future studies should recruit participants on the basis of having AsPD, and include reconviction as an outcome measure.</t>
  </si>
  <si>
    <t>J1787</t>
  </si>
  <si>
    <t>Is Protocolised Weaning that Includes Early Extubation Onto Non-Invasive Ventilation More Cost Effective Than Protocolised Weaning Without Non-Invasive Ventilation? Findings from the Breathe Study</t>
  </si>
  <si>
    <t>Background: Optimising techniques to wean patients from invasive mechanical ventilation (IMV) remains a key goal of intensive care practice. The use of non-invasive ventilation (NIV) as a weaning strategy (transitioning patients who are difficult to wean to early NIV) may reduce mortality, ventilator-associated pneumonia and intensive care unit (ICU) length of stay. Objective(s): Our objectives were to determine the cost effectiveness of protocolised weaning, including early extubation onto NIV, compared with weaning without NIV in a UK National Health Service setting. Method(s): We conducted an economic evaluation alongside a multicentre randomised controlled trial. Patients were randomised to either protocol-directed weaning from mechanical ventilation or ongoing IMV with daily spontaneous breathing trials. The primary efficacy outcome was time to liberation from ventilation. Bivariate regression of costs and quality-adjusted life-years (QALYs) provided estimates of the incremental cost per QALY and incremental net monetary benefit (INMB) overall and for subgroups [presence/absence of chronic obstructive pulmonary disease (COPD) and operative status]. Long-term cost effectiveness was determined through extrapolation of survival curves using flexible parametric modelling. Result(s): NIV was associated with a mean INMB of 620 ($US885) (cost-effectiveness threshold of 20,000 per QALY) with a corresponding probability of 58% that NIV is cost effective. The probability that NIV is cost effective was higher for those with COPD (84%). NIV was cost effective over 5 years, with an estimated incremental cost-effectiveness ratio of 4618 ($US6594 per QALY gained). Conclusion(s): The probability of NIV being cost effective relative to weaning without NIV ranged between 57 and 59% overall and between 82 and 87% for the COPD subgroup. Copyright © 2020, The Author(s).</t>
  </si>
  <si>
    <t>J1788</t>
  </si>
  <si>
    <t>Cost-effectiveness and financial risks associated with immune checkpoint inhibitor therapy</t>
  </si>
  <si>
    <t>The reimbursement of immune checkpoint inhibitors is challenging. Funding these technologies involves the careful balance between awarding innovation and ensuring affordability as increases in drug spending compete directly with other health care and social expenditure. This narrative review examines the recommendations of 2 health technology assessment agencies-the Australian Pharmaceutical Benefits Advisory Committee and the British National Institute of Clinical Excellence-to determine the factors that contribute to the approval and rejection of immune checkpoint inhibitors as well as the use of manage entry schemes and risk management strategies to control expenditure. Reimbursement decisions from 6 immune checkpoint inhibitor drugs (ipilimumab, pembrolizumab, nivolumab, durvalumab, atezolizumab, avelumab) covering 10 different cancers were examined. The extrapolation of survival beyond the clinical trial and lack of head-to-head evidence are some of the main issues relating to cost effectiveness. Payers managed financial risks using different mechanisms such as risk share agreements and financial caps. This review of the reimbursement decisions and subsequent financial impact in Australia and the UK suggests budgets for immune checkpoint inhibitor therapy have been well managed so far. Through risk agreements and managed entry programmes, the example of immune checkpoint inhibitor therapies illustrates that industry and payers can effectively collaborate to ensure that innovative, but expensive, drugs can be made readily available to patients. Copyright © 2020 The British Pharmacological Society</t>
  </si>
  <si>
    <t>J1789</t>
  </si>
  <si>
    <t>Self-Monitoring and Management of Blood Pressure in Patients with Stroke or TIA: An Economic Evaluation of TEST-BP, A Randomised Controlled Trial</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</si>
  <si>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 2020, The Author(s).</t>
  </si>
  <si>
    <t>J1790</t>
  </si>
  <si>
    <t>Systemic interventions for severe atopic and vernal keratoconjunctivitis in children and young people up to the age of 16 years</t>
  </si>
  <si>
    <t>- Background Atopic keratoconjunctivitis (AKC) and vernal keratoconjunctivitis (VKC) are severe and potentially sight‐threatening allergic eye diseases characterised by chronic inflammation of the ocular surface. Both topical and systemic treatments are used. This Cochrane Review focuses on systemic treatments. Objectives To assess the effects of systemic treatments (including corticosteroids, NSAIDS, immunomodulators, and monoclonal antibodies), alone or in combination, compared to placebo or other systemic or topical treatment, for severe AKC and VKC in children and young people up to the age of 16 years. Search methods We searched CENTRAL, Ovid MEDLINE, Ovid Embase, the ISRCTN registry, ClinicalTrials.gov and the World Health Organization (WHO) International Clinical Trials Registry Platform (ICTRP). There were no restrictions to language or year of publication. We last searched the electronic databases on 17 February 2020. Selection criteria We searched for randomised controlled trials (RCTs) that involved systemic treatments in children aged up to 16 years with a clinical diagnosis of AKC or VKC. We planned to include studies that evaluated a single systemic medication versus placebo, and studies that compared two or multiple active treatments. Data collection and analysis We used standard methods expected by Cochrane. Main results No trial met the inclusion criteria of this Cochrane Review. No RCTs have been carried out on this topic. Authors' conclusions There is currently no evidence from randomised controlled trials regarding the safety and efficacy of systemic treatments for VKC and AKC. Trials are required to test efficacy and safety of current and future treatments. Outcome measures need to be developed which can capture both objective clinical and patient‐reported aspects of the condition and treatments. Plain language summary What medicines, taken by mouth or given as an injection, work best to treat severe allergic eye disease in children and young people under 16 years old? What is allergic eye disease?  An immune response is how the body recognises and defends itself against substances that appear harmful, usually by producing specific blood proteins (antibodies) against them. An allergy is a reaction by the body's immune system to a particular substance (an allergen) that is usually harmless, such as grass or tree pollens in the air. Different allergens affect different tissues, and their effects can be mild or serious. In the eye, allergic reactions can cause conjunctivitis: the conjunctiva (the tissue covering the white of the eye and lining the inside of the eyelids) becomes swollen and sore. Severe allergic eye disease may also affect the cornea (the clear, front part of the eye), causing keratoconjunctivitis. Vernal keratoconjunctivitis (VKC) and atopic keratoconjunctivitis (AKC) are rare types of severe allergic eye disease. VKC usually develops in children and is more common in boys; AKC can affect children and adults. These conditions usually affect both eyes and make them red, itchy, sore, watery and sensitive to light. Both conditions can damage the cornea, which can affect eyesight and lead to blindness. Treatment is essential to save eyesight. Treatments for severe allergic eye disease  Both conditions are treated with medicines that try to block the allergic reaction and reduce swelling. Symptoms may get better with medicines given as eye drops, but if these don't work, other medicines may be taken by mouth or given as an injection (systemic medicines). Systemic medicines that are often used to treat severe allergic eye disease include ones that target or suppress the immune response, such as anti‑inflammatory medicines and antibodies. Why we did this Cochrane Review  We wanted to find out which systemic treatments work best for severe allergic eye disease in children and young people. What did we do?  We searched for studies that looked at systemic medicines to treat severe allergic eye disease in children and young people under 16 years of age. We wanted t find studies that compared a single medicine with a placebo (dummy) medicine, or studies that compared two or more medicines against each other. We looked for randomised controlled studies, in which the treatments people received were decided at random, because these studies usually give the most reliable evidence about the effects of a treatment. Search date: We searched for evidence published up to 17 February 2020. What we found  We found no randomised controlled studies in children and young people with severe allergic eye disease treated by systemic medicines. Conclusions There is no evidence from randomised controlled studies about how well systemic medicines work for severe allergic eye disease in children and young people aged under 16 years. Research is needed to investigate how well systemic medicines work to treat severe allergic eye disease in children and young people, and to learn about any unwanted effects these medicines might cause.</t>
  </si>
  <si>
    <t>J1791</t>
  </si>
  <si>
    <t>A phase ii randomised controlled trial of a cognitive behavioral therapy intervention for depression in those newly diagnosed with ms</t>
  </si>
  <si>
    <t>Background: Depression is a serious and co-morbid condition of MS. Up to 50% of individuals with MS experience clinically significant levels of depressive symptoms at any one time (Arnett et al., 2008). Depression and anxiety are especially high after diagnosis (Giordano et al., 2011; Kiropoulos et al., 2016) with 36% of individuals found to report high levels of depressive symptoms in the first years after diagnosis (Jensens et al., 2003). Cogntitive Behaviour Therapy (CBT) has shown to be effective in reducing symptoms of depression in those with MS (Kiropoulos et al., 2016) with the current study being the first RCT examining the effectiveness of a tailored cognitive behavioural therapy (CBT) intervention, compared to a supportive listening (SL) intervention, for depression in those who have been newly diagnosed with MS (within 5 years of having received a MS diagnosis). Objective(s): To assess efficacy of an early tailored CBT intervention, compared to SL, in producing significant and clinically meaningful reductions in: 1) depressive symptoms; 2) anxiety symptoms and 3) MS-related concerns (such as fatigue, sleep disturbance, pain impact). And to: 4) increase physical and mental health related quality of life, MS illness acceptance, social support, coping and resilience; and 5) to assess cost-effectiveness of providing the CBT intervention. An additional aim is to measure and examine changes in levels of cytokines before and after the interventions. Method(s): This is a two arm, parallel group, active comparator, assessor blinded RCT with the primary site being the Royal Melbourne Hospital. Recruitment is also being undertaken from three major MS clinics located in Melbourne, Victoria. 60 participants are being randomly allocated to a tailored CBT(n=30) or SL (n=30) intervention. 8 x 1 hour interventions will be delivered over 8 weeks by clinical psychologists for both treatment arms. Self-report and clinician data is and will be collected at pre, post and 3 mth follow up time points. Eligibility criteria includes mild to moderately depressed individuals newly diagnosed (within first 5 years of diagnosis) with MS. Exclusion criteria includes gross cognitive impairment; serious psychological disorder; delirium; undertaking psychological treatment for depression; unable to speak or read English. Result(s): Preliminary results will be presented for the primary outcome which is the level of clinically significant change of 10 points or more on the BDI-2 at post therapy, secondary outcomes which are the level of depression at 3 mths and level of anxiety at post-assessment and tertiary outcomes which are the level of anxiety at 3 mths follow up, pain and fatigue impact, MS illness acceptance, sleep quality, coping, social support, resilience at post and 3 mth follow up. Conclusion(s): will be provided relating to the effectiveness of the CBT intervention in the treatment of depression in individuals newly diagnosed with MS.</t>
  </si>
  <si>
    <t>more of a protocol</t>
  </si>
  <si>
    <t>J1792</t>
  </si>
  <si>
    <t>Can network science reveal structure in a complex healthcare system? A network analysis using data from emergency surgical services</t>
  </si>
  <si>
    <t>Hospitals are complex systems and optimising their function is critical to the provision of high quality, cost effective healthcare. Metrics of performance have to date focused on the performance of individual elements rather than the whole system. Manipulation of individual elements of a complex system without an integrative understanding of its function is undesirable and may lead to counterintuitive outcomes and a holistic metric of hospital function might help design more efficient services. Objectives We aimed to use network analysis to characterise the structure of the system of perioperative care for emergency surgical admissions in our tertiary care hospital. Design We constructed a weighted directional network representation of the emergency surgical services using patient location data from electronic health records. Setting A single-centre tertiary care hospital in the UK. Participants We selected data from the retrospective electronic health record data of all unplanned admissions with a surgical intervention during their stay during a 3.5-year period, which resulted in a set of 16 500 individual admissions. Methods We then constructed and analysed the structure of this network using established methods from network science such as degree distribution, betweenness centrality and small-world characteristics. Results The analysis showed the service to be a complex system with scale-free, small-world network properties. We also identified such potential hubs and bottlenecks in the system. Conclusions Our holistic, system-wide description of a hospital service may provide tools to inform service improvement initiatives and gives us insights into the architecture of a complex system of care. The implications for the structure and resilience of the service is that while being robust in general, the system may be vulnerable to outages at specific key nodes. Copyright © Author(s) (or their employer(s)) 2020. Re-use permitted under CC BY. Published by BMJ.</t>
  </si>
  <si>
    <t>J1793</t>
  </si>
  <si>
    <t>Antibiotic prophylaxis to prevent spontaneous bacterial peritonitis in people with liver cirrhosis: a network meta‐analysis</t>
  </si>
  <si>
    <t>- Background Approximately 2.5% of all hospitalisations in people with liver cirrhosis are for spontaneous bacterial peritonitis. Spontaneous bacterial peritonitis is associated with significant short‐term mortality; therefore, it is important to prevent spontaneous bacterial peritonitis in people at high risk of developing it. Antibiotic prophylaxis forms the mainstay preventive method, but this has to be balanced against the development of drug‐resistant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meta‐analysis with OpenBUGS using Bayesian methods and calculated the odds ratio, rate ratio, and hazard ratio (HR) with 95% credible intervals (CrI) based on an available‐case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intention‐to‐treat analysis), and use clinically important outcomes such as mortality, health‐related quality of life, and decompensation events. Plain language summary Use of antibiotics to prevent spontaneous bacterial peritonitis in people with advanced liver disease What was the aim of this Cochrane Review? People with advanced liver disease (liver cirrhosis, or late‐stage scarring of the liver with complications) are at risk of developing an abnormal build‐up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Twenty‐three studies with 2587 participants provided data for analyses. The follow‐up in the trials ranged from 1 to 12 months. The review shows that: ‐ of the 10 different antibiotics compared in the trials, norfloxacin and rifaximin were most commonly used;  ‐ 15 of every 100 people died within 12 months, and 10 of every 100 people developed spontaneous bacterial peritonitis;  ‐ giving preventive antibiotics may make no difference to the percentage of deaths or people with serious complications; however, potentially important differences cannot be ruled out;  ‐ none of the trials reported quality of life or symptomatic development of spontaneous bacterial peritonitis;  ‐ there was evidence showing that the percentage of people who developed spontaneous bacterial peritonitis as per laboratory criteria may be reduced with sulfonamides compared with no use of antibiotics (difficult to estimate how much reduction);  ‐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are;  ‐ future well‐designed trials are needed. Quality of the evidence We cannot draw any conclusions from these trials due to the sparse data.</t>
  </si>
  <si>
    <t>1 ongoing study that might be UK</t>
  </si>
  <si>
    <t>hospitals/pharmacies-in scope?</t>
  </si>
  <si>
    <t>J1794</t>
  </si>
  <si>
    <t>Stratified care versus usual care for management of patients presenting with sciatica in primary care (SCOPiC): a randomised controlled trial</t>
  </si>
  <si>
    <t>J1795</t>
  </si>
  <si>
    <t>A greener NHS: An overview of sustainable development practices in a rural district general hospital</t>
  </si>
  <si>
    <t>Aim: To assess the impact of sustainable changes to waste management and energy consumption in a rural District General Hospital in the South West of England and discuss the long-term contributions of this to a 'Greener NHS'. Method(s): Information regarding new recycling practices was obtained from the Endoscopy Department, the front runners in sustainable waste management. The Facilities Department provided the quantity of recycled waste, financial data, energy usage statistics and the measures undertaken to reduce the carbon footprint. Result(s): The key recycling interventions introduced included: substituting most single-use plastics to reusable alternatives; adjusting catering practices towards recyclable products and educating personnel to correctly recognise recyclable materials. From 2018 to 2019, there was a substantial 32% increase in recycled waste.This corresponded to an 8%reduction in waste sent to landfill and a total saving of 3051.The introduction of a 700,000 per annum saving Energy Performance Contract has resulted in a 13% improvement in carbon equivalents over the last four years.This is a result of positive steps such as using solar power, a Combined Heat and Power engine, biomass boilers and LED fittings. Conclusion(s): The implementation of a sustainability-focused action plan at grass-roots level towards is both cost-effective and vital towards achieving a 'Greener NHS'.</t>
  </si>
  <si>
    <t>J1796</t>
  </si>
  <si>
    <t>Protocol for an economic analysis of the randomised controlled trial of Improving the Well-being of people with Opioid Treated CHronic pain: I-WOTCH Study</t>
  </si>
  <si>
    <t>Introduction Over the last two decades, the use of opioids for the treatment of chronic pain in England has steadily increased despite lack of evidence of both long-term effectiveness in pain relief and significant, well-documented physical and mental adverse events. Guidelines recommend tapering when harms outweigh benefits, but the addictive nature of opioids hinders simple dose-reduction strategies. Improving the Well-being of people with Opioid Treated CHronic pain (I-WOTCH) trial tests a multicomponent self-management intervention aimed to help patients with chronic non-malignant pain taper opioid doses. This paper outlines the methods to be used for the economic analysis of the I-WOTCH intervention compared with the best usual care.</t>
  </si>
  <si>
    <t>J1797</t>
  </si>
  <si>
    <t>Measures implemented in the school setting to contain the COVID‐19 pandemic: a rapid scoping review</t>
  </si>
  <si>
    <t>- Background In response to the spread of SARS‐CoV‐2 and the impact of COVID‐19, national and subnational governments implemented a variety of measures in order to control the spread of the virus and the associated disease. While these measures were imposed with the intention of controlling the pandemic, they were also associated with severe psychosocial, societal, and economic implications on a societal level. One setting affected heavily by these measures is the school setting. By mid‐April 2020, 192 countries had closed schools, affecting more than 90% of the world’s student population. In consideration of the adverse consequences of school closures, many countries around the world reopened their schools in the months after the initial closures. To safely reopen schools and keep them open, governments implemented a broad range of measures. The evidence with regards to these measures, however, is heterogeneous, with a multitude of study designs, populations, settings, interventions and outcomes being assessed. To make sense of this heterogeneity, we conducted a rapid scoping review (8 October to 5 November 2020). This rapid scoping review is intended to serve as a precursor to a systematic review of effectiveness, which will inform guidelines issued by the World Health Organization (WHO). This review is reported in line with the Preferred Reporting Items for Systematic Reviews and Meta‐Analyses extension for Scoping Reviews (PRISMA‐ScR) checklist and was registered with the Open Science Framework. Objectives To identify and comprehensively map the evidence assessing the impacts of measures implemented in the school setting to reopen schools, or keep schools open, or both, during the SARS‐CoV‐2/COVID‐19 pandemic, with particular focus on the types of measures implemented in different school settings, the outcomes used to measure their impacts and the study types used to assess these. Search methods We searched the Cochrane COVID‐19 Study Register, MEDLINE, Embase, the CDC COVID‐19 Research Articles Downloadable Database for preprints, and the WHO COVID‐19 Global literature on coronavirus disease on 8 October 2020. Selection criteria We included studies that assessed the impact of measures implemented in the school setting. Eligible populations were populations at risk of becoming infected with SARS‐CoV‐2, or developing COVID‐19 disease, or both, and included people both directly and indirectly impacted by interventions, including students, teachers, other school staff, and contacts of these groups, as well as the broader community. We considered all types of empirical studies, which quantitatively assessed impact including epidemiological studies, modelling studies, mixed‐methods studies, and diagnostic studies that assessed the impact of relevant interventions beyond diagnostic test accuracy. Broad outcome categories of interest included infectious disease transmission‐related outcomes, other harmful or beneficial health‐related outcomes, and societal, economic, and ecological implications. Data collection and analysis We extracted data from included studies in a standardized manner, and mapped them to categories within our a priori logic model where possible. Where not possible, we inductively developed new categories. In line with standard expectations for scoping reviews, the review provides an overview of the existing evidence regardless of methodological quality or risk of bias, and was not designed to synthesize effectiveness data, assess risk of bias, or characterize strength of evidence (GRADE). Main results We included 42 studies that assessed measures implemented in the school setting. The majority of studies used mathematical modelling designs (n = 31), while nine studies used observational designs, and two studies used experimental or quasi‐experimental designs. Studies conducted in real‐world contexts or using real data focused on the WHO European region (EUR; n = 20), the WHO region of the Americas (AMR; n = 13), the West Pacific region (WPR; n = 6 , and the WHO Eastern Mediterranean Region (EMR; n = 1). One study conducted a global assessment and one did not report on data from, or that were applicable to, a specific country. Three broad intervention categories emerged from the included studies: organizational measures to reduce transmission of SARS‐CoV‐2 (n = 36), structural/environmental measures to reduce transmission of SARS‐CoV‐2 (n = 11), and surveillance and response measures to detect SARS‐CoV‐2 infections (n = 19). Most studies assessed SARS‐CoV‐2 transmission‐related outcomes (n = 29), while others assessed healthcare utilization (n = 8), other health outcomes (n = 3), and societal, economic, and ecological outcomes (n = 5). Studies assessed both harmful and beneficial outcomes across all outcome categories. Authors' conclusions We identified a heterogeneous and complex evidence base of measures implemented in the school setting. This review is an important first step in understanding the available evidence and will inform the development of rapid reviews on this topic. Plain language summary Which school‐based measures designed to contain the COVID‐19 pandemic have been evaluated to date, and how were they evaluated? Why is this question important? To combat the spread of SARS‐CoV‐2 and the impact of COVID‐19, countries worldwide have taken a variety of public health measures. In many countries, shutting schools was one of the earliest responses. By mid‐April 2020, 192 countries had closed schools, affecting more than 90% of the world’s student population. This severely disrupted school, family and work life, with likely negative impacts including: ‐ a worsening of children’s and adolescents’ health and well‐being; ‐ increases in inequalities between children and adolescents from disadvantaged and more privileged backgrounds; ‐ possible decreased parental income and job security; ‐ possible loss of parental economic productivity. Given the potential negative consequences of school closures, many countries have since reopened schools. To avoid disease transmission among students, between staff and students, and beyond, a range of school‐based measures have been put in place. These include: ‐ students and staff wearing face masks and regularly washing their hands; ‐ adapting school activities (for example, not singing in music classes); ‐ improving ventilation systems; and ‐ screening suspected cases of infection. To date, we know little about which school‐based measures designed to contain COVID‐19 have been evaluated, and how they have been evaluated. It is important to find this out, so that, in time, we can compare the effectiveness of different measures and inform future policy guidelines. We set out to identify and map the evidence on school‐based measures to contain COVID‐19. This work is intended to form the basis of a future review about the effectiveness of these measures. This review will inform guidelines issued by the World Health Organization (WHO). How did we identify and map the evidence? First, we searched for studies that evaluated any intervention set in schools designed to prevent the spread of COVID‐19. We considered all types of studies, and a broad range of outcomes, including: ‐ infectious disease transmission; ‐ other harmful or beneficial effects on health; ‐ wider implications for society, the economy, and the population. We then grouped studies according to how similar or different they were. This allowed us to gauge: ‐ which types of study have been used to evaluate measures to date; ‐ where studies have been conducted; ‐ which types of intervention have been evaluated; and ‐ which outcomes have been studied. What did we find? We found 42 studies. Type of study Thirty‐one studies used mathematical modelling designs, to predict the effects of measures on populations. Two studies used experimental designs, in which researchers divide people or settings into groups to compare the effects of different measures. Nine studies used observational designs, in which researchers simply observed the effect of the intervention. Study setting Studies were conducted in Europe (20 studies), North and South America (13 studies), the West Pacific (6 studies), and the Eastern Mediterranean (1 study). Most studies evaluated measures in more than one school setting (for example, primary education and secondary education). Three studies focused on secondary schools. Type of intervention Studies evaluated three broad types of measure: 1. Organizational measures to reduce transmission of SARS‐CoV‐2 (36 studies): these included: ‐ measures designed to limit risks of disease transmission between people who come into contact with each other (such as face‐masks and physical distancing policies); and ‐ measures to reduce opportunities for contact (for example, staggered arrival, break and departure times). 2. Structural or environmental measures to reduce transmission of SARS‐CoV‐2 (11 studies): for example, dividing up school playgrounds or improving air circulation. 3. Surveillance and response measures to detect SARS‐CoV‐2 infections (19 studies): these included: ‐ testing, tracing, and symptom screening; and ‐ isolation of confirmed cases or quarantine of suspected cases. Outcomes studied Studies assessed the effects of measures on: ‐ SARS‐CoV‐2 transmission (29 studies), including the number of new cases or the average number of people to whom one infected person will pass the virus (reproduction number R); ‐ healthcare use (8 studies), for example, the number of hospitalizations; ‐ other health outcomes (3 studies), for example, the risk of developing hand eczema (a skin condition); and ‐ societal, economic, and other population‐level outcomes (5 studies), including cost. What are the implications of our findings? A wide range of school‐based measures designed to contain COVID‐19 have been evaluated to date. To evaluate these, researchers have used different methods and investigated different outcomes. This review is an important first step in gauging what evidence is available, and will inform future rapid reviews on this topic.</t>
  </si>
  <si>
    <t>school</t>
  </si>
  <si>
    <t>J1798</t>
  </si>
  <si>
    <t>Surgical prehabilitation using mobile health coaching in patients with obesity: A pilot study</t>
  </si>
  <si>
    <t>Many patients spend months waiting for elective procedures, and many have significant modifiable risk factors that could contribute to an increased risk of perioperative morbidity and mortality. The minimal direct contact that usually occurs with healthcare professionals during this period represents a missed opportunity to improve patient health and surgical outcomes. Patients with obesity comprise a large proportion of the surgical workload but are under-represented in prehabilitation studies. Our study piloted a mobile phone based, multidisciplinary, prehabilitation programme for patients with obesity awaiting elective surgery. A total of 22 participants were recruited via the Wollongong Hospital pre-admissions clinic in New South Wales, Australia, and 18 completed the study. All received the study intervention of four text messages per week for six months. Questionnaires addressing the self-reported outcome measures were performed at the start and completion of the study. Forty percent of participants lost weight and 40% of smokers decreased their cigarette intake over the study. Sixty percent reported an overall improved health score. Over 80% of patients found the programme effective for themselves, and all recommended that it be made available to other patients. The cost was A$1.20 per patient per month. Our study showed improvement in some of the risk factors for perioperative morbidity and mortality. With improved methods to increase enrolment, our overall impression is that text message-based mobile health prehabilitation may be a feasible, cost-effective and worthwhile intervention for patients with obesity. Copyright © The Author(s) 2020.</t>
  </si>
  <si>
    <t>J1799</t>
  </si>
  <si>
    <t>Pns4 Impact of Pharmacists on Pain in Hospice and Palliative Care: A Systematic Literature Review</t>
  </si>
  <si>
    <t>Objectives: The inclusion of pharmacists as members of the team in hospice/palliative care has the potential to improve clinical outcomes and demonstrate cost savings, particularly in pain management. Accordingly, guidelines from the American Society of Health-System Pharmacists (ASHP) recommend pharmacist involvement in end-of-life care. The objective of the current study was to describe the impact of pharmacists on pain management in hospice/palliative care. Method(s): A systematic literature review using the PRISMA guidelines was designed to search articles in PubMed, Scopus, and Embase between 2010-2019. Articles were identified using a search strategy encompassing relevant MeSH, index and key terms (e.g. pharmacist, pharmacist services, pain, pain management, and hospice care). Inclusion criteria were studies discussing pain management in hospice/palliative care detailing the impact of pharmacist intervention. Impacts assessed include clinical, cost or interventional outcomes such as therapy recommendations, dosage modifications, prevention of adverse events, or cost-effectiveness. Studies focused on pediatric hospice care, non-English articles and conference abstracts were excluded. The review was conducted using the Covidence web application. Result(s): A total of 13 articles were identified to meet inclusion criteria for qualitative analysis. Selected studies included seven (54%) prospective evaluations of the impact of a clinical pharmacist on patient pain control, four (31%) retrospective assessments of pharmacist-led interventions, and two (15%) surveys regarding pharmacist contributions to hospice care services. The pharmacist's involvement in a multidisciplinary hospice care team had a positive impact on both clinical (reduction in pain intensity scores, symptom scores and recommendation of new effective treatments) and cost outcomes. Conclusion(s): This systematic review demonstrates the benefit of pharmacist inclusion in hospice and palliative care services, with evidence for improvement of pain and symptom management and cost-effectiveness of treatment rendered. Copyright © 2020</t>
  </si>
  <si>
    <t>pharmacists as members of the team in hospice/palliative care</t>
  </si>
  <si>
    <t>J1800</t>
  </si>
  <si>
    <t>Interventions to reduce contaminated aerosols produced during dental procedures for preventing infectious diseases</t>
  </si>
  <si>
    <t>- Background Many dental procedures produce aerosols (droplets, droplet nuclei and splatter) that harbour various pathogenic microâ€organisms and may pose a risk for the spread of infections between dentist and patient. The COVIDâ€19 pandemic has led to greater concern about this risk. Objectives To assess the effectiveness of methods used during dental treatment procedures to minimize aerosol production and reduce or neutralize contamination in aerosols. Search methods Cochrane Oral Healthâ€™s Information Specialist searched the following databases on 17 September 2020: Cochrane Oral Healthâ€™s Trials Register, the Cochrane Central Register of Controlled Trials (CENTRAL) (in the Cochrane Library, 2020, Issue 8), MEDLINE Ovid (from 1946); Embase Ovid (from 1980); the WHO COVIDâ€19 Global literature on coronavirus disease; the US National Institutes of Health Trials Registry (ClinicalTrials.gov); and the Cochrane COVIDâ€19 Study Register. We placed no restrictions on the language or date of publication. Selection criteria We included randomized controlled trials (RCTs) and controlled clinical trials (CCTs) on aerosolâ€generating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randomâ€effects metaâ€analysis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Highâ€volume evacuator Use of a highâ€volume evacuator (HVE) may reduce bacterial contamination in aerosols less than one foot (~ 30 cm) from a patient's mouth (MD âˆ’47.41, 95% CI âˆ’92.76 to âˆ’2.06; 3 splitâ€mouth RCTs, 122 participants; very high heterogeneity IÂ² = 95%), but not at longer distances (MD âˆ’1.00, âˆ’2.56 to 0.56; 1 RCT, 80 participants). One splitâ€mouth RCT (six participants) found that HVE may not be more effective than conventional dental suction (saliva ejector or lowâ€volume evacuator) at 40 cm (MD CFU âˆ’2.30, 95% CI âˆ’5.32 to 0.72) or 150 cm (MD âˆ’2.20, 95% CI âˆ’14.01 to 9.61). Dental isolation combination system One RCT (50 participants) found that there may be no difference in CFU between a combination system (Isolite) and a saliva ejector (lowâ€volume evacuator) during AGPs (MD âˆ’0.31, 95% CI âˆ’0.82 to 0.20) or after AGPs (MD âˆ’0.35, âˆ’0.99 to 0.29). However, an 'n of 1' design study showed that the combination system may reduce CFU compared with rubber dam plus HVE (MD âˆ’125.20, 95% CI âˆ’174.02 to âˆ’76.38) or HVE (MD âˆ’109.30, 95% CI âˆ’153.01 to âˆ’65.59). Rubber dam One splitâ€mouth RCT (10 participants) receiving dental treatment, found that there may be a reduction in CFU with rubber dam at oneâ€metre (MD âˆ’16.20, 95% CI âˆ’19.36 to âˆ’13.04) and twoâ€metre distance (MD âˆ’11.70, 95% CI âˆ 15.82 to âˆ’7.58). One RCT of 47 dental students found use of rubber dam may make no difference in CFU at the forehead (MD 0.98, 95% CI âˆ’0.73 to 2.70) and occipital region of the operator (MD 0.77, 95% CI âˆ’0.46 to 2.00). One splitâ€mouth RCT (21 participants) found that rubber dam plus HVE may reduce CFU more than cotton roll plus HVE on the patient's chest (MD âˆ’251.00, 95% CI âˆ’267.95 to âˆ’234.05) and dental unit light (MD âˆ’12.70, 95% CI âˆ’12.85 to âˆ’12.55). Air cleaning systems One splitâ€mouth CCT (two participants) used a local standâ€alone air cleaning system (ACS), which may reduce aerosol contamination during cavity preparation (MD âˆ’66.70 CFU, 95% CI âˆ’120.15 to âˆ’13.25 per cubic metre) or ultrasonic scaling (MD âˆ’32.40, 95% CI â€ 51.55 to âˆ’13.25). Another CCT (50 participants) found that laminar flow in the dental clinic combined with a HEPA filter may reduce contamination approximately 76 cm from the floor (MD âˆ’483.56 CFU, 95% CI âˆ’550.02 to âˆ’417.10 per cubic feet per minute per patient) and 20 cm to 30 cm from the patient's mouth (MD âˆ’319.14 CFU, 95% CI â€ 385.60 to âˆ’252.68). Disinfectants â€’ antimicrobial coolants Two RCTs evaluated use of antimicrobial coolants during ultrasonic scaling. Compared with distilled water, coolant containing chlorhexidine (CHX), cinnamon extract coolant or povidone iodine may reduce CFU: CHX (MD âˆ’124.00, 95% CI âˆ’135.78 to âˆ’112.22; 20 participants), povidone iodine (MD âˆ’656.45, 95% CI âˆ’672.74 to âˆ’640.16; 40 participants), cinnamon (MD âˆ’644.55, 95% CI âˆ’668.70 to âˆ’620.40; 40 participants). CHX coolant may reduce CFU more than povidone iodine (MD âˆ’59.30, 95% CI âˆ’64.16 to âˆ’54.44; 20 participants), but not more than cinnamon extract (MD âˆ’11.90, 95% CI âˆ’35.88 to 12.08; 40 participants). Authors' conclusions We found no studies that evaluated disease transmission via aerosols in a dental setting; and no evidence about viral contamination in aerosols. All of the included studies measured bacterial contamination using colonyâ€forming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patientâ€™s saliva, which may also contain microâ€organisms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â€ ways to decontaminate the mouth before aerosols are produced, for example by using antiâ€microbial mouthwash; â€ ways to prevent aerosols from leaving the mouth (for example, placing a rubber sheet â€“ known as a â€˜damâ€™ â€“ around the tooth that is to be treated, to isolate the treatment zone from saliva; or using a strawâ€like suction tube known as a saliva ejector); â€ local ventilation using a suction device (known as a highâ€volume evacuator) that draws up a large volume of air and evacuates aerosols from the treatment zone; â€ general ventilation, to reduce the concentration of aerosols in t e air, for example by keeping windows open; â€ decontamination of airâ€borne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â€ highâ€volume evacuator (7 studies); â€ handsâ€free suction device (2 studies); â€ saliva ejector (1 study); â€ rubber dam (3 studies); â€ rubber dam with a highâ€volume evacuator (1 study); or 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betterâ€quality studies in this area. How up to date is this review? The evidence in this Cochrane Review is current to September 2020.</t>
  </si>
  <si>
    <t>dental healthcare providers-inscope?</t>
  </si>
  <si>
    <t>J1801</t>
  </si>
  <si>
    <t>Improving Workflow Efficiency for Mammography Using Machine Learning</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</si>
  <si>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 2019 American College of Radiology</t>
  </si>
  <si>
    <t>UK National Health Service Breast Screening Program centers</t>
  </si>
  <si>
    <t>J1802</t>
  </si>
  <si>
    <t>PBI5 Future Trends on the Biosimilar Uptake in China, JAPAN, the US, the EU4 and the UK</t>
  </si>
  <si>
    <t>Objectives: Biosimilar use creates an opportunity for increased patient access, drug competition and cost-savings, especially in a landscape driven by imminent patent-expiration of biologics. Study aimed to assess trends and incentives to enhance biosimilar uptake in China, Japan, the United States (US), EU4 (France, Germany, Italy, Spain) and the United Kingdom. Method(s): Targeted literature review was conducted in Medline/Embase, complemented with desk research. Result(s): Chinese biosimilar market is evolving with 3 approved drugs since 2019, even though copy-biologics, not meeting the criteria for biosimilars, have been available in China for some time. An increase in the market growth is expected mainly due to more biosimilars in the pipeline than in any other country, yet being still worse regulated compared to EU, US and Japan. Biosimilar market in Japan is accelerating, influenced by unique payment system providing hospitals with a strong incentive to prescribe biosimilars. Also, the update of biosimilars guideline is anticipated for 2020. In France, biosimilar use became a part of the health strategy (2018-2022), the automatic substitution is still not implemented due to lack of published decree. Germany may implement automatic pharmacist level biosimilar substitution, however, due to uncertainty on the bill, it still awaits approval. In Spain and the UK, hospital pharmacy stocking of a one preferred drug over tendering for multiple products is expected. Real-world evidence for Italy shows the increasing trend for biosimilar use with great region variability. In the US, the FDA released the Biosimilars Action Plan (2018) to boost biosimilar industry and facilitate access, with a guideline for demonstrating interchangeability (2019). Conclusion(s): Even though the market share of biosimilars remains low, various countries around the globe have implemented strategies to embrace the market and provide drugs to patients. Regulations are evolving rapidly and boost in the biosimilar uptake is expected in the following years, especially in China. Copyright © 2020</t>
  </si>
  <si>
    <t>UK in total</t>
  </si>
  <si>
    <t>J1803</t>
  </si>
  <si>
    <t>Newborn screening for galactosaemia</t>
  </si>
  <si>
    <t>- Background Classical galactosaemia is an autosomal recessive inborn error of metabolism caused by a deficiency of the enzyme galactose‐1‐phosphate uridyltransferase. This is a rare and potentially lethal condition that classically presents in the first week of life once milk feeds have commenced. Affected babies may present with any or all of the following: cataracts; fulminant liver failure; prolonged jaundice; or Escherichia coli sepsis. Once the diagnosis is suspected, feeds containing galactose must be stopped immediately and replaced with a soya‐based formula. The majority of babies will recover, however a number will not survive. There are long‐term complications of galactosaemia, despite treatment, including learning disabilities and female infertility. It has been postulated that galactosaemia could be detected on newborn screening and this would prevent the immediate severe liver dysfunction and sepsis. This is an update of a previously published review. Objectives To assess whether there is evidence that newborn screening for galactosaemia prevents or reduces mortality and morbidity and improves clinical outcomes in affected neonates and the quality of life in older children. Search methods We searched the Cochrane Cystic Fibrosis and Genetic Disorders Group Trials Register comprising references identified from electronic database searches, handsearches of relevant journals and conference abstract books. We also searched online trials registries and the reference lists of relevant articles and reviews. Date of the most recent search of Cochrane Cystic Fibrosis Group's Trials Register: 12 December 2019. Date of the most recent search of additional resources: 02 February 2020. Selection criteria Randomised controlled studies and controlled clinical studies, published or unpublished comparing the use of any newborn screening test to diagnose infants with galactosaemia and presenting a comparison between a screened population versus a non‐screened population. Data collection and analysis No studies of newborn screening for galactosaemia were found. Main results No studies were identified for inclusion in the review. Authors' conclusions We were unable to identify any eligible studies for inclusion in this review and hence it is not possible to draw any conclusions based on randomised controlled studies. However, we are aware of uncontrolled studies which support the efficacy of newborn screening for galactosaemia. There are a number of reviews and economic analyses of non‐trial literature suggesting that screening is appropriate. Plain language summary Screening newborn babies for galactosaemia Review question We reviewed the evidence for screening newborn babies for galactosaemia in order to prevent or reduce death and illness, to improve clinical outcomes in affected babies and to improve the quality of life in affected older children. Background Galactosaemia is an inherited disease that affects the body's ability to breakdown the milk sugar galactose. Newborn babies with galactosaemia can have a variety of symptoms in the first weeks of life including poor feeding, cataracts, jaundice, an enlarged liver with liver failure or severe infection. Without treatment, babies with galactosaemia are often very unwell and highly likely to die from liver failure. Unfortunately, despite treatment, long‐term complications for people with galactosaemia include learning difficulties and fertility problems (in females). Search date The evidence is current to: 02 February 2020. Study characteristics No studies were identified for inclusion in the review. Key results No suitable studies were found, but we are aware of some uncontrolled studies which suggest newborn screening for galactosaemia and early treatment can reduce death and illness. Future research is needed to provide robust evidence for or against screening. Quality of the evidence We have not identified any relevant studies for inclusion in this review.</t>
  </si>
  <si>
    <t>cites 1 non-UK study for cost savings</t>
  </si>
  <si>
    <t>J1804</t>
  </si>
  <si>
    <t>Virtual reality distraction for acute pain in children</t>
  </si>
  <si>
    <t>- Background Virtual reality (VR) computer technology creates a simulated environment, perceived as comparable to the real world, with which users can actively interact. The effectiveness of VR distraction on acute pain intensity in children is uncertain. Objectives To assess the effectiveness and adverse effects of virtual reality (VR) distraction interventions for children (0 to 18 years) with acute pain in any healthcare setting. Search methods We searched CENTRAL, MEDLINE, Embase, CINAHL, PsycINFO and four trial registries to October 2019. We also searched reference lists of eligible studies, handsearched relevant journals and contacted study authors. Selection criteria Randomised controlled trials (RCTs), including cross‐over and cluster‐RCTs, comparing VR distraction to no distraction, non‐VR distraction or other VR distraction. Data collection and analysis We used standard Cochrane methodological processes. Two reviewers assessed risk of bias and extracted data independently. The primary outcome was acute pain intensity (during procedure, and up to one hour post‐procedure). Secondary outcomes were adverse effects, child satisfaction with VR, pain‐related distress, parent anxiety, rescue analgesia and cost. We used GRADE and created 'Summary of findings' tables. Main results We included 17 RCTs (1008 participants aged four to 18 years) undergoing various procedures in healthcare settings. We did not pool data because the heterogeneity in population (i.e. diverse ages and developmental stages of children and their different perceptions and reactions to pain) and variations in procedural conditions (e.g. phlebotomy, burn wound dressings, physical therapy sessions), and consequent level of pain experienced, made statistical pooling of data impossible. We narratively describe results. We judged most studies to be at unclear risk of selection bias, high risk of performance and detection bias, and high risk of bias for small sample sizes. Across all comparisons and outcomes, we downgraded the certainty of evidence to low or very low due to serious study limitations and serious or very serious indirectness. We also downgraded some of the evidence for very serious imprecision. 1: VR distraction versus no distraction Acute pain intensity: during procedure Self‐report: one study (42 participants) found no beneficial effect of non‐immersive VR (very low‐certainty evidence). Observer‐report: no data. Behavioural measurements (observer‐report): two studies, 62 participants; low‐certainty evidence. One study (n = 42) found no beneficial effect of non‐immersive VR. One study (n = 20) found a beneficial effect favouring immersive VR. Acute pain intensity: post‐procedure Self‐report: 10 studies, 461 participants; very low‐certainty evidence. Four studies (n = 95) found no beneficial effect of immersive and semi‐immersive or non‐immersive VR. Five studies (n = 357) found a beneficial effect favouring immersive VR. Another study (n = 9) reported less pain in the VR group. Observer‐report: two studies (216 participants; low‐certainty evidence) found a beneficial effect of immersive VR, as reported by primary caregiver/parents or nurses. One study (n = 80) found a beneficial effect of immersive VR, as reported by researchers. Behavioural measurements (observer‐report): one study (42 participants) found no beneficial effect of non‐immersive VR (very low‐certainty evidence). Adverse effects: five studies, 154 participants; very low‐certainty evidence. Three studies (n = 53) reported no adverse effects. Two studies (n = 101) reported mild adverse effects (e.g. nausea) in the VR group. 2: VR distraction versus other non‐VR distraction Acute pain intensity: during procedure Self‐report, observer‐report and behavioural measurements (observer‐report): two studies, 106 participants: Self‐report: one study (n = 65) found a beneficial effect favouring immersive VR and one (n = 41) found no evidence of a difference in mean pain change scores (very low‐certainty evidence) Observer‐report: one study (n = 65) found a beneficial effect favouring immersive VR and one (n = 41) found no evidence of a difference in mean pain change scores (low‐certainty evidence). Behavioural measurements (observer‐report): one study (n = 65) found a beneficial effect favouring immersive VR and one (n = 41) reported a difference in mean pain change scores with fewer pain behaviours in VR group (low‐certainty evidence). Acute pain intensity: post‐procedure Self‐report: eight studies, 575 participants; very low‐certainty evidence. Two studies (n = 146) found a beneficial effect favouring immersive VR. Two studies (n = 252) reported a between‐group difference favouring immersive VR. One study (n = 59) found no beneficial effect of immersive VR versus television and Child Life non‐VR distraction. One study (n = 18) found no beneficial effect of semi‐immersive VR. Two studies (n = 100) reported no between‐group difference. Observer‐report: three studies, 187 participants; low‐certainty evidence. One study (n = 81) found a beneficial effect favouring immersive VR for parent, nurse and researcher reports. One study (n = 65) found a beneficial effect favouring immersive VR for caregiver reports. Another study (n = 41) reported no evidence of a difference in mean pain change scores. Behavioural measurements (observer‐report): two studies, 106 participants; low‐certainty evidence. One study (n = 65) found a beneficial effect favouring immersive VR. Another study (n = 41) reported no evidence of a difference in mean pain change scores. Adverse effects: six studies, 429 participants; very low‐certainty evidence. Three studies (n = 229) found no evidence of a difference between groups. Two studies (n = 141) reported no adverse effects in VR group. One study (n = 59) reported no beneficial effect in reducing estimated cyber‐sickness before and after VR immersion. 3: VR distraction versus other VR distraction We did not identify any studies for this comparison. Authors' conclusions We found low‐certainty and very low‐certainty evidence of the effectiveness of VR distraction compared to no distraction or other non‐VR distraction in reducing acute pain intensity in children in any healthcare setting. This level of uncertainty makes it difficult to interpret the benefits or lack of benefits of VR distraction for acute pain in children. Most of the review primary outcomes were assessed by only two or three small studies. We found limited data for adverse effects and other secondary outcomes. Future well‐designed, large, high‐quality trials may have an important impact on our confidence in the results. Plain language summary What are the benefits and risks of using virtual reality in a healthcare setting to distract children from pain? Why is this question important? Medical procedures, such as health examinations or injections, can cause children to experience pain. In these situations, it is common practice to distract children using toys or play, in order to minimise distress and fear of pain. One form of distraction that can be used is virtual reality. Virtual reality is an artificial environment with scenes and objects that appear to be real (for example a frozen world, or a wildlife park). Virtual reality can be: ‐ Fully‐immersive: users typically wear a headset with headphones and a screen, and interact with the virtual environment as if they were really in it. ‐ Semi‐immersive: users interact with a partially virtual environment (for example, a flight simulator where the controls are real, but the windows display virtual images). ‐ Non‐immersive: the user is connected to the virtual world by a separate monitor (for example, a computer) but can still experience the real world. To find out whether virtual reality can distract children from pain, and whether it is associated with any adverse (unwanted) effects, we reviewed the research evidence. How did we identify and evaluate the evidence? We searched the medical literature for randomised controlled studies (clinical tudies where people are randomly put into one of two or more treatment groups), because these provide the most robust evidence about the effects of a treatment. We compared and summarized their results. Finally, we rated our confidence in the evidence, based on factors such as study methods and sizes, and the consistency of findings across studies. What did we find? We found 17 studies that involved a total of 1008 children aged from four to 18 years. Medical procedures included injections, taking blood, changing wound dressings, and physical exercise. Studies compared virtual reality against no distraction, or against non‐virtual distraction. No studies compared different types of virtual reality. During a medical procedure We cannot tell whether virtual reality reduces self‐reported pain during a medical procedure because we have too little confidence in the evidence available (three studies). Only two studies investigated changes in pain assessed by an observer (for example, using a rating scale that ranges from 0 (no pain) to 10 (great pain)). These reported conflicting findings: in one study fully‐immersive virtual reality was beneficial compared to non‐virtual distraction, but not in the other. Fully‐immersive virtual reality may reduce pain assessed by an observer based on children's behaviour (for example, crying, or rubbing a body part in a way that indicates pain) more effectively than non‐virtual distraction (two studies) or no distraction (one study). Non‐immersive virtual reality was not beneficial for pain assessed by an observer based on children's behaviour compared to no distraction (one study). A fter a medical procedure We cannot tell whether virtual reality can reduce self‐reported pain after a medical procedure, as we have too little confidence in the evidence available (16 studies). Five studies investigated changes in pain assessed by an observer. Virtual reality was beneficial compared to no distraction in two studies, and also when compared to non‐virtual distraction in another two studies. However, it was no better than non‐virtual distraction in one study. Two studies investigating pain assessed by an observer based on children's behaviour reported conflicting findings: immersive virtual reality was beneficial compared to non‐virtual distraction in one study, but not in the other. We cannot tell whether there is a difference between virtual reality and no distraction for pain assessed by an observer based on children's behaviour, as we have too little confidence in the available evidence (one study). Adverse effects We cannot tell if virtual reality is associated with adverse effects because we have too little confidence in the evidence available (11 studies). What does this mean? We have little to very little confidence in the evidence we identified. It is unclear from our review whether virtual reality distraction makes a difference to pain in children. There is a need for large, well‐designed studies in this area. How up‐to date is this review? The evidence in this Cochrane Review is current to October 2019.</t>
  </si>
  <si>
    <t>J1805</t>
  </si>
  <si>
    <t>Does linear equating improve prediction in mapping? Crosswalking MacNew onto EQ-5D-5L value sets</t>
  </si>
  <si>
    <t>Purpose</t>
  </si>
  <si>
    <t>UK health system</t>
  </si>
  <si>
    <t>J1806</t>
  </si>
  <si>
    <t>Organised inpatient (stroke unit) care for stroke: network meta‐analysis</t>
  </si>
  <si>
    <t>- Background Organised inpatient (stroke unit) care is provided by multi‐disciplinary teams that manage stroke patients. This can been provided in a ward dedicated to stroke patients (stroke ward), with a peripatetic stroke team (mobile stroke team), or within a generic disability service (mixed rehabilitation ward). Team members aim to provide co‐ordinated multi‐disciplinary care using standard approaches to manage common post‐stroke problems. Objectives • To assess the effects of organised inpatient (stroke unit) care compared with an alternative service. • To use a network meta‐analysis (NMA) approach to assess different types of organised inpatient (stroke unit) care for people admitted to hospital after a stroke (the standard comparator was care in a general ward). Originally, we conducted this systematic review to clarify: • The characteristic features of organised inpatient (stroke unit) care? • Whether organised inpatient (stroke unit) care provide better patient outcomes than alternative forms of care? • If benefits are apparent across a range of patient groups and across different approaches to delivering organised stroke unit care? Within the current version, we wished to establish whether previous conclusions were altered by the inclusion of new outcome data from recent trials and further analysis via NMA. Search methods We searched the Cochrane Stroke Group Trials Register (2 April 2019); the Cochrane Central Register of Controlled Trials (CENTRAL; 2019, Issue 4), in the Cochrane Library (searched 2 April 2019); MEDLINE Ovid (1946 to 1 April 2019); Embase Ovid (1974 to 1 April 2019); and the Cumulative Index to Nursing and Allied Health Literature (CINAHL; 1982 to 2 April 2019). In an effort to identify further published, unpublished, and ongoing trials, we searched seven trial registries (2 April 2019). We also performed citation tracking of included studies, checked reference lists of relevant articles, and contacted trialists. Selection criteria Randomised controlled clinical trials comparing organised inpatient stroke unit care with an alternative service (typically contemporary conventional care), including comparing different types of organised inpatient (stroke unit) care for people with stroke who are admitted to hospital. Data collection and analysis Two review authors assessed eligibility and trial quality. We checked descriptive details and trial data with co‐ordinators of the original trials, assessed risk of bias, and applied GRADE. The primary outcome was poor outcome (death or dependency (Rankin score 3 to 5) or requiring institutional care) at the end of scheduled follow‐up. Secondary outcomes included death, institutional care, dependency, subjective health status, satisfaction, and length of stay. We used direct (pairwise) comparisons to compare organised inpatient (stroke unit) care with an alternative service. We used an NMA to confirm the relative effects of different approaches. Main results We included 29 trials (5902 participants) that compared organised inpatient (stroke unit) care with an alternative service: 20 trials (4127 participants) compared organised (stroke unit) care with a general ward, six trials (982 participants) compared different forms of organised (stroke unit) care, and three trials (793 participants) incorporated more than one comparison. Compared with the alternative service, organised inpatient (stroke unit) care was associated with improved outcomes at the end of scheduled follow‐up (median one year): poor outcome (odds ratio (OR) 0.77, 95% confidence interval (CI) 0.69 to 0.87; moderate‐quality evidence), death (OR 0.76, 95% CI 0.66 to 0.88; moderate‐quality evidence), death or institutional care (OR 0.76, 95% CI 0.67 to 0.85; moderate‐quality evidence), and death or dependency (OR 0.75, 95% CI 0.66 to 0.85; moderate‐quality evidence). Evidence was of very low quality for subjective health status and was not available for patient satisfaction. Analysis of length of stay was complicated by variations in definitio and measurement plus substantial statistical heterogeneity (I² = 85%). There was no indication that organised stroke unit care resulted in a longer hospital stay. Sensitivity analyses indicated that observed benefits remained when the analysis was restricted to securely randomised trials that used unequivocally blinded outcome assessment with a fixed period of follow‐up. Outcomes appeared to be independent of patient age, sex, initial stroke severity, stroke type, and duration of follow‐up. When calculated as the absolute risk difference for every 100 participants receiving stroke unit care, this equates to two extra survivors, six more living at home, and six more living independently. The analysis of different types of organised (stroke unit) care used both direct pairwise comparisons and NMA. Direct comparison of stroke ward versus general ward: 15 trials (3523 participants) compared care in a stroke ward with care in general wards. Stroke ward care showed a reduction in the odds of a poor outcome at the end of follow‐up (OR 0.78, 95% CI 0.68 to 0.91; moderate‐quality evidence). Direct comparison of mobile stroke team versus general ward: two trials (438 participants) compared care from a mobile stroke team with care in general wards. Stroke team care may result in little difference in the odds of a poor outcome at the end of follow‐up (OR 0.80, 95% CI 0.52 to 1.22; low‐quality evidence). Direct comparison of mixed rehabilitation ward versus general ward: six trials (630 participants) compared care in a mixed rehabilitation ward with care in general wards. Mixed rehabilitation ward care showed a reduction in the odds of a poor outcome at the end of follow‐up (OR 0.65, 95% CI 0.47 to 0.90; moderate‐quality evidence). In a NMA using care in a general ward as the comparator, the odds of a poor outcome were as follows: stroke ward ‐ OR 0.74, 95% CI 0.62 to 0.89, moderate‐quality evidence; mobile stroke team ‐ OR 0.88, 95% CI 0.58 to 1.34, low‐quality evidence; mixed rehabilitation ward ‐ OR 0.70, 95% CI 0.52 to 0.95, low‐quality evidence. Authors' conclusions We found moderate‐quality evidence that stroke patients who receive organised inpatient (stroke unit) care are more likely to be alive, independent, and living at home one year after the stroke. The apparent benefits were independent of patient age, sex, initial stroke severity, or stroke type, and were most obvious in units based in a discrete stroke ward. We observed no systematic increase in the length of inpatient stay, but these findings had considerable uncertainty. Plain language summary Organised inpatient (stroke unit) care Review question  Does organised inpatient (stroke unit) care improve the recovery of people with stroke in hospital compared with conventional care in general wards? Background  Organised inpatient (stroke unit) care is a form of care provided in hospital by nurses, doctors, and therapists who specialise in looking after people with stroke. They aim to work as a co‐ordinated team to provide the most appropriate care tailored to the needs of individual people with stroke. Study characteristics  We identified 29 trials involving 5902 participants (search completed 2 April 2019). Participants who were recruited had had a recent stroke and required admission to hospital. Organised inpatient (stroke unit) care was provided in a variety of ways including stroke ward (care provided in a discrete stroke ward), mixed rehabilitation ward (setting seeking to improve care for people with stroke within a mixed rehabilitation ward), and mobile stroke team (peripatetic team looking after people with stroke across a range of wards). Key results  At an average of 12 months after their stroke, people who received organised inpatient (stroke unit) care were more likely to be alive (an extra two people surviving for every 100 receiving stroke unit care; moderate‐quality evidence) and living at home (an extra six patients for every 100 receiving stroke unit care; moderate‐quality evidence). They also were more lik ly to be independent in daily activities (an extra six patients for every 100 receiving stroke unit care; moderate‐quality evidence). The apparent benefits were seen in men and women, older and younger patients, and people with different types of stroke and different stroke severity. Benefits were most obvious when the stroke unit was based in a discrete stroke ward. Quality of the evidence  We downgraded the quality of evidence to 'moderate' for the main outcomes because it was impossible to hide the treating service from participants or healthcare workers. These conclusions were not dependent on trials judged to be of lower quality because of poor design or missing data. More information was missing for some of the other outcome measures and analyses, which we have downgraded to low‐quality evidence. Conclusion  People with stroke who receive organised inpatient (stroke unit) care are more likely to be alive, living at home, and independent in looking after themselves one year after their stroke. Apparent benefits were seen across a broad range of people with stroke. Various types of stroke units have been developed. The best results appear to come from stroke units based in a dedicated stroke ward.</t>
  </si>
  <si>
    <t>J1807</t>
  </si>
  <si>
    <t>Telerehabilitation services for stroke</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</si>
  <si>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face‐to‐face or when added to usual care. Objectives To determine whether the use of telerehabilitation leads to improved ability to perform activities of daily living amongst stroke survivors when compared with (1) in‐person rehabilitation (when the clinician and the patient are at the same physical location and rehabilitation is provided face‐to‐face); or (2) no rehabilitation or usual care. Secondary objectives were to determine whether use of telerehabilitation leads to greater independence in self‐care and domestic life and improved mobility, balance, health‐related quality of life, depression, upper limb function, cognitive function or functional communication when compared with in‐person rehabilitation and no rehabilitation. Additionally, we aimed to report on the presence of adverse events, cost‐effectiveness,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post‐hospital discharge support programs, upper limb training, lower limb and mobility retraining and communication therapy for people with post‐stroke language disorders. Studies were either conducted upon discharge from hospital or with people in the subacute or chronic phases following stroke. Primary outcome: we found moderate‐quality evidence that there was no difference in activities of daily living between people who received a post‐hospital discharge telerehabilitation intervention and those who received usual care (based on 2 studies with 661 participants (standardised mean difference (SMD) ‐0.00, 95% confidence interval (CI) ‐0.15 to 0.15)). We found low‐quality evidence of no difference in effects on activities of daily living between telerehabilitation and in‐person physical therapy programmes (based on 2 studies w th 75 participants: SMD 0.03, 95% CI ‐0.43 to 0.48). Secondary outcomes: we found a low quality of evidence that there was no difference between telerehabilitation and in‐person rehabilitation for balance outcomes (based on 3 studies with 106 participants: SMD 0.08, 95%CI ‐0.30 to 0.46). Pooling of three studies with 569 participants showed moderate‐quality evidence that there was no difference between those who received post‐discharge support interventions and those who received usual care on health‐related quality of life (SMD 0.03, 95% CI ‐0.14 to 0.20). Similarly, pooling of six studies (with 1145 participants) found moderate‐quality evidence that there was no difference in depressive symptoms when comparing post‐discharge tele‐support programs with usual care (SMD ‐0.04, 95% CI ‐0.19 to 0.11). We found no difference between groups for upper limb function (based on 3 studies with 170 participants: mean difference (MD) 1.23, 95% CI ‐2.17 to 4.64, low‐quality evidence) when a computer program was used to remotely retrain upper limb function in comparison to in‐person therapy. Evidence was insufficient to draw conclusions on the effects of telerehabilitation on mobility or participant satisfaction with the intervention. No studies evaluated the cost‐effectiveness of telerehabilitation; however, five of the studies reported health service utilisation outcomes or costs of the interventions provided within the study. Two studies reported on adverse events, although no serious trial‐related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moderate‐level evidence testing whether telerehabilitation is a more effective or similarly effective way to provide rehabilitation. Short‐term post‐hospital discharge telerehabilitation programmes have not been shown to reduce depressive symptoms, improve quality of life, or improve independence in activities of daily living when compared with usual care. Studies comparing telerehabilitation and in‐person therapy have also not found significantly different outcomes between groups, suggesting that telerehabilitation is not inferior. Some studies reported that telerehabilitation was less expensive to provide but information was lacking about cost‐effectiveness.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This review aimed to gather evidence for the use of telerehabilitation after stroke. We aimed to compare telerehabilitation with therapy delivered face‐to‐face and with no therapy (usual care). Background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As the studies were very different, it was rarely appropriate to combine results to determine overall effect. We found that people who received telerehabilitation had similar outcomes for activities of daily living function to those that received face‐to‐face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cost‐effectiveness. Only two trials reported on whether or not any adverse events had occurred; these trials found no serious adverse events were related to telerehabilitation. Further trials are required. Quality of the evidence   The quality of the evidence was generally of low or moderate quality. The quality of the evidence for each outcome was limited due to small numbers of study participants and poor reporting of study details.</t>
  </si>
  <si>
    <t>2 ongoing studies that might be UK</t>
  </si>
  <si>
    <t>community - varies by study</t>
  </si>
  <si>
    <t>some info on cost savings, but non-uk</t>
  </si>
  <si>
    <t>J1808</t>
  </si>
  <si>
    <t>Acupuncture for glaucoma</t>
  </si>
  <si>
    <t>- Background Glaucoma is a multi‐factorial optic neuropathy characterized by an acquired loss of retinal ganglion cells at levels beyond normal age‐related loss and corresponding atrophy of the optic nerve. Although many treatments are available to manage glaucoma, patients may seek complementary or alternative medicine approaches such as acupuncture to supplement their regular treatment. The underlying plausibility of acupuncture is that disorders related to the flow of Chi (traditional Chinese concept of vital force or energy) can be managed by stimulating relevant points on the body surface. Objectives To assess the effectiveness and safety of acupuncture compared with other treatments, no treatment, or placebo in patients with glaucoma. Search methods We searched the Cochrane Central Register of Controlled Trials (CENTRAL), which contains the Cochrane Eyes and Vision Trials Register (2018, Issue 11); Ovid MEDLINE; Embase.com; the Cumulative Index to Nursing and Allied Health Literature (CINAHL); the Allied and Complementary Medicine Database (AMED); PubMed; Latin American and Caribbean Literature on Health Sciences (LILACS); ZETOC; the meta Register of Controlled Trials ( m RCT); ClinicalTrials.gov; the World Health Organization (WHO) International Clinical Trials Registry Platform (ICTRP); and the National Center for Complementary and Alternative Medicine (NCCAM) website. We did not use any language or date restrictions in the search for trials. We last searched electronic databases on November 16, 2018, with the exception of NCCAM, which we last searched on July 14, 2010, and the meta Register of Controlled Trials ( m RCT), which we last searched on January 8, 2013. We handsearched Chinese medical journals at Peking Union Medical College Library in April 2007. We searched the Chinese Acupuncture Trials Register, the Traditional Chinese Medical Literature Analysis and Retrieval System (TCMLARS), the Chinese Biological Database (CBM), and the China National Knowledge Infrastructure (CNKI). We last searched Chinese electronic databases on November 19, 2018. Selection criteria We included randomized controlled trials (RCTs) in which one arm involved acupuncture treatment. Data collection and analysis Two review authors independently screened results, then extracted the data and assessed risk of bias for eligible trials. Main results We included three completed trials and one ongoing trial in the 2019 update of this review. The three completed trials, conducted in Taiwan and the United States, included participants with glaucoma or intraocular hypertension. The interventions investigated varied across trials. One trial compared auricular acupressure－a non‐standard acupuncture technique－with the sham procedure in 33 patients. Another trial compared transcutaneous electrical nerve stimulation (TENS) with a sham procedure in 82 patients. The third trial compared 12 sessions of acupuncture on eye‐points versus on non‐eye‐points in 22 patients. All three trials were rated at high risk of bias for at least one domain. The certainty of evidence across all outcomes was very low due to high risk of bias in at least one contributing study; substantial clinical heterogeneity and methodological heterogeneity; and imprecision of results. One trial reported change in the visual field from baseline without any between‐group comparison. Because of the quantity of missing data (50%), we did not calculate a between‐group comparison, as the quantitative results are difficult to interpret. All three trials reported data for estimation of reduction of intraocular pressure (IOP). However, time points of IOP measurement varied. For the trial comparing acupressure to a sham procedure, the difference in IOP reduction (measured in mm Hg) is estimated to be ‐3.70 (95% confidence interval [CI] ‐7.11 to ‐0.29) for the right eye and ‐4.90 (95% CI ‐8.08 to ‐1.72) for the left eye at four weeks, and ‐1.30 mm Hg (95% CI ‐4.78 to 2.18) for the right eye and ‐2.30 mm Hg (95% CI ‐5.73 to 1.13) for he left eye at eight weeks. For the trial comparing TENS to sham treatment, the difference reduction is estimated to be ‐2.81 (95% CI ‐3.8 to ‐1.84) for the right eye and ‐2.58 (95% CI ‐3.36 to ‐1.80) for the left eye immediately after treatment, ‐2.93 (95% CI ‐3.72 to ‐2.13) for the right eye and ‐3.56 (95% CI ‐4.35 to 2.78) for the left eye 30 minutes after treatment, and finally ‐3.61 (95% CI ‐4.47 to ‐2.75) for the right eye and ‐3.61 (95% ‐4.47 to ‐2.74) for the left eye. For the trial that compared acupuncture on eye‐points versus non‐eye‐points, 11 out of 22 (50%) participants did not complete the treatment. One trial reported data for estimation of visual acuity. When acupressure is compared to sham treatment, the difference in uncorrected visual acuity (UCVA, measured in logMAR) is estimated to be ‐0.01 (95% CI ‐0.24 to 0.22) for the right eye and ‐0.04 (95% CI ‐0.27 to 0.19) for the left eye at four months, and ‐0.03 logMAR (95% CI ‐0.27 to 0.21) for the right eye and ‐0.16 logMAR (95% CI ‐0.43 to 0.11) for the left eye at eight months. The difference in best corrected visual acuity (BCVA) is estimated to be 0.10 (95% CI ‐0.06 to 0.26) for the right eye and 0 (95% CI ‐0.14 to 0.14) for the left eye at four months, and ‐0.04 logMAR (95% CI ‐0.09 to 0.17) for the right eye and ‐0.04 logMAR (95% CI ‐0.18 to 0.10) for the left eye at eight months. One trial reported progression of optic disc damage or nerve fiber layer loss without any between‐group comparison. Because of the quantity of missing data (50%), we did not calculate a between‐group comparison, as the quantitative results are difficult to interpret. One trial reported adverse events in two patients (out of 22) who experienced needle sensitivity. However, the study did not report between‐group comparisons. Because of the quantity of missing data (50%), we did not calculate a between‐group comparison, as the quantitative results are difficult to interpret. Authors' conclusions At this time, it is impossible to draw reliable conclusions from available data to support the use of acupuncture for treatment of patients with glaucoma. Because of ethical considerations, RCTs comparing acupuncture alone with standard glaucoma treatment or placebo are unlikely to be justified in countries where the standard of care has already been established. Plain language summary Acupuncture as a treatment for people with glaucoma What was the aim of this review?   This review aimed to assess whether acupuncture is useful and safe in treating people with glaucoma. We included in the review three completed trials and one ongoing trial. What is the key message of this review?   At this time, it is impossible to draw reliable conclusions from available data to support the use of acupuncture for treatment of people with glaucoma. What was studied in the review?   Glaucoma is a condition that damages the optic nerve and affects visual function. It is a major cause of blindness worldwide. Although many treatments are available, including eye drops, laser treatment, and surgical procedures, some people may seek complementary or alternative medicine approaches such as acupuncture to supplement their regular treatment. What are the main results of the review?   The three completed studies were conducted in hospitals in Taiwan and the United States. These trials recruited participants with glaucoma or intraocular hypertension (higher than normal eye pressure). The trials differ greatly in the interventions compared, including auricular acupressure (a non‐standard acupuncture technique), transcutaneous electrical nerve stimulation, and acupuncture on eye‐points (12 sessions). Acupuncture may have a very small effect in reducing eye pressure, but the certainty of evidence is very low. One trial reported needle sensitivity. Trials provided no evidence of effect on visual field or visual acuity. How up‐to‐date is this review?   Cochrane Review authors searched for studies that had been published up o November 16, 2018.</t>
  </si>
  <si>
    <t>J1809</t>
  </si>
  <si>
    <t>Behavioural modification interventions for medically unexplained symptoms in primary care: systematic reviews and economic evaluation</t>
  </si>
  <si>
    <t>&lt;b&gt;BACKGROUND&lt;/b&gt;: The term 'medically unexplained symptoms' is used to cover a wide range of persistent bodily complaints for which adequate examination and appropriate investigations do not reveal sufficiently explanatory structural or other specified pathologies. A wide range of interventions may be delivered to patients presenting with medically unexplained symptoms in primary care. Many of these therapies aim to change the behaviours of the individual who may have worsening symptoms._x000D_
&lt;b&gt;OBJECTIVES&lt;/b&gt;: An evidence synthesis to determine the clinical effectiveness and cost-effectiveness of behavioural modification interventions for medically unexplained symptoms delivered in primary care settings was undertaken. Barriers to and facilitators of the effectiveness and acceptability of these interventions from the perspective of patients and service providers were evaluated through qualitative review and realist synthesis._x000D_
&lt;b&gt;DATA SOURCES&lt;/b&gt;: Full search strategies were developed to identify relevant literature. Eleven electronic sources were searched. Eligibility criteria - for the review of clinical effectiveness, randomised controlled trials were sought. For the qualitative review, UK studies of any design were included. For the cost-effectiveness review, papers were restricted to UK studies reporting outcomes as quality-adjusted life-year gains. Clinical searches were conducted in November 2015 and December 2015, qualitative searches were conducted in July 2016 and economic searches were conducted in August 2016. The databases searched included MEDLINE, Cumulative Index to Nursing and Allied Health Literature (CINAHL), PsycINFO and EMBASE. Updated searches were conducted in February 2019 and March 2019._x000D_
&lt;b&gt;PARTICIPANTS&lt;/b&gt;: Adult participants meeting the criteria for medically unexplained symptoms, including somatoform disorders, chronic unexplained pain and functional somatic syndromes._x000D_
&lt;b&gt;INTERVENTIONS&lt;/b&gt;: Behavioural interventions were categorised into types. These included psychotherapies, exercise-based interventions, multimodal therapies (consisting of more than one intervention type), relaxation/stretching/social support/emotional support, guided self-help and general practitioner interventions, such as reattribution. Evidence synthesis: a network meta-analysis was conducted to allow a simultaneous comparison of all evaluated interventions in a single coherent analysis. Separate network meta-analyses were performed at three time points: end of treatment, short-term follow-up (&lt; 6 months since the end of treatment) and long-term follow-up (&gt;= 6 months after the end of treatment). Outcomes included physical and psychological symptoms, physical functioning and impact of the illness on daily activities. Economic evaluation: within-trial estimates of cost-effectiveness were generated for the subset of studies where utility values (or quality-adjusted life-years) were reported or where these could be estimated by mapping from Short Form questionnaire-36 items or Short Form questionnaire-12 items outcomes._x000D_
&lt;b&gt;RESULTS&lt;/b&gt;: Fifty-nine studies involving 9077 patients were included in the clinical effectiveness review. There was a large degree of heterogeneity both between and within intervention types, and the networks were sparse across all outcomes. At the end of treatment, behavioural interventions showed some beneficial effects when compared with usual care, in particular for improvement of specific physical symptoms [(1) pain: high-intensity cognitive-behavioural therapy (CBTHI) standardised mean difference (SMD) 0.54 [95% credible interval (CrI) 0.28 to 0.84], multimodal SMD 0.52 (95% CrI 0.19 to 0.89); and (2) fatigue: low-intensity cognitive-behavioural therapy (CBTLI) SMD 0.72 (95% CrI 0.27 to 1.21), relaxation/stretching/social support/emotional support SMD 0.87 (95% CrI 0.20 to 1.55), graded activity SMD 0.51 (95% CrI 0.14 to 0.93), multimodal SMD 0.52 (95% CrI 0.14 to 0.92)] and psychological outcomes [(1) anxiety CBTHI SMD 0.52 (95% CrI 0.06 to 0.96); (2) depression CBTHI SMD 0.80 (95% CrI 0.26 to 1.38); and (3) emotional distress other psychotherapy SMD 0.58 (95% CrI 0.05 to 1.13), relaxation/stretching/social support/emotional support SMD 0.66 (95% CrI 0.18 to 1.28) and sport/exercise SMD 0.49 (95% CrI 0.03 to 1.01)]. At short-term follow-up, behavioural interventions showed some beneficial effects for specific physical symptoms [(1) pain: CBTHI SMD 0.73 (95% CrI 0.10 to 1.39); (2) fatigue: CBTLI SMD 0.62 (95% CrI 0.11 to 1.14), relaxation/stretching/social support/emotional support SMD 0.51 (95% CrI 0.06 to 1.00)] and psychological outcomes [(1) anxiety: CBTHI SMD 0.74 (95% CrI 0.14 to 1.34); (2) depression: CBTHI SMD 0.93 (95% CrI 0.37 to 1.52); and (3) emotional distress: relaxation/stretching/social support/emotional support SMD 0.82 (95% CrI 0.02 to 1.65), multimodal SMD 0.43 (95% CrI 0.04 to 0.91)]. For physical functioning, only multimodal therapy showed beneficial effects: end-of-treatment SMD 0.33 (95% CrI 0.09 to 0.59); and short-term follow-up SMD 0.78 (95% CrI 0.23 to 1.40). For impact on daily activities, CBTHI was the only behavioural intervention to show beneficial effects [end-of-treatment SMD 1.30 (95% CrI 0.59 to 2.00); and short-term follow-up SMD 2.25 (95% CrI 1.34 to 3.16)]. Few effects remained at long-term follow-up. General practitioner interventions showed no significant beneficial effects for any outcome. No intervention group showed conclusive beneficial effects for measures of symptom load (somatisation). A large degree of heterogeneity was found across individual studies in the assessment of cost-effectiveness. Several studies suggested that the interventions produce fewer quality-adjusted life-years than usual care. For those interventions that generated quality-adjusted life-year gains, the mid-point incremental cost-effectiveness ratios (ICERs) ranged from 1397 to 129,267, but, where the mid-point ICER fell below 30,000, the exploratory assessment of uncertainty suggested that it may be above 30,000._x000D_
&lt;b&gt;LIMITATIONS&lt;/b&gt;: Sparse networks meant that it was not possible to conduct a metaregression to explain between-study differences in effects. Results were not consistent within intervention type, and there were considerable differences in characteristics between studies of the same type. There were moderate to high levels of statistical heterogeneity. Separate analyses were conducted for three time points and, therefore, analyses are not repeated-measures analyses and do not account for correlations between time points._x000D_
&lt;b&gt;CONCLUSIONS&lt;/b&gt;: Behavioural interventions showed some beneficial effects for specific medically unexplained symptoms, but no one behavioural intervention was effective across all medically unexplained symptoms. There was little evidence that these interventions are effective for measures of symptom load (somatisation). General practitioner-led interventions were not shown to be effective. Considerable heterogeneity in interventions, populations and sparse networks mean that results should be interpreted with caution. The relationship between patient and service provider is perceived to play a key role in facilitating a successful intervention. Future research should focus on testing the therapeutic effects of the general practitioner-patient relationship within trials of behavioural interventions, and explaining the observed between-study differences in effects within the same intervention type (e.g. with more detailed reporting of defined mechanisms of the interventions under study)._x000D_
&lt;b&gt;STUDY REGISTRATION&lt;/b&gt;: This study is registered as PROSPERO CRD42015025520._x000D_
&lt;b&gt;FUNDING&lt;/b&gt;: This project was funded by the National Institute for Health Research (NIHR) Health Technology Assessment programme and will be published in full in Health Technology Assessment; Vol. 24, No. 46. See the NIHR Journals Library website for further project information.</t>
  </si>
  <si>
    <t>J1810</t>
  </si>
  <si>
    <t>Behavioural modification interventions for medically unexplained symptoms in primary care: Systematic reviews and economic evaluation</t>
  </si>
  <si>
    <t>BACKGROUND</t>
  </si>
  <si>
    <t>J1811</t>
  </si>
  <si>
    <t>Alcohol misuse and patient outcomes following admission to the intensive care unit at royal preston hospital-are we making good use of medical resources?</t>
  </si>
  <si>
    <t>A number of factors have led to the increased prevalence of alcohol misuse in the UK for the past few decades (1-3). Alcohol-related harm is now a leading cause of death (3,4), and has become a significant burden, especially to our healthcare system (1). A small number of these patients require admission to the intensive care unit (ICU) but their prognosis remains uncertain. There is inconsistent use of ICU regarding such individuals, which have inevitably impacted on the quality of patient care in this cohort. In this retrospective audit study, we attempted to a) investigate the on-unit and long-term survival of patients who had been admitted to the ICU at Royal Preston Hospital as a result of alcohol misuse; b) explore various factors which might have contributed to such outcomes; c) discuss, in the context of the wider society, in order to explore the ethical implications of admitting such patients to the ICU, and how the decision making will inevitably impact on efficacy of treatment and resource allocation. We reviewed 79 patients who were admitted to the ICU of Royal Preston Hospital following alcoholrelated harm against their survival outcomes. Receiver Operating Characteristic Curves, logistical Regression and Kaplan-Meier Survival Curves were used to determine the association between patient markers and their prognoses. These admissions were shown to be costly (approximately 900,432 over the 18-month period), and generally carried a poor prognosis (mortality rate=38%). Child-Pugh scores and the Model for End-Stage Liver Disease (MELD) were associated with good prognostic power. In addition, several factors were demonstrated to be associated with worse survival outcomes: female gender (odds ratio=6.67, p=0.0002), hypoglycaemia (odds ratio=4.33, p=0.0044), hypothermia (odds ratio=4.90, p=0.0048), raised lactate (odds ratio= 7.25, p=0.0004), raised alkaline phosphatase (ALP, odds ratio=4.03, p=0.0078). Many patients from this cohort would have benefited from end of life care, of which the stronger focus on symptom relief is in agreement with the principle of beneficence and non-maleficence. We noted that pre-agreed care plans that reflects individual patients' realistic prognoses would have played an important role in guiding such admissions to protect their autonomy. The question of resource allocation and social justice has become more important amid deteriorating national performance in cancer treatment (5). Elective cancer operations required shorter ICU stays (p=0.0028) and came with a possible lower mortality rate (p=0.5505). The bed days from alcohol-related admissions could have in theory accommodated 108 elective cancer surgeries per annum. Preventative strategies and personal lifestyle choice alterations are urgently needed to combat alcoholrelated harm. For the unfortunate patients who have become seriously ill from alcohol misuse, Child-Pugh scores, MELD scores, female gender, hypoglycaemia, hypothermia, raised lactate, raised alkaline phosphatase are found to be associated with adverse outcomes after admission to the intensive care unit.</t>
  </si>
  <si>
    <t>no shift, does mention prevention</t>
  </si>
  <si>
    <t>J1812</t>
  </si>
  <si>
    <t>Are low and middle-income countries prioritising high-value healthcare interventions?</t>
  </si>
  <si>
    <t>&lt;b&gt;Introduction&lt;/b&gt;: Since resources are finite, investing in services that produce the highest health gain 'return on investment' is critical. We assessed the extent to which low and middle-income countries (LMIC) have included cost-saving interventions in their national strategic health plans._x000D_
&lt;b&gt;Methods&lt;/b&gt;: We used the Tufts Medical Center Global Health Cost-Effectiveness Analysis Registry, an open-source database of English-language cost-per-disability-adjusted life year (DALY) studies, to identify analyses published in the last 10 years (2008-2017) of cost-saving health interventions in LMICs. To assess whether countries prioritised cost-saving interventions within their latest national health strategic plans, we identified 10 countries, all in sub-Saharan Africa, with the highest measures on the global burden of disease scale and reviewed their national health priority plans._x000D_
&lt;b&gt;Results&lt;/b&gt;: We identified 392 studies (63%) targeting LMICs that reported 3315 cost-per-DALY ratios, of which 207 ratios (6%) represented interventions reported to be cost saving. Over half (53%) of these targeted sub-Saharan Africa. For the 10 countries we investigated in sub-Saharan Africa, 58% (79/137) of cost-saving interventions correspond with priorities identified in country plans. Alignment ranged from 95% (21/22 prioritised cost-saving ratios) in South Africa to 17% (2/12 prioritised cost-saving ratios) in Cameroon. Human papillomavirus vaccination was a noted priority in 70% (7/10) of national health prioritisation plans, while 40% (4/10) of countries explicitly included prenatal serological screening for syphilis. HIV prevention and treatment were stated priorities in most country health plans, whereas 40% (2/5) of countries principally outlined efforts for lymphatic filariasis. From our sample of 45 unique interventions, 36% of interventions (16/45) included costs associated directly with the implementation of the intervention._x000D_
&lt;b&gt;Conclusion&lt;/b&gt;: Our findings indicate substantial variation across country and disease area in incorporating economic evidence into national health priority plans in a sample of sub-Saharan African countries. To make health economic data more salient, the authors of cost-effectiveness analyses must do more to reflect implementation costs and other factors that could limit healthcare delivery.</t>
  </si>
  <si>
    <t>cost saving interventions, but not in UK</t>
  </si>
  <si>
    <t>J1813</t>
  </si>
  <si>
    <t>Routine Health Information System (RHIS) improvements for strengthened health system management</t>
  </si>
  <si>
    <t>- Background A well‐functioning routine health information system (RHIS) can provide the information needed for health system management, for governance, accountability, planning, policy making, surveillance and quality improvement, but poor information support has been identified as a major obstacle for improving health system management. Objectives To assess the effects of interventions to improve routine health information systems in terms of RHIS performance, and also, in terms of improved health system management performance, and improved patient and population health outcomes. Search methods We searched the Cochrane Central Register of Controlled Trials (CENTRAL) in the Cochrane Library, MEDLINE Ovid and Embase Ovid in May 2019. We searched Global Health, Ovid and PsycInfo in April 2016. In January 2020 we searched for grey literature in the Grey Literature Report and in OpenGrey, and for ongoing trials using the International Clinical Trials Registry Platform (ICTRP) and ClinicalTrials.gov. In October 2019 we also did a cited reference search using Web of Science, and a ‘similar articles’ search in PubMed. Selection criteria Randomised and non‐randomised trials, controlled before‐after studies and time‐series studies comparing routine health information system interventions, with controls, in primary, hospital or community health care settings. Participants included clinical staff and management, district management and community health workers using routine information systems. Data collection and analysis Two authors independently reviewed records to identify studies for inclusion, extracted data from the included studies and assessed the risk of bias. Interventions and outcomes were too varied across studies to allow for pooled risk analysis. We present a 'Summary of findings' table for each intervention comparisons broadly categorised into Technical and Organisational (or a combination), and report outcomes on data quality and service quality. We used the GRADE approach to assess the certainty of the evidence. Main results We included six studies: four cluster randomised trials and two controlled before‐after studies, from Africa and South America. Three studies evaluated technical interventions, one study evaluated an organisational intervention, and two studies evaluated a combination of technical and organisational interventions. Four studies reported on data quality and six studies reported on service quality. In terms of data quality, a web‐based electronic TB laboratory information system probably reduces the length of time to reporting of TB test results, and probably reduces the overall rate of recording errors of TB test results, compared to a paper‐based system (moderate certainty evidence). We are uncertain about the effect of the electronic laboratory information system on the recording rate of serious (misidentification) errors for TB test results compared to a paper‐based system (very low certainty evidence). Misidentification errors are inaccuracies in transferring test results between an electronic register and patients' clinical charts. We are also uncertain about the effect of the intervention on service quality (timeliness of starting or changing a patient's TB treatment) (very low certainty evidence). A hand‐held electronic device probably improves the length of time to report TB test results, and probably reduces the total frequency of recording errors in TB test results between the laboratory notebook and the electronic information record system, compared to a paper‐based system (moderate‐certainty evidence). We are, however, uncertain about the effect of the intervention on the frequency of serious (misidentification) errors in recording between the laboratory notebook and the electronic information record, compared to a paper‐based system (very low certainty evidence). We are uncertain about the effect of a hospital electronic health information system on service quality (length of time outpatients spend at hospital, length of hospital stay, a d hospital revenue collection), compared to a paper‐based system (very low certainty evidence). High‐intensity brief text messaging (SMS) may make little or no difference to data quality (in terms of completeness of documentation of pregnancy outcomes), compared to low‐intensity brief text messaging (low‐certainty evidence). We are uncertain about the effect of electronic drug stock notification (with either data management support or product transfer support) on service quality (in terms of transporting stock and stock levels), compared to paper‐based stock notification (very low certainty evidence). We are uncertain about the effect of health information strengthening (where it is part of comprehensive service quality improvement intervention) on service quality (health worker motivation, receipt of training by health workers, health information index scores, quality of clinical observation of children and adults) (very low certainty evidence). Authors' conclusions The review indicates mixed effects of mainly technical interventions to improve data quality, with gaps in evidence on interventions aimed at enhancing data‐informed health system management. There is a gap in interventions studying information support beyond clinical management, such as for human resources, finances, drug supply and governance. We need to have a better understanding of the causal mechanisms by which information support may affect change in management decision‐making, to inform robust intervention design and evaluation methods. Plain language summary Making improvements to routine health information systems to strengthen the management of health systems For health services and systems to function well, managers need a routine information system that produces reliable information about how well these services are working and that supports the use of this information to improve services. The aim of this Cochrane Review was to see if different ways of improving the routine information system could improve the quality and use of this information and the quality and use of health services. The review authors collected and analysed all relevant studies to answer this question and found six studies. Key messages Moving from paper‐based information systems to electronic and digital systems probably allows staff at healthcare facilities to collect some types of routine health information faster and with fewer mistakes. But there are many evidence gaps, and we still need to know more about the effect of different approaches on information quality and use and on the quality of healthcare services and the broader health system. What was studied in the review? Staff at healthcare facilities usually routinely collect information about the services they provide. This often includes information about their patients’ health and the type of treatments and tests they receive. Managers at different levels of the health system also collect information, for instance about human resources, finances, medicines and supply systems. Managers can then use this information to make decisions about how to organise and improve the services. This is referred to as a “routine health information system”. It is often a paper‐based system, but information can also be gathered through electronic systems. In many countries, these routine systems do not work well. This is often because the information is of poor quality or not that useful. Where good quality information is available, managers do not always use the information effectively to improve services. This may be because they have problems accessing the information, they lack the skills to use the information correctly, or they are not encouraged or supported in their use of the information. In this review, we looked at different ways of improving routine health information systems and the effect this has on the quality and use of the information and the quality of healthcare services and the broader health system. What are the main results of the review? The review authors found six relevant studies from countries in Africa and South America. Some of the studies assessed whether electronic systems were better than paper‐based systems. Some of the studies also looked at other ways of improving the system, for instance by using SMS mobile‐phone systems to help health workers and other staff notify central systems about supply levels, register patients, or monitor patients’ health. What effect do these types of systems have on the quality and use of the information that is collected and on health service and systems quality? ‐ When healthcare staff use electronic and digital information systems to document and communicate tuberculosis (TB) laboratory test results, compared to paper‐based systems, test results are probably reported faster and with fewer mistakes overall. But we do not know if these new systems lead to fewer serious mistakes (such as giving the wrong test results for a patient when moving information from the laboratory system to the clinic system), because the certainty of the evidence is very low. ‐ When community health workers are sent frequent text‐messages (SMS) motivating them to collect information about pregnancies, births and newborn deaths, this may make little or no difference to the quality of the information that is reported, compared to less frequent messages. We do not know what the effects of other approaches to system improvements are on information quality and use or on the quality of the services because evidence is lacking or of very low certainty. How up to date is this review? The review authors searched for studies that had been published up to May 2019.</t>
  </si>
  <si>
    <t>health system</t>
  </si>
  <si>
    <t>Not cash saving</t>
  </si>
  <si>
    <t>J1814</t>
  </si>
  <si>
    <t>Effect of Adding a Work-Focused Intervention to Integrated Care for Depression in the Veterans Health Administration: A Randomized Clinical Trial</t>
  </si>
  <si>
    <t>Importance: Thousands of working-age veterans with depression experience impaired occupational functioning. Objective(s): To test whether the Veterans Health Administration (VHA) integrated care (IC) program combined with telephonic work-focused counseling, known as Be Well at Work (BWAW), is superior to IC alone for improving occupational functioning and depression, to determine whether these effects persist 4 months later, and to determine whether the return on investment is positive. Design, Setting, and Participant(s): In this randomized clinical trial conducted from October 21, 2014, to December 6, 2019, patients undergoing IC at VHA facilities were screened for eligibility and randomized to IC alone or IC plus BWAW. Blinded interviewers administered questionnaires before the intervention, immediately after completion of the intervention at month 4, and at month 8. Eligibility criteria were individuals 18 years or older who were working at least 15 hours per week in a job they had occupied for at least 6 months, were experiencing work limitations, and had current major depressive disorder or persistent depressive disorder. Exclusion criteria were individuals who could not read or speak English, had planned maternity leave, or had a history of bipolar disorder or psychosis. Data analyses were conducted from January 1, 2018, to December 6, 2019. Intervention(s): Integrated care is multidisciplinary depression care involving screening, clinical informatics, measurement-based care, brief behavioral interventions, and referral as needed to specialty mental health care. Be Well at Work counseling involves 8 biweekly telephone sessions and 1 telephone booster visit after 4 months. Doctoral-level psychologists helped patients to identify barriers to functioning and to adopt new work-focused cognitive-behavioral and work-modification strategies. Main Outcomes and Measures: The primary outcome was the adjusted mean group difference in changes from before to after intervention (hereafter, adjusted effect) in the percentage of at-work productivity loss, measured with the Work Limitations Questionnaire (range, 0%-25%). The secondary outcome was adjusted effect in the Patient Health Questionnaire 9-item symptom severity score (range, 0-27, with 0 indicating no symptoms and 27, severe symptoms). Result(s): Of 670 veterans referred for participation, 287 veterans (42.8%) consented and completed eligibility screening, and 253 veterans (37.8%) were randomized. Among these 253 patients (mean [SD] age, 45.7 [11.6] years; 218 [86.2%] men; 135 [53.4%] white), 114 (45.1%) were randomized to IC and 139 (54.9%) were randomized to IC plus BWAW. At the 4-month follow-up, patients who received IC plus BWAW had greater reductions in at-work productivity loss (adjusted effect,-1.7; 95% CI,-3.1 to-0.4; P =.01) and depression symptom severity (adjusted effect,-2.1; 95% CI,-3.5 to-0.7; P =.003). The improvements from IC plus BWAW persisted 4 months after intervention (at-work productivity loss mean difference,-0.5; 95% CI,-1.9 to 0.9; P =.46; depression symptom severity mean difference, 0.6; 95% CI-0.9 to 2.1; P =.44). The cost per patient participating in BWAW was $690.98, and the return on investment was 160%. Conclusions and Relevance: These findings suggest that adding this work-focused intervention to IC improves veterans' occupational and psychiatric outcomes, reducing obstacles to having a productive civilian life. Trial Registration: ClinicalTrials.gov Identifier: NCT02111811. Copyright © 2020 American Medical Association. All rights reserved.</t>
  </si>
  <si>
    <t>Veterans Health Administration</t>
  </si>
  <si>
    <t>Not cash releasing. ROI, but not UK</t>
  </si>
  <si>
    <t>J3595</t>
  </si>
  <si>
    <t>Impact of video-assisted thoracoscopic lobectomy versus open lobectomy for lung cancer on recovery assessed using self-reported physical function: VIOLET RCT</t>
  </si>
  <si>
    <t>&lt;b&gt;BACKGROUND&lt;/b&gt;: Lung cancer is the leading cause of cancer death. Surgery remains the main method of managing early-stage disease. Minimal-access video-assisted thoracoscopic surgery results in less tissue trauma than open surgery; however, it is not known if it improves patient outcomes._x000D_
&lt;b&gt;OBJECTIVE&lt;/b&gt;: To compare the clinical effectiveness and cost-effectiveness of video-assisted thoracoscopic surgery lobectomy with open surgery for the treatment of lung cancer._x000D_
&lt;b&gt;DESIGN, SETTING AND PARTICIPANTS&lt;/b&gt;: A multicentre, superiority, parallel-group, randomised controlled trial with blinding of participants (until hospital discharge) and outcome assessors conducted in nine NHS hospitals. Adults referred for lung resection for known or suspected lung cancer, with disease suitable for both surgeries, were eligible. Participants were followed up for 1 year._x000D_
&lt;b&gt;INTERVENTIONS&lt;/b&gt;: Participants were randomised 1 : 1 to video-assisted thoracoscopic surgery lobectomy or open surgery. Video-assisted thoracoscopic surgery used one to four keyhole incisions without rib spreading. Open surgery used a single incision with rib spreading, with or without rib resection._x000D_
&lt;b&gt;MAIN OUTCOME MEASURES&lt;/b&gt;: The primary outcome was self-reported physical function (using the European Organisation for Research and Treatment of Cancer Quality of Life Questionnaire Core 30) at 5 weeks. Secondary outcomes included upstaging to pathologic node stage 2 disease, time from surgery to hospital discharge, pain in the first 2 days, prolonged pain requiring analgesia at &gt; 5 weeks, adverse health events, uptake of adjuvant treatment, overall and disease-free survival, quality of life (Quality of Life Questionnaire Core 30, Quality of Life Questionnaire Lung Cancer 13 and EQ-5D) at 2 and 5 weeks and 3, 6 and 12 months, and cost-effectiveness._x000D_
&lt;b&gt;RESULTS&lt;/b&gt;: A total of 503 patients were randomised between July 2015 and February 2019 (video-assisted thoracoscopic surgery, n = 247; open surgery, n = 256). One participant withdrew before surgery. The mean age of patients was 69 years; 249 (49.5%) patients were men and 242 (48.1%) did not have a confirmed diagnosis. Lobectomy was performed in 453 of 502 (90.2%) participants and complete resection was achieved in 429 of 439 (97.7%) participants. Quality of Life Questionnaire Core 30 physical function was better in the video-assisted thoracoscopic surgery group than in the open-surgery group at 5 weeks (video-assisted thoracoscopic surgery, n = 247; open surgery, n = 255; mean difference 4.65, 95% confidence interval 1.69 to 7.61; p = 0.0089). Upstaging from clinical node stage 0 to pathologic node stage 1 and from clinical node stage 0 or 1 to pathologic node stage 2 was similar (p &gt;= 0.50). Pain scores were similar on day 1, but lower in the video-assisted thoracoscopic surgery group on day 2 (mean difference -0.54, 95% confidence interval -0.99 to -0.09; p = 0.018). Analgesic consumption was 10% lower (95% CI -20% to 1%) and the median hospital stay was less (4 vs. 5 days, hazard ratio 1.34, 95% confidence interval 1.09, 1.65; p = 0.006) in the video-assisted thoracoscopic surgery group than in the open-surgery group. Prolonged pain was also less (relative risk 0.82, 95% confidence interval 0.72 to 0.94; p = 0.003). Time to uptake of adjuvant treatment, overall survival and progression-free survival were similar (p &gt;= 0.28). Fewer participants in the video-assisted thoracoscopic surgery group than in the open-surgery group experienced complications before and after discharge from hospital (relative risk 0.74, 95% confidence interval 0.66 to 0.84; p &lt; 0.001 and relative risk 0.81, 95% confidence interval 0.66 to 1.00; p = 0.053, respectively). Quality of life to 1 year was better across several domains in the video-assisted thoracoscopic surgery group than in the open-surgery group. The probability that video-assisted thoracoscopic surgery is cost-effective at a willingness-to-pay threshold of 20,000 per quality-adjusted life-year is 1._x000D_
&lt;b&gt;LIMITATIONS&lt;/b&gt;: Ethnic minorities were under-represented compared with the UK population (&lt; 5%), but the cohort reflected the lung cancer population._x000D_
&lt;b&gt;CONCLUSIONS&lt;/b&gt;: Video-assisted thoracoscopic surgery lobectomy was associated with less pain, fewer complications and better quality of life without any compromise to oncologic outcome. Use of video-assisted thoracoscopic surgery is highly likely to be cost-effective for the NHS._x000D_
&lt;b&gt;FUTURE WORK&lt;/b&gt;: Evaluation of the efficacy of video-assisted thoracoscopic surgery with robotic assistance, which is being offered in many hospitals._x000D_
&lt;b&gt;TRIAL REGISTRATION&lt;/b&gt;: This trial is registered as ISRCTN13472721._x000D_
&lt;b&gt;FUNDING&lt;/b&gt;: This project was funded by the National Institute for Health and Care Research ( NIHR ) Health Technology Assessment programme and will be published in full in Health Technology Assessment; Vol. 26, No. 48. See the NIHR Journals Library website for further project information.</t>
  </si>
  <si>
    <t>J3596</t>
  </si>
  <si>
    <t>J3597</t>
  </si>
  <si>
    <t>Cost-effectiveness and epidemiological impact of gender-neutral HPV vaccination in Spain</t>
  </si>
  <si>
    <t>All EU countries have introduced Human papilloma virus (HPV) vaccination for adolescent girls and many countries are expanding the strategy to include adolescent boys. There is uncertainty about the cost-effectiveness and epidemiological impact of a gender-neutral HPV vaccination strategy. Here we present the results of an economic model adapted for Spain. Five vaccination strategies were compared from the Spanish healthcare system perspective, combining two vaccines (4-valent and 9-valent) in a gender-neutral or girls-only programme in a dynamic population-based model with a discrete-time Markov approach. Costs and benefits were discounted at 3%. The benefits of immunization were measured with quality-adjusted life years (QALYs), which are achieved by reducing the incidence of diseases attributable to HPV. Incremental cost-effectiveness ratio (ICER) was compared with the willingness-to-pay threshold in Spain. The two most effective strategies were compared: gender-neutral 9-valent vaccination vs. girls-only 9-valent vaccination, resulting in an ICER of 34,040/QALY, and an important number of prevented cases of invasive cancers and anogenital warts. The sensitivity analysis revealed that gender-neutral 9-valent vaccination would become cost-effective if protection against oropharyngeal and penile cancers was included or if the price per dose decreased from 45 to 28. The gender-neutral 9-valent HPV vaccination in Spain offers more benefits than any other modeled strategy, although in the conservative base case it is not cost-effective. However, certain plausible assumptions would turn it into an efficient strategy, which should be borne in mind by the decision makers together with equity and justice arguments.</t>
  </si>
  <si>
    <t>Spain</t>
  </si>
  <si>
    <t>healthcare system perspective,</t>
  </si>
  <si>
    <t>J3598</t>
  </si>
  <si>
    <t>Incident and recurrent myocardial infarction (MI) in relation to comorbidities: Prediction of outcomes using machine-learning algorithms</t>
  </si>
  <si>
    <t>Background: To date, incident and recurrent MI remains a major health issue worldwide, and efforts to improve risk prediction in population health studies are needed. This may help the scalability of prevention strategies and management in terms of healthcare cost savings and improved quality of care. Method(s): We studied a large-scale population of 4.3 million US patients from different socio-economic and geographical areas from three health plans (Commercial, Medicare, Medicaid). Individuals had medical/pharmacy benefits for at least 30 months (2 years for comorbid history and followed up for 6 months or more for clinical outcomes). Machine-learning (ML) algorithms included supervised (logistic regression, neural network) and unsupervised (decision tree, gradient boosting) methodologies. Model discriminant validity, calibration and clinical utility were performed separately on allocated test sample (1/3 of original data). Result(s): In the absence of MI in comorbid history, the overall incidence rates were 0.442 cases/100 person-years and in the presence of MI history, 0.652. ML algorithms showed that supervised formulations had incrementally higher discriminant validity than unsupervised techniques (e.g., for incident MI outcome in the absence of MI in comorbid history: logistic regression LR" - c index 0.921, 95%CI 0.920-0.922; neural network "NN" - c index 0.914, 95%CI 0.913-0.915; gradient boosting "GB" - c index 0.902, 95%CI 0.900-0.904; decision tree "DT" - c index 0.500, 95%CI 0.495-0.505). Calibration and clinical utility showed good to excellent results. Conclusion(s): ML algorithms can substantially improve the prediction of incident and recurrent MI particularly in terms of the non-linear formulation. This approach may help with improved risk prediction, allowing implementation of cardiovascular prevention strategies across diversified sub-populations with different clusters of complexity. Copyright © 2022 Stichting European Society for Clinical Investigation Journal Foundation. Published by John Wiley &amp; Sons Ltd."</t>
  </si>
  <si>
    <t>US patients from different socio-economic and geographical areas from three health plans</t>
  </si>
  <si>
    <t>more validation of algorithms</t>
  </si>
  <si>
    <t>J3599</t>
  </si>
  <si>
    <t>A psychological intervention by community pharmacies to prevent depression in adults with subthreshold depression and long-term conditions: the CHEMIST pilot RCT</t>
  </si>
  <si>
    <t>&lt;b&gt;BACKGROUND&lt;/b&gt;: Depression is common in people with long-term health conditions, and this combination can lead to worsened health outcomes and increased health-care costs. Subthreshold depression, a risk factor for major depression, is prevalent in this population, but many people remain untreated due to the demand on services. The community pharmacy may be an alternative setting to offer mental health support; however, insufficient evidence exists to support implementation._x000D_
&lt;b&gt;OBJECTIVES&lt;/b&gt;: To conduct a feasibility study and pilot randomised controlled trial of a community pharmacy-delivered psychological intervention aimed at preventing depression in adults with long-term health conditions._x000D_
&lt;b&gt;DESIGN&lt;/b&gt;: A feasibility study with nested qualitative evaluation and an external pilot, two-arm, 1 : 1 individually randomised controlled trial with nested process and economic evaluations._x000D_
&lt;b&gt;SETTING&lt;/b&gt;: Community pharmacies in the north of England._x000D_
&lt;b&gt;PARTICIPANTS&lt;/b&gt;: Adults aged &gt;= 18 years with subthreshold depression and at least one long-term health condition._x000D_
&lt;b&gt;INTERVENTION&lt;/b&gt;: A bespoke enhanced support intervention (behavioural activation within a collaborative care framework) involving up to six sessions delivered by trained community pharmacy staff (intervention facilitators) compared with usual care._x000D_
&lt;b&gt;MAIN OUTCOME MEASURES&lt;/b&gt;: Recruitment and retention rates, completeness of outcome measures and intervention engagement. The intended primary outcome was depression severity at 4 months, assessed by the Patient Health Questionnaire-9._x000D_
&lt;b&gt;RESULTS&lt;/b&gt;: In the feasibility study, 24 participants were recruited. Outcome measure completeness was 95-100%. Retention at 4 months was 83%. Seventeen participants (71%) commenced intervention sessions and all completed two or more sessions. Depression symptoms reduced slightly at 4 months. The process evaluation suggested that the intervention was acceptable to participants and intervention facilitators. In the pilot randomised controlled trial, 44 participants (target of 100 participants) were randomised (intervention, n = 24; usual care, n = 20). Outcome measure completeness was 100%. Retention at 4 months was 93%. Eighteen participants (75%) commenced intervention sessions and 16 completed two or more sessions. Depression symptoms reduced slightly at 4 months, with a slightly larger reduction in the usual-care arm, although the small sample size limits any conclusions. The process evaluation reported good acceptability of the intervention and identified barriers associated with study implementation and its impact on core pharmacy functions. The economic analysis revealed some indication of reduced resource use/costs associated with the intervention, but this is limited by the small sample size. Intervention costs were low._x000D_
&lt;b&gt;LIMITATIONS&lt;/b&gt;: The main limitation is the small sample size due to difficulties with recruitment and barriers to implementing the study within existing pharmacy practices._x000D_
&lt;b&gt;CONCLUSIONS&lt;/b&gt;: The community pharmacy represents a new setting to deliver a depression prevention intervention. Recruitment was a challenge and pharmacy staff encountered barriers to effective implementation of the study within busy pharmacy practice. Despite these challenges, good retention rates and intervention engagement were demonstrated, and process evaluation suggested that the intervention was acceptable in this setting. To the best of our knowledge, this is the first study to demonstrate that community pharmacy staff can be trained to deliver a depression prevention intervention._x000D_
&lt;b&gt;FUTURE WORK&lt;/b&gt;: Further work is needed to address barriers to recruitment, intervention delivery and implementation of psychological interventions in the community pharmacy setting._x000D_
&lt;b&gt;TRIAL REGISTRATION&lt;/b&gt;: This trial is registered as ISRCTN11290592._x000D_
&lt;b&gt;FUNDING&lt;/b&gt;: This project was funded by the National Institute for Health Research (NIHR) Public Health Research programme and will be published in full in Public Health Research; Vol. 10, No. 5. See the NIHR Journals Library website for further project information.</t>
  </si>
  <si>
    <t>reduced resource use/costs (limited)</t>
  </si>
  <si>
    <t>J3600</t>
  </si>
  <si>
    <t>A Cost-Effectiveness Analysis of the Etonogestrel Implant in British Columbia, Canada</t>
  </si>
  <si>
    <t>Objectives: We aim to explore the cost-effectiveness of the etonogestrel implant compared to other contraceptive options to prevent unintended pregnancy (UIP) in British Columbia (BC). Method(s): A Markov analytic decision model was developed to determine the costs and outcomes of contraceptive care of the implant compared to other contraceptive options available in BC. A systematic literature review was performed to inform the model parameters including method-specific prevalence, continuation, discontinuation and failure rates. BC-specific costs were included. A hypothetical willingness-to-pay (WTP) threshold was calculated by using the weighted average of the costs associated with each pregnancy outcome in BC. Deterministic and probabilistic sensitivity analyses with a Monte Carlo simulation were conducted to evaluate the uncertainty in the model. The perspective of the Government of British Columbia as single-payer of the publicly funded health care system was employed. A cycle length of 12 months with a time horizon of 5 years were used. Result(s): Among 1000 biological females, the model estimated direct medical costs to be CAD $813 258 with 107 UIP by the implant. At a WTP threshold of 5362 CAD/UIP averted, the implant had a 70% probability of being cost-effective compared to the intrauterine device with progestogen, and a greater than 99% probability of being cost-effective compared to the copper intrauterine device, the medroxyprogesterone acetate injection and the combined hormonal contraceptive pill. Conclusion(s): The etonogestrel implant is the most cost-effective strategy to prevent unintended pregnancy in British Columbia and should be considered for inclusion in the provincial publicly funded PharmaCare Formulary. Keywords: economic evaluation; contraception; etonogestrel implant Copyright © 2022</t>
  </si>
  <si>
    <t>J3601</t>
  </si>
  <si>
    <t>Traditional Chinese herbal medicine in treating amenorrhea caused by antipsychotic drugs: Meta-analysis and systematic review</t>
  </si>
  <si>
    <t>Ethnopharmacological relevance: Amenorrhea caused by antipsychotic drugs is not uncommon in clinical practice, and various treatment strategies are used to treat the condition. Chinese herbal medicine has its own theory for amenorrhea caused by antipsychotic drugs and has developed its own medication methods. Aim of the study: To review and conduct meta-analysis of the use of traditional Chinese herbal medicine in treatment of amenorrhea caused by antipsychotic drugs. Material(s) and Method(s): A search was conducted across seven Chinese electronic databases (the China National Knowledge Infrastructure (CNKI) database, the China Science and Technology Journal Database, the Wanfang Database, the SinoMed, the Foreign Medical Literature Retrieval Service(FMRS), the Chinese University of Hong Kong Library, the Airiti Library), and the following English databases: MEDLINE, PreMEDLINE, OLD MEDLINEPublisher Supplied Citation in pubmed; JBI EBP Database, EBM Reviews, Embase, OVID Emcare, Ovid MEDLINE(R), Maternity &amp; Infant Care Database(MIDIRS), APA PsycInfo in OVID, and Cochrane Database of Systematic Reviews (Cochrane Reviews), Database of Abstracts of Reviews of Effects (Other Reviews), Cochrane Central Register of Controlled Trials (Clinical Trials),The Cochrane Methodology Register (Method Studies), Health Technology Assessment Database (Technology Assessments), NHS Economic Evaluation Database (Economic Evaluations) in Cochrane Library; and four databases (Science Direct, ProQuest, Web of Science, and Scopus) in official website using common standards and inclusion/exclusion criteria. The remaining reports were used for preliminary studies. Due to inconsistencies in control groups, randomized controlled trials and articles that combined with other drugs were also excluded. This study is a META analysis of a single rate. Result(s): Initial screening returned 912 potentially relevant publications in all databases. After subsequent filtering, a total of 18 articles were included in the analysis. The overall effectiveness for treatment amenorrhea caused by antipsychotic drugs using traditional Chinese herbal medicine was 0.91, with 95% confidence interval of 0.89-0.93. Notably in most studies, the time needed to achieve this level of effectiveness was relatively long, usually in excess of three months. Although a satisfactory verification of an improvement in menstrual cycling takes time, the long treatment duration is a downside. Our analysis revealed that the following Chinese herbal remedies were most common: Danggui (Angelica sinensis (Oliv.) Diels), Chuanxiong (Ligusticum striatum DC.), Taoren (Prunus persica (L.) Batsch), Honghua (Carthamus tinctorius L.), Gancao (Glycyrrhiza uralensis Fisch.), Fuling ((Fungus) Poria cocos (Schw.) Wolf), Baizhu (Atractylodes macrocephala Koidz.), Xiangfu (Cyperus rotundus L.), Chaihu (Bupleurum chinense DC.), Shudihuang (Rehmannia glutinosa (Gaertn.) DC.(Processed), Baishao (Cynanchum otophyllum C.K.Schneid.) Conclusion(s): Chinese herbal medicine can effectively treat amenorrhea caused by psychiatric drugs, although it takes a long time to achieve satisfactory effectiveness. More research is needed to better understand different aspects of Chinese herbal medicine use in treatment of this particular medical condition. Copyright © 2022</t>
  </si>
  <si>
    <t>herbal medicine</t>
  </si>
  <si>
    <t>J3602</t>
  </si>
  <si>
    <t>The Cost Effectiveness of Taxation of Sugary Foods and Beverages: A Systematic Review of Economic Evaluations</t>
  </si>
  <si>
    <t>public health</t>
  </si>
  <si>
    <t>J3603</t>
  </si>
  <si>
    <t>Topical pharmacologic interventions versus placebo for epidemic keratoconjunctivitis</t>
  </si>
  <si>
    <t>- Background Viruses cause about 80% of all cases of acute conjunctivitis. Human adenoviruses are believed to account for 65% to 90% of cases of viral conjunctivitis, or 20% to 75% of all causes of infectious keratoconjunctivitis worldwide. Epidemic keratoconjunctivitis (EKC) is a highly contagious subset of adenoviral conjunctivitis that has been associated with large outbreaks at military installations and at medical facilities. It is accompanied by severe conjunctival inflammation, watery discharge, and light sensitivity, and can lead to chronic complications such as corneal and conjunctival scarring with discomfort and poor quality of vision. Due to a lack of consensus on the efficacy of any pharmacotherapy to alter the clinical course of EKC, no standard of care exists, therefore many clinicians offer only supportive care. Objectives To assess the efficacy and safety of topical pharmacological therapies versus placebo, an active control, or no treatment for adults with EKC. Search methods We searched the Cochrane Central Register of Controlled Trials (CENTRAL, which contains the Cochrane Eyes and Vision Trials Register; 2021, Issue 4); Ovid MEDLINE; Ovid Embase; Latin American and Caribbean Health Sciences database (LILACS); ClinicalTrials.gov; and the World Health Organization (WHO) International Clinical Trials Registry Platform (ICTRP), with no restrictions on language or year of publication. The date of the last search was 27 April 2021. Selection criteria We included randomized controlled trials in which antiseptic agents, virustatic agents, or topical immune‐modulating therapy was compared with placebo, an active control, or no treatment. Data collection and analysis We used standard Cochrane methodology. Main results We identified 10 studies conducted in Asia, Europe, the Middle East, and North Africa with a total of 892 participants who were treated for 7 days to 6 months and followed for 7 days up to 1.5 years. Study characteristics and risk of bias In most studies participants were predominantly men (range: 44% to 90%), with an age range from 9 to 82 years. Three studies reported information on trial registration, but we found no published study protocol. The majority of trials had small sample sizes, ranging from 18 to 90 participants enrolled per study; the only exception was a trial that enrolled 350 participants. We judged most studies to be at high or unclear risk of bias across risk of bias domains. Findings We included 10 studies of 892 EKC participants and estimated combined intervention effects in analyses stratified by steroid‐containing control treatment or artificial tears. Six trials contributed to the comparisons of topical interventions (povidone‐iodine [PVP‐I], trifluridine, ganciclovir, dexamethasone plus neomycin) with artificial tears (or saline). Very low certainty evidence from two trials comparing trifluridine or ganciclovir with artificial tears showed inconsistent effects on shortening the mean duration of cardinal symptoms or signs of EKC. Low certainty evidence based on two studies (409 participants) indicated that participants treated with PVP‐I alone more often experienced resolution of symptoms (risk ratio (RR) 1.15, 95% confidence interval (CI) 1.07 to 1.24) and signs (RR 3.19, 95% CI 2.29 to 4.45) during the first week of treatment compared with those treated with artificial tears. Very low certainty evidence from two studies (77 participants) suggested that PVP‐I or ganciclovir prevented the development of subepithelial infiltrates (SEI) when compared with artificial tears within 30 days of treatment (RR 0.24, 95% CI 0.10 to 0.56). Four studies compared topical interventions (tacrolimus, cyclosporin A [CsA], trifluridine, PVP‐I + dexamethasone) with topical steroids, and one trial compared fluorometholone (FML) plus polyvinyl alcohol iodine (PVA‐I) with FML plus levofloxacin. Evidence from one trial showed that more eyes receiving PVP‐I 1.0% plus dexamethasone 0.1% had symptoms resolved by day seven compared with those receiving dexamethason alone (RR 9.00, 95% CI 1.23 to 66.05; 52 eyes). In two trials, fewer eyes treated with PVP‐I or PVA‐I plus steroid developed SEI within 15 days of treatment compared with steroid alone or steroid plus levofloxacin (RR 0.08, 95% CI 0.01 to 0.55; 69 eyes). One study found that CsA was no more effective than steroid for resolving SEI within four weeks of treatment (RR 0.84, 95% CI 0.67 to 1.06; N = 88). The evidence from trials comparing topical interventions with steroids was overall of very low level certainty. Adverse effects Antiviral or antimicrobial agents plus steroid did not differ from artificial tears in terms of ocular discomfort upon instillation (RR 9.23, 95% CI 0.61 to 140.67; N = 19). CsA and tacrolimus eye drops were associated with more cases of severe ocular discomfort, and sometimes intolerance, when compared with steroids (RR 4.64, 95% CI 1.15 to 18.71; 2 studies; N = 141). Compared with steroids, tacrolimus did not increase the risk of elevated intraocular pressure (RR 0.07, 95% CI 0 to 1.13; 1 study; N = 80), while trifluridine conferred no additional risk compared to tear substitute (RR 5.50, 95% CI 0.31 to 96.49; 1 study; N = 97). Overall, bacterial superinfection was rare (one in 23 CsA users) and not associated with use of the intervention steroid (RR 3.63, 95% CI 0.15 to 84.98; N = 51). The evidence for all estimates was of low or very low certainty. Authors' conclusions The evidence for the seven specified outcomes was of low or very low certainty due to imprecision and high risk of bias. The evidence that antiviral agents shorten the duration of symptoms or signs when compared with artificial tears was inconclusive. Low certainty evidence suggests that PVP‐I alone resolves signs and symptoms by seven days relative to artificial tears. PVP‐I or PVA‐I, alone or with steroid, is associated with lower risks of SEI development than artificial tears or steroid (very low certainty evidence). The currently available evidence is insufficient to determine whether any of the evaluated interventions confers an advantage over steroids or artificial tears with respect to virus eradication or its spread to initially uninvolved fellow eyes. Future updates of this review should provide evidence of high‐level certainty from trials with larger sample sizes, enrollment of participants with similar durations of signs and symptoms, and validated methods to assess short‐ and long‐term outcomes. Plain language summary What are the benefits and risks of topical medications for treating epidemic keratoconjunctivitis? What is epidemic keratoconjunctivitis?  Epidemic keratoconjunctivitis is inflammation of conjunctiva, the membrane covering the sclera (white outer coating of the eye) and inside of the eyelids, usually caused by specific strains of a group of common viruses known as adenoviruses. The infection can spread easily within households, healthcare settings, and the community. In some individuals, the inflammation leads to scarring of the cornea ('infiltrates') and conjunctiva, which causes persistent discomfort and poor vision. How is it treated?  Treatment is usually supportive with cool compresses, artificial tears, and sometimes steroids. What did we want to find out?  We wanted to know whether any existing topical medication can relieve symptoms or signs and prevent complications, and if these medications were well‐tolerated. What we did  We reviewed randomized controlled trials (a type of study where participants are randomly assigned to one of two or more treatment groups) of children and adults with epidemic keratoconjunctivitis. We summarized the results of these studies and rated our confidence in the evidence according to study sizes and methods. What we found  We found 10 studies that involved 892 people with epidemic keratoconjunctivitis (9 to 82 years old); studies lasted from 7 days to 18 months. When compared with artificial tears, antiviral agents appeared to shorten the duration of symptoms or signs. Povidone‐iodine alone led to more disease recovery within the fir t seven days of treatment. We found no evidence that any treatment prevented corneal scars more often than artificial tears. The immunosuppressant cyclosporin A was no more effective than steroids in treating corneal scars. Cyclosporin A and tacrolimus eye drops often caused eye discomfort but did not increase people's intraocular pressure as compared to steroids. What are the limitations of the evidence?  Nearly all of the included studies had flawed study methods and were reported poorly. These weaknesses raised our concerns about the study findings and reduced our confidence in the overall evidence summarized in the review. How up‐to‐date is the evidence?  The evidence is current to April 2021.</t>
  </si>
  <si>
    <t>J3604</t>
  </si>
  <si>
    <t>Topical corticosteroids for dry eye</t>
  </si>
  <si>
    <t>- Background Dry eye disease (DED), arising from various etiologic factors, leads to tear film instability, ocular surface damage, and neurosensory changes. DED causes symptoms such as ocular dryness, burning, itching, pain, and visual impairment. Given their well‐established anti‐inflammatory effects, topical steroid preparations have been widely used as a short‐term treatment option for DED. Because of potential risks of ocular hypertension, cataracts, and infections associated with the long‐term use of topical steroids, published trials comparing the efficacy and safety of topical steroids (versus placebo) have mostly been of short duration (three to eight weeks). Objectives To evaluate the effectiveness and safety of topical corticosteroids compared with no treatment, placebo, other steroidal or non‐steroidal therapies, or a combination of therapies for DED. Search methods We searched the Cochrane Central Register of Controlled Trials (CENTRAL, which contains the Cochrane Eyes and Vision Trials Register; 2021, Issue 8); Ovid MEDLINE; Ovid Embase; Latin American and Caribbean Health Sciences database (LILACS); ClinicalTrials.gov; and the World Health Organization (WHO) International Clinical Trials Registry Platform (ICTRP), without restriction on language or year of publication. The date of the last search was 20 August 2021. Selection criteria We included randomized controlled trials (RCTs) in which topical corticosteroids, alone or in combination with tobramycin, were compared with no treatment, artificial tears (AT), vehicles, AT plus tobramycin, or cyclosporine A (CsA). Data collection and analysis We applied standard Cochrane methodology. Main results We identified 22 RCTs conducted in the USA, Italy, Spain, China, South Korea, and India. These RCTs reported outcome data from a total of 4169 participants with DED. Study characteristics and risk of bias All trials recruited adults aged 18 years or older, except one trial that enrolled children and adolescents aged between 3 and 14 years. Half of these trials involved predominantly female participants (median 79%, interquartile range [IQR] 76% to 80%). On average, each trial enrolled 86 participants (IQR 40 to 158). The treatment duration of topical steroids ranged between one week and three months; trial duration lasted between one week and six months. Eight trials were sponsored exclusively by industry, and four trials were co‐sponsored by industry and institutional or governmental funds. We assessed the risk of bias of both subjective and objective outcomes using RoB 2, finding nearly half of the trials to be at high risk of bias associated with selective outcome reporting. Findings Of the 22 trials, 16 evaluated effects of topical steroids, alone or in combination with tobramycin, as compared with lubricants (AT, vehicle), AT plus tobramycin, or no treatment. Corticosteroids probably have a small to moderate effect on improving patient‐reported symptoms by 0.29 standardized mean difference (SMD) (95% confidence interval [CI] 0.16 to 0.42) as compared with lubricants (moderate certainty evidence). Topical steroids also likely have a small to moderate effect on lowering corneal staining scores by 0.4 SMDs (95% CI 0.18 to 0.62) (moderate certainty evidence). However, steroids may increase tear film break‐up time (TBUT) slightly (mean difference [MD] 0.70 s, 95% CI 0.06 to 1.34; low certainty evidence) but not tear osmolarity (MD 1.60 mOsm/kg, 95% CI −10.47 to 13.67; very low certainty evidence). Six trials examined topical steroids, either alone or in combination with CsA, against CsA alone. Low certainty evidence indicates that steroid‐based interventions may have a small to moderate effect on improving participants' symptoms (SMD −0.33, 95% CI −0.51 to −0.15), but little to no effect on corneal staining scores (SMD 0.05, 95% CI −0.25 to 0.35) as compared with CsA. The effect of topical steroids compared to CsA alone on TBUT (MD 0.37 s, 95% CI −0.13 to 0.87) or tear osmolarity (MD 5.80 mOsm/kg, 95% CI −0.94 to 12 54; loteprednol etabonate alone) is uncertain because the certainty of the evidence is low or very low. None of the included trials reported on quality of life scores. Adverse effects The evidence for adverse ocular effects of topical corticosteroids is very uncertain. Topical corticosteroids may increase participants' risk of intraocular pressure (IOP) elevation (risk ratio [RR] 5.96, 95% CI 1.30 to 27.38) as compared with lubricants. However, when compared with CsA, steroids alone or combined with CsA may decrease or increase IOP elevation (RR 1.45, 95% CI 0.25 to 8.33). It is also uncertain whether topical steroids may increase risk of cataract formation when compared with lubricants (RR 0.34, 95% CI 0.01 to 8.22), given the short‐term use and study duration (four weeks or less) to observe longer‐term adverse effects. Authors' conclusions Overall, the evidence for the specified review outcomes was of moderate to very low certainty, mostly due to high risk of bias associated with selective results reporting. For dry eye patients whose symptoms require anti‐inflammatory control, topical corticosteroids probably provide small to moderate degrees of symptom relief beyond lubricants, and may provide small to moderate degrees of symptom relief beyond CsA. However, the current evidence is less certain about the effects of steroids on improved tear film quality or quantity. The available evidence is also very uncertain regarding the adverse effects of topical corticosteroids on IOP elevation or cataract formation or progression. Future trials should generate high certainty evidence to inform physicians and patients of the optimal treatment strategies with topical corticosteroids in terms of regimen (types, formulations, dosages), duration, and its time‐dependent adverse profile. Plain language summary What are the benefits and harms of topical corticosteroids for treating dry eye? What is dry eye? Dry eye is a common condition that occurs when a person's tears cannot lubricate their eyes sufficiently. Tears can be inadequate and unstable for many reasons. For example, dry eye may occur when tear production is reduced or when the tear quality is poor. This tear instability leads to inflammation and damage of the eye's surface. Dry eye is uncomfortable. People with dry eye often feel stinging or burning and sometimes experience blurred vision. How is it treated? Many treatment options are available for dry eye. For dry eye caused by the relative lack of the water layer in tears, treatments may include artificial tears, tear stimulants, serum eye drops, and punctal plugs. For dry eye caused by the blocked secretion of the lipid layer in tears, treatment options may include topical antibiotics, warm compresses, and anti‐inflammatory agents, such as corticosteroids and cyclosporine A. Corticosteroids eye drops aim to reduce the inflammatory process and provide symptom relief with short‐term use. High eye pressure and cataract formation are common concerns with longer‐term use of corticosteroids. What did we want to find out? We evaluated whether corticosteroids eye drops, alone or in combination with other medications, can improve dry eye symptoms or test results used to diagnose or monitor dry eye. We also examined whether corticosteroids eye drops cause any unwanted effects on the eyes. What we did We conducted a systematic review. We searched for studies that compared corticosteroids eye drops with lubricating controls, other active treatment, or no treatment. We summarized these study findings and rated the evidence based on numbers of study participants and methods used in the studies. What we found We identified 22 clinical trials that enrolled a total of 4169 participants with dry eye. Most trials involved adults with a mean age between 50 and 67 years, except for one trial that exclusively involved children aged 3 to 14 years. Treatment duration ranged between 7 days and 3 months. When compared with lubricants, such as artificial tears, or with cyclosporine A, corticosteroids eye drops were probably effectiv in improving patient‐reported symptoms and clinical tests, such as corneal staining. Clinicians may use corneal staining as a test for cornea damage. However, corticosteroids eye drops may result in little to no difference in tear quality or quantity. At the same time, it is uncertain whether steroid use may increase or decrease the chance of increased eye pressure, new cataract formation, or worsening of an existing cataract. What are the limitations of the evidence? More than half of the included trials had flawed study methods or did not report their results fully. These deficiencies led to concerns about the study findings and decreased our confidence in the evidence generated in this systematic review. How up‐to‐date is this evidence? The evidence is up‐to‐date as of August 2021.</t>
  </si>
  <si>
    <t>No UK studies, does mention UK for cotext</t>
  </si>
  <si>
    <t>J3605</t>
  </si>
  <si>
    <t>Interventions for the eradication of meticillin‐resistant Staphylococcus aureus (MRSA) in people with cystic fibrosis</t>
  </si>
  <si>
    <t>- Background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not only as an important infection in people who are hospitalised, but also as a potentially harmful pathogen in cystic fibrosis. Chronic pulmonary infection with MRSA is thought to confer on people with cystic fibrosis a worse clinical outcome and result in an increased rate of lung function decline. Clear guidance for MRSA eradication in cystic fibrosis, supported by robust evidence, is urgently needed. This is an update of a previous review. Objectives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Pseudomonas aeruginosa ), increased adverse effects from drugs, or both. Search methods We identified randomised and quasi‐randomised controlled trials by searching the Cochrane Cystic Fibrosis and Genetic Disorders (CFGD) Group's Cystic Fibrosis Trials Register, PubMed, MEDLINE and three clinical trials registries; by handsearching article reference lists; and through contact with experts in the field. We last searched the CFGD Group's Cystic Fibrosis Trials Register on 4 October 2021, and the ongoing trials registries on 31 January 2022. Selection criteria Randomised controlled trials (RCTs) or quasi‐RCTs of any combinations of topical, inhaled, oral or intravenous antimicrobials primarily aimed at eradicating MRSA compared with placebo, standard treatment or no treatment. Data collection and analysis We used standard methodological procedures expected by Cochrane and used the GRADE methodology to assess the certainty of the evidence. Main results The review includes three RCTs with 135 participants with MRSA infection. Two trials compared active treatment versus observation only and one trial compared active treatment with placebo. Active treatment versus observation In both trials (106 participants), active treatment consisted of oral trimethoprim and sulfamethoxazole combined with rifampicin. One trial administered this combination for two weeks alongside nasal, skin and oral decontamination and a three‐week environmental decontamination, while the second trial administered this drug combination for 21 days with five days intranasal mupirocin. Both trials reported successful eradication of MRSA in people with cystic fibrosis, but they used different definitions of eradication. One trial (45 participants) defined MRSA eradication as negative MRSA respiratory cultures at day 28, and reported that oral trimethoprim and sulfamethoxazole combined with rifampicin may lead to a higher proportion of negative cultures compared to control (odds ratio (OR) 12.6 (95% confidence interval (CI) 2.84 to 55.84; low‐certainty evidence). However, by day 168 of follow‐up, there was no difference between groups in the proportion of participants who remained MRSA‐negative (OR 1.17, 95% CI 0.31 to 4.42; low‐certainty evidence). The second trial defined successful eradication as the absence of MRSA following treatment in at least three cultures over a period of six months. We are uncertain if the intervention led to results favouring the treatment group as the certainty of the evidence was very low (OR 2.74, 95% CI 0.64 to 11.75). There were no differences between groups in the remaining outcomes for this comparison: quality of life, frequency of exacerbations or adverse effects (all low‐certainty evidence) or the change from baseline in lung function or weight (both very low‐certainty evidence). The time until next positive MRSA isolate was not reported. The included trials found no differences between groups in terms of nasal colonisation with MRSA. While not a specific outcome of this review, investigators from one study reported that the rate of hospitalisation from screening through day 168 was lower with oral trimethoprim and sulfamethoxazole combined with rifampicin compared to control (rate ratio 0.22, 95% CI 0.05 to 0.72; P = 0.01). Nebulised vancomycin with oral antibiotics versus nebulised placebo with oral antibiotics The third trial (29 participants) defined eradication as a negative respiratory sample for MRSA at one month following completion of treatment. No differences were reported in MRSA eradication between treatment arms (OR 1.00, 95% CI 0.14 to 7.39; low‐certainty evidence). No differences between groups were seen in lung function or adverse effects (low‐certainty evidence), in quality of life (very low‐certainty evidence) or nasal colonisation with MRSA. The trial did not report on the change in weight or frequency of exacerbations. Authors' conclusions Early eradication of MRSA is possible in people with cystic fibrosis, with one trial demonstrating superiority of active MRSA treatment compared with observation only in terms of the proportion of MRSA‐negative respiratory cultures at day 28. However, follow‐up at three or six months showed no difference between treatment and control in the proportion of participants remaining MRSA‐negative. Moreover, the longer‐term clinical consequences – in terms of lung function, mortality and cost of care – remain unclear. Using GRADE methodology, we judged the certainty of the evidence provided by this review to be very low to low, due to potential biases from the open‐label design, high rates of attrition and small sample sizes. Based on the available evidence, we believe that whilst early eradication of respiratory MRSA in people with cystic fibrosis is possible, there is not currently enough evidence regarding the clinical outcomes of eradication to support the use of the interventions studied. Plain language summary Treatments to clear the 'superbug' meticillin‐resistant Staphylococcus aureus (MRSA) from the lungs of people with cystic fibrosis Review question We looked for evidence for the effects of different ways of clearing meticillin‐resistant Staphylococcus aureus (MRSA), a so‐called 'superbug', from the lungs of people with cystic fibrosis. Background MRSA is a type of bacteria resistant to some types of antibiotics (medicines that kill or inhibit bacteria). Because MRSA is hard to treat, it is sometimes called a 'superbug'. Infection with MRSA is particularly worrying for people with cystic fibrosis, an inherited condition which, amongst other things, causes thick mucus to build up in the lungs. It is very difficult for people with cystic fibrosis to cough up this thick mucus, making it an ideal breeding ground for bacteria, including MRSA, and making these people more prone to chest infections. It is thought that MRSA can cause more damage than other bacteria which are not resistant to antibiotics. We wanted to identify research evidence to support the best way for treating MRSA infections and also to see if this treatment would improve the lives of people with cystic fibrosis. This is an update of a previously published review. Search date The evidence is current to 31 January 2022. Key results We found three studies which included 135 people with cystic fibrosis and a diagnosed MRSA infection. Two studies (106 people) compared treatment given to one group of people versus observation only of a second group of people. In one of these studies, people in the active treatment group were given oral trimethoprim and sulfamethoxazole combined with rifampicin (all three are antibiotic medicines), plus additional decontamination treatment. In the second trial, people in the active treatment group were given two antibiotics orally (co‐trimoxazole and rifampicin) and one by nose spray (mupirocin). The results of these studies showed that clearing MRSA from the airways of people with cystic fibrosis is possible. In both tr als, a larger proportion of those who were treated cleared MRSA. However, some people who were untreated also cleared MRSA spontaneously. Also, six months after treatment, the number of individuals who still had MRSA was not different between those who had received treatment and those who had not. We found no differences between treatment groups in quality of life, frequency of exacerbations (that is, flare‐ups of the disease), unwanted or harmful effects of treatment, nasal colonisation with MRSA, or in changes in lung function or weight. The studies did not report the length of time until finding the next positive MRSA result in participants. In one of the studies, fewer people who were treated with antibiotics were admitted to hospital in the first 168 days. The third study compared treatment groups who were given either an inhaled antibiotic or an inhaled placebo (inactive substance). Both groups were also given the same oral antibiotics. In this study, there was no difference between groups in MRSA clearance. There were no differences between groups in lung function, quality of life, unwanted or harmful effects or nasal colonisation with MRSA. The trial did not report on change in weight or frequency of exacerbations. Treating MRSA early in people with cystic fibrosis has been shown to be possible, but it is not clear what longer‐term implications this treatment will have. Main limitations of the evidence We had little or no confidence in the evidence we found for the different outcomes. This was due to potential issues from the study designs, where people knew which treatment each participant was receiving (groups were either given medication or just observed), and because there were small numbers of people in each study.</t>
  </si>
  <si>
    <t>1 study mentions lower costs, but don't think this is UK</t>
  </si>
  <si>
    <t>J3606</t>
  </si>
  <si>
    <t>A multidomain decision support tool to prevent falls in older people: the FinCH cluster RCT</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</si>
  <si>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 2022 Logan et al.</t>
  </si>
  <si>
    <t>J3607</t>
  </si>
  <si>
    <t>Standard threshold laser versus subthreshold micropulse laser for adults with diabetic macular oedema: the DIAMONDS non-inferiority RCT</t>
  </si>
  <si>
    <t>Not cash releasing, vaguely mentions potential to reduce costs</t>
  </si>
  <si>
    <t>J3608</t>
  </si>
  <si>
    <t>HTA186 Cost-Effectiveness Analysis of Tirbanibulin for the Treatment of Actinic Keratosis From a Scottish NHS Perspective</t>
  </si>
  <si>
    <t>Objectives: Actinic keratosis is a chronic skin condition that may cause pain, itch and bleeding. It may also develop into squamous cell carcinoma if left untreated. Many of the active topical interventions are associated with substantial adverse event rates and/or require relatively long treatment courses. Tirbanibulin 1% is a recently launched 5-day course topical treatment for the face and scalp. Results of two phase III clinical trials indicate that tirbanibulin leads to significant improvements in the complete clearance of actinic keratosis lesions at 57 days (vs placebo). The aim was to estimate the cost-effectiveness of tirbanibulin, compared to the three most common topical therapies, from a Scottish perspective. Method(s): A one-year decision tree model was developed to compare tirbanibulin with diclofenac sodium gel 3%, imiquimod cream 5%, and fluorouracil cream 5%. Patients were separated into two categories: successful and unsuccessful. Treatment was 'successful' if no clinically visible lesions remained at the end of the treatment period. The probability of complete clearance associated with each treatment was informed from a network meta-analysis. The probability of treatment-related adverse events (in the form of severe local skin reactions) were informed from a targeted literature search. The model captured direct medical costs associated with treatment acquisition, treatment-related adverse events and healthcare professional visits. Disutilities associated with actinic keratosis and local skin reactions were also captured. Result(s): Over a one-year time horizon tirbanibulin led to cost savings of 31.35, 76,16 and 92.84 versus diclofenac, imiquimod, and fluorouracil respectively. Additionally, tirbanibulin was dominant, as it was associated with negligibly higher quality-adjusted life years of approximately 0.005. Tirbanibulin also remained cost saving when model inputs were varied in sensitivity and scenario analyses. Conclusion(s): Tirbanibulin is cost-saving and cost-effective for the treatment of actinic keratosis in Scotland when compared with the most commonly used topical therapies. Copyright © 2022</t>
  </si>
  <si>
    <t>J3609</t>
  </si>
  <si>
    <t>Heparin versus 0.9% sodium chloride locking for prevention of occlusion in central venous catheters in adults</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</si>
  <si>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CVC‐related bloodstream infections and CVC‐related colonisation, mortality, haemorrhage, heparin‐induced thrombocytopaenia, CVC‐related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meta‐analysis were available from all RCTs. We noted differences in methods used by the included studies and variation in heparin concentrations (10 to 5000 IU/mL), time to follow‐up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‐0.10 to 0.99; 6 studies; 1788 participants; low‐certainty evidence). Secondary outcomes We found no clear evidence of a difference in the following outcomes: CVC‐related bloodstream infections (RR 0.66, 95% CI 0.08 to 5.80; 3 studies; 1127 participants; very low‐certainty evidence); mortality (RR 0.76, 95% CI 0.44 to 1.31; 3 studies; 1100 participants; very low‐certainty evidence); haemorrhage (RR 1.54, 95% CI 0.41 to 5.74; 3 studies; 1197 participants; very low‐certainty evidence); or heparin‐induced thrombocytopaenia (RR 0.21, 95% CI 0.01 to 4.27; 3 studies; 443 participants; very low‐certainty evidence). The main reasons for downgrading the certainty of evidence for the primary and secondary outcomes were unclear allocation concealment, suspicion of publication bias, imprecision and inconsistency. Authors' conclusions Given the low‐certainty evidence, we are uncertain whether intermittent locking with heparin results in fewer central venous catheter occlusions than intermittent locking with normal saline in adults. Low‐certainty evidence suggests that heparin may have little or no effect on catheter patency duration. Although we found no evidence of differences in safety (CVC‐related bloodstream infections, mortality, or haemorrha e), the combined studies were not powered to detect rare adverse events such as heparin‐induced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well‐designed, large‐scale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</si>
  <si>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J3610</t>
  </si>
  <si>
    <t>Predicting the cost impact of dose individualisation associated with pharmacogenetic testing to avoid adverse drug reactions in a specialist cancer centre - a methodological template</t>
  </si>
  <si>
    <t>Introduction: Pre-emptive pharmacogenetic testing can help minimise adverse drug reactions (ADRs) however most economic evaluations exploring its cost-effectiveness are based on single-pharmacogene testing.1,2 Currently, there is no nationally established multi-gene panel testing for ADR gene-drug pairs to guide dose individualisation, mainly due to lack of robust economic evidence.3 Economic modelling frameworks require detailed considerations of all the eventualities in health outcomes to fully assess the impact of implementing pharmacogenetic testing in avoiding ADRs.4 The relevance of such framework is dependent on the perspective of the policymakers, particularly when full economic evaluation is not feasible or when decision-making process only requires information pertaining to the short-term cost impact of implementing a new healthcare intervention. Objectives * To assess the cost impact associated with dose individualisation based on acting upon result findings of pharmacogenetic panel testing in a specialist cancer centre. * To evaluate the range in cost impact and identify contributing factors to consider when prioritising drug-gene pairs for panel testing. Methods * Identify dispensing data for clinically actionable (Level A evidence) drug-gene pairs from the Clinical Pharmacogenetics Implementation Consortium (CPIC) between April 2019 - April 2020. [5] Clinical trials prescriptions were excluded. * Calculate the total expenditure spent on the studied population based on mean prescribed dose for each drug using costs from British National Formulary (BNF). [6] * Calculate the total expenditure after implementing dose individualisation in affected population based on population prevalence of the gene-drug pair variants and CPIC prescribing guidelines. [5] * Compare cost difference between total expenditures before and after adjusting for genetic findings. Results/Key findings: Between April 2019 and 2020, a total of 8173 patients (68,200 prescriptions) were prescribed with one of the eleven drugs identified (Table 1). Evaluation of cost savings through geneticbased dose individualisation was between 114,938 to 452,190 (3.34 to 14.33 per prescription); exclusive of the cost of testing. Majority of orally administered drugs have negligible cost impact, except for voriconazole which, despite only prescribed in 23 patients, has the highest cost impact. When using the highest cost per drug unit, there were significant increases in the cost impact for amitriptyline (from 138 to 45,653), fluorouracil (from 2234 to 47,027), irinotecan (from 29,205 to 129,916), and tamoxifen (from 1798 to 24,452). As the cost of ADR pharmacogenes panel-test remains unknown, this study predicted that the maximum cost of such test can vary between 14.06 to 55.33 per patient. To ensure dose individualisation remains costsaving, restricting testing to selected patient groups where the projected cost-savings are lower than the cost of test for 70% of patients is recommended. Limitation(s): This study assumed that dose individualisation was acted upon existing genetic findings. Study also assumed that dose individualisation results in total ADR avoidance. The cost saving from ADR avoidance is not included. Study only reviewed population prevalence data from Caucasian ethnicity. Conclusion(s): This study demonstrated that genetic-based dose individualisation can be cost-saving and have considerable cost impact for certain drugs. It also highlighted key factors to consider when prioritising drug-gene pairs for panel testing integration. Probabilistic analysis can be further employed to study uncertainties around the estimates obtained within this analysis.</t>
  </si>
  <si>
    <t>specialist cancer centre</t>
  </si>
  <si>
    <t>some cost savings demonstrated</t>
  </si>
  <si>
    <t>J3611</t>
  </si>
  <si>
    <t>Pharmacist and Homeless Outreach Engagement and Non-medical Independent prescribing Rx (PHOENIx): A study protocol for a pilot randomised controlled trial</t>
  </si>
  <si>
    <t>Introduction The number of people experiencing homelessness (PEH) is increasing worldwide. Systematic reviews show high levels of multimorbidity and mortality. Integrated health and social care outreach interventions may improve outcomes. No previous studies have targeted PEH with recent drug overdose despite high levels of drug-related deaths and few data describe their health/social care problems. Feasibility work suggests a collaborative health and social care intervention (Pharmacist and Homeless Outreach Engagement and Non-medical Independent prescribing Rx, PHOENIx) is potentially beneficial. We describe the methods of a pilot randomised controlled trial (RCT) with parallel process and economic evaluation of PEH with recent overdose. Methods and analysis Detailed health and social care information will be collected before randomisation to care-As-usual plus visits from a pharmacist and a homeless outreach worker (PHOENIx) for 6-9 months or to care-As-usual. The outcomes are the rates of presentations to emergency department for overdose or other causes and whether to progress to a definitive RCT: recruitment of &gt;=100 participants within 4 months, &gt;=60% of patients remaining in the study at 6 and 9 months, &gt;=60% of patients receiving the intervention, and &gt;=80% of patients with data collected. The secondary outcomes include health-related quality of life, hospitalisations, treatment uptake and patient-reported measures. Semistructured interviews will explore the future implementation of PHOENIx, the reasons for overdose and protective factors. We will assess the feasibility of conducting a cost-effectiveness analysis. Ethics and dissemination The study was approved by South East Scotland National Health Service Research Ethics Committee 01. Results will be made available to PEH, the study funders and other researchers. Trial registration number ISRCTN10585019. Copyright © Author(s) (or their employer(s)) 2022.</t>
  </si>
  <si>
    <t>community/pharmacies</t>
  </si>
  <si>
    <t>J3612</t>
  </si>
  <si>
    <t>Improving the health of people experiencing homelessness with recent drug overdose: rationale for and design of the Pharmacist and Homeless Outreach worker Engagement Non-medical Independent prescribing Rx (PHOENIx) pilot randomised controlled trial</t>
  </si>
  <si>
    <t>Introduction Numbers of People Experiencing Homelessness (PEH) are increasing worldwide. Systematic reviews show high levels of multimorbidity and mortality due to treatable diseases including drug overdose. Integrated health and social care outreach interventions may improve outcomes. No previous studies have targeted PEH with recent drug overdose despite their high recorded levels of drug related deaths. There are few data on health and social care problems. Feasibility work suggests a collaborative health and social care intervention (Pharmacist and Homeless Outreach Engagement Non-medical Independent prescriber Rx-PHOENIx) is potentially beneficial. We describe the methods of a pilot randomised controlled trial(RCT) with parallel process and economic evaluation in PEH with at least one drug-related overdose in the preceding 6 months. Methods Detailed health and social care information will be collected at baseline before 1:1 randomisation to: care-as-usual plus visits from a pharmacist and homeless outreach worker (PHOENIx) for 6-9 months; or care-as-usual. The main outcomes are rate of presentations to emergency department(ED) for overdose or other causes and whether to progress to a definitive RCT based on: recruitment of &gt;= 100 participants within 4 months;&gt;= 60% patients remaining in the study at 6 and 9 months follow up;&gt;= 60% of patients in the PHOENIx group receiving the intervention; and&gt;= 80% of patients with data collected. Secondary outcomes include: hospitalisations; treatment uptake and patient reported measures. Semi-structured interviews will explore future implementation of PHOENIx, and reasons for overdose and protective factors. An economic evaluation will assess the feasibility of conducting a cost effectiveness analysis in a subsequent definitive trial. Discussion(s): The study will determine whether to proceed to a definitive RCT for PEH aiming to fulfil unmet health and social care needs of those experiencing homelessness and at risk of drug related harms and deaths while providing useful insights into barriers and facilitators to PHOENIx and characterising the health and social care needs of PEH. Ethics and dissemination: The trial was approved by the South East Scotland National Health Service Research Ethics Committee 01. Results will be available in the last quarter of 2022. Copyright The copyright holder for this preprint is the author/funder, who has granted medRxiv a license to display the preprint in perpetuity. It is made available under a CC-BY 4.0 International license.</t>
  </si>
  <si>
    <t>rationale</t>
  </si>
  <si>
    <t>only rationale</t>
  </si>
  <si>
    <t>J3613</t>
  </si>
  <si>
    <t>CREATION of A MULTI-DISCIPLINARY TEAM (MDT) RHEUMATOLOGY CLINIC at UNIVERSITY COLLEGE LONDON HOSPITAL (UCLH) to TACKLE the BACKLOG of PATIENTS WAITING for TREATMENT AS A RESULT of the COVID-19 PANDEMIC</t>
  </si>
  <si>
    <t>Background: Covid-19 has consumed hospital resources since January 2020. In the UK, routine care has been disrupted with an estimated 30 million fewer outpatient attendances (2020/21) and over 6 million patients waiting for consultant led care (1). The British Society for Rheumatology 'Rheumatology Workforce: a crisis in numbers (2021)' highlights the challenges facing National Health Service rheumatology departments in managing rising caseloads (2). In 2021, UCLH wait time for follow up rheumatology appointments was 9 months. We were inundated with patients requiring urgent treatment. Innovative ways of running outpatients were required which led to the formation of an MDT clinic. Objective(s): Create a Rheumatology MDT clinic to: Reduce follow up time Increase clinic capacity Reduce number of hospital attendances Add value to each clinic encounter Methods: The consultant lead identifed an existing clinical nurse specialist (CNS) interested in supporting the MDT. With a UCLH Outpatient Transformation grant of 15,000 we recruited an advanced physiotherapy practitioner (APP) and administrator for a 6 month trial period. Managerial support was provided by the board. We met weekly to agree aims and allocate responsibilities. We did the following: Reviewed clinic lists for 6 months to identify duplicate appointments. Identifed patients with CNS and consultant follow up scheduled in a short time frame and cancelled unnecessary appointments. Reviewed the clinic list weekly to identify patients suitable for APP management. This allowed overbooking of urgent cases. Embedded hand ultrasound appointments in the clinic template. Created CNS 'Zoom' virtual drop-ins for routine enquiries to reduce the administrative burden of patient emails/phone calls occurring outside the clinic. Organised patient participation sessions to help shape the service and collected patient feedback questionnaires. Result(s): We reduced our waiting time for follow up appointments from 9 months to 2 months. Pre-MDT the average wait from consultant referral to physiotherapist appointment was 55 days. The MDT allows for same day assessment (reducing 2-3 patient journeys a clinic) and where suitable, facilitates discharge or onwards referral to the appropriate service i.e. pain management, hand therapy, APP-led hypermobility programme. A dedicated MDT CNS has shortened treatment times, reduced email traffic between CNS and consultant and allows for same day, joint decision making resulting in fewer appointments. Patients welcomed the Zoom sessions as an efficient, reliable method of raising concerns/queries. Our administrator helps to facilitate communication between patients and clinicians and streamline MDT processes. Embedding point of care ultrasound reduces hospital visits and enhances treatment decision making thereby reducing follow up attendances. Conclusion(s): Our MDT model has reduced waiting lists, decreased treatment delays and cut the number of hospital visits. Performing ultrasound in clinic helped prevent patients being sent for scans at private providers. This cost saving likely covers the APP, ensuring the project is close to cost neutral. Shared decision making added value to outpatient attendances, refected in patients positive feedback. The MDT enhances the role of APP and CNS, utilising their unique skill set. Administrative support is crucial, enhances team working and places added value on this often underappreciated role. We encourage other Rheumatology departments to adopt an MDT approach to tackle the backlog of patients awaiting treatment, add value to clinic encounters and maximise the skill set of clinicians involved in patient care.</t>
  </si>
  <si>
    <t>no shift, could be digital</t>
  </si>
  <si>
    <t>Not cash releasing. Some cost savings demonstrated, but cost neutral</t>
  </si>
  <si>
    <t>J3614</t>
  </si>
  <si>
    <t>Social prescribing for frequent attenders in primary care: An economic analysis</t>
  </si>
  <si>
    <t>Background: Social prescribing (SP) is a mechanism to link patients with community groups and third sector organizations. It offers a complimentary approach to the traditional medical models to address psychosocial needs of patients more effectively and in turn aims to reduce demand on the NHS. The aim of this study was to explore the economic benefits related to changes in the use of healthcare resources following a social prescribing intervention in four primary care practices in Wales. Method(s): Quantitative data from routine healthcare usage was collected from the 78 participants pre and post-intervention. The participants were grouped into frequent attenders (FA) (n = 21) and frequent (n = 57) non-attenders (FNA), and a cost analysis was conducted to estimate cost variances based on healthcare unit usage over the length of the pilot intervention. These were then extrapolated forward to identify potential healthcare savings. Result(s): The SP as an intervention generated the largest cost saving for FAs. The cost variance when FAs participated in the intervention shows there is a direct cost saving of 6,113 or 78.37 per participant over the 5 months of the intervention. Conclusion(s): Results suggest there may be a cost saving associated with SP interventions, however caution should be exercised in interpreting the results due to the lack of control group in this study The cost saving were largest for FAs, where the intervention reduced healthcare unit usage as well as actual and inferred impact on associated healthcare costs. This suggests that in practice to generate the maximum cost benefit SP interventions could be targeted at FAs. Copyright © 2022 Lynch and Jones.</t>
  </si>
  <si>
    <t>Wales</t>
  </si>
  <si>
    <t>J3615</t>
  </si>
  <si>
    <t>Effectiveness and cost-effectiveness of text messages with or without endowment incentives for weight management in men with obesity (Game of Stones): study protocol for a randomised controlled trial</t>
  </si>
  <si>
    <t>Background: Obesity increases the risk of type 2 diabetes, heart disease, stroke, mobility problems and some cancers, and its prevalence is rising. Men engage less than women in existing weight loss interventions. Game of Stones builds on a successful feasibility study and aims to find out if automated text messages with or without endowment incentives are effective and cost-effective for weight loss at 12 months compared to a waiting list comparator arm in men with obesity. Method(s): A 3-arm, parallel group, assessor-blind superiority randomised controlled trial with process evaluation will recruit 585 adult men with body mass index of 30 kg/m&lt;sup&gt;2&lt;/sup&gt; or more living in and around three UK centres (Belfast, Bristol, Glasgow), purposively targeting disadvantaged areas. Intervention groups: (i) automated, theory-informed text messages daily for 12 months plus endowment incentives linked to verified weight loss targets at 3, 6 and 12 months; (ii) the same text messages and weight loss assessment protocol; (iii) comparator group: 12 month waiting list, then text messages for 3 months. The primary outcome is percentage weight change at 12 months from baseline. Secondary outcomes at 12 months are as follows: quality of life, wellbeing, mental health, weight stigma, behaviours, satisfaction and confidence. Follow-up includes weight at 24 months. A health economic evaluation will measure cost-effectiveness over the trial and over modelled lifetime: including health service resource-use and quality-adjusted life years. The cost-utility analysis will report incremental cost per quality-adjusted life years gained. Participant and service provider perspectives will be explored via telephone interviews, and exploratory mixed methods process evaluation analyses will focus on mental health, multiple long-term conditions, health inequalities and implementation strategies. Discussion(s): The trial will report whether text messages (with and without cash incentives) can help men to lose weight over 1 year and maintain this for another year compared to a comparator group; the costs and benefits to the health service; and men's experiences of the interventions. Process analyses with public involvement and service commissioner input will ensure that this open-source digital self-care intervention could be sustainable and scalable by a range of NHS or public services. Trial registration: ISRCTN 91974895. Registered on 14/04/2021. Copyright © 2022, The Author(s).</t>
  </si>
  <si>
    <t>community/primary care</t>
  </si>
  <si>
    <t>J3616</t>
  </si>
  <si>
    <t>Cost-utility analysis of robotic-assisted radical cystectomy for bladder cancer compared to open radical cystectomy in the United Kingdom</t>
  </si>
  <si>
    <t>Background Bladder cancer is the tenth most common cancer in the United Kingdom. Currently, open radical cystectomy (ORC) is the gold standard. Due to the risk of complications and a 2.3-8% mortality rate1, there is growing interest in the use of robot-assisted radical cystectomy (RARC). The aim of this study is to perform a cost-utility analysis, comparing RARC to ORC for bladder cancer patients from the perspective of the National Health Service England. Methods A three-stage decision tree: surgery, post-surgery transfusions and complications, in a 90-day time horizon, was produced to simulate possible pathways of patients. The incremental cost-effectiveness ratio (ICER) was calculated based on data derived from current literature. Multiple univariate sensitivity analysis was carried out to evaluate influences of varying costs of RARC and ORC on the ICER. Results The ICER for RARC compared to ORC resulted in 25,536/QALY. At the lower threshold of 20,000/QALY, RARC resulted in a negative NMB (-4,843.32) and at the upper threshold of 30,000/QALY, a positive NMB (624.61) compared to ORC. Threshold analysis showed that the intervention costs of 13,497 and 14,403 are met at the lower and upper threshold respectively. The univariate sensitivity analysis showed that the intervention costs of RARC or ORC, and the probabilities of complications, had the greatest impact on the ICER. Conclusion As the resultant ICER did not fall below the 20,000/QALY threshold, our study did not provide a definitive recommendation for RARC for bladder cancer. Negative values for the NMB at the lower threshold indicated the intervention was not feasible from a cost perspective. At the upper threshold of 30,000/QALY, this situation was reversed. The intervention became cost-effective. Therefore, further research is needed to justify the intervention. Copyright © 2022 Machleid et al. This is an open access article distributed under the terms of the Creative Commons Attribution License, which permits unrestricted use, distribution, and reproduction in any medium, provided the original author and source are credited.</t>
  </si>
  <si>
    <t>could be digital</t>
  </si>
  <si>
    <t>J3617</t>
  </si>
  <si>
    <t>Critical Factors and Economic Methods for Regulatory Impact Assessment in the Medical Device Industry</t>
  </si>
  <si>
    <t>Introduction: The regulatory area is one that restricts human behaviour and opportunities, but it also allows the prevention of loss of property, health, or even life in various fields. Regulations provide the market with public confidence, which is extremely important in the field of innovative medical devices. The aim of this article is to analyse critical factors and economic methods for regulatory impact assessment in the medical device industry, to focus on the finances, processes, or innovation activity of organisations operating in the medical device sector. Method(s): The paper consists of a scoping review according to the PRISMA methodology of the available literature in Web of Science and Scopus database, whereby combing the keywords regulation" AND "innovation" AND "medical device" AND "economic impact," we obtained a set of 156 results in the form of English-written articles. The output was then limited to the period between 2011 and 2020. Finally, 23 papers were used based on the exclusion and inclusion criteria. Result(s): The resulting challenges of the identified problems in particular are the amount of high-quality data available at an appropriate cost and the availability of a flexible notified body. There are also challenges specific to the situation, such as demands on the safety of medical devices for children. From a public expectations point of view, there is a continuing need to maintain the urgency of the balance between available innovation and safety. Discussion(s): As for the methods of economic assessment in general, or methods for assessing the economic impact of regulations in particular, cost-effectiveness analysis is the most commonly used method for research and development, while internal rate of return is frequently used for the producers, and budget impact analysis is typically used for healthcare service providers. A non-financial indicator that is often discussed is the time demands associated with meeting compliance requirements. The time-to-market indicator is also often mentioned. Economic and financial topics are not discussed in depth, as the reviewed articles simply mention the generally high costs attendant on complying with regulations and obtaining certificates. Copyright © 2022 Maci and Maresova."</t>
  </si>
  <si>
    <t>Medical Device Industry</t>
  </si>
  <si>
    <t>J3618</t>
  </si>
  <si>
    <t>Pn for Pn': Parenteral Nutrition for Preterm Neonates: Perspectives of a District General Hospital in Implementation of Nice Guidelines - a Quality Improvement Project</t>
  </si>
  <si>
    <t>Aims Early administration of parenteral nutrition in preterm infants is recommended with regional guidelines using absolute criterion based around gestation or birthweight to determine the need for this form of nutrition. In 2020, NICE updated their guidance for administration of parental nutrition in preterm neonates, advocating a gestational cut-off of less than 31 weeks and introducing an 8 hour administration window. We used the PDSA framework to guide the implementation of these changes. In this quality improve project, we describe the process and challenges of implementing these recommendations in our level two unit, which admits babies with a gestation greater than 27 weeks. Methods Prior to implementation, a GAP analysis was performed comparing local practice to the new NICE recommendations. This highlighted several areas that would need addressing if these guidelines were to be adopted. Retrospective and prospective quantitative data was collected from 01/12/2019 to 30/9/2021 to identify the impact of any changes made. Forty-five neonates who were started on parenteral nutrition were identified and their records reviewed. Of these, twenty-three were excluded as they were ex-utero transfers or above the gestational age threshold. Results Figure 1 summarises the results of the GAP analysis, and steps taken to address each area in the PDSA framework. Following collaboration with multiple teams from trust governance, to pharmacy and infection control, a new standard operating procedure was created for the safe preparation and administration of neonatal parenteral nutrition. Table 1 compares the management of these preterm neonates before and after the implementation of this operating procedure. Conclusion The results highlight the feasibility of application and adherence to the updated guidelines in a level two neonatal unit. Practical challenges from safe storage to prescription were addressed through collaborative working with the trust pharmacy committee allowing for a cost-effective, safe and successful protocol to be implemented. However, there is still room for improvement, with the average time for PN administration out of hours varying from 8-10hours. It would be interesting to compare our experiences to similar intensity units across the UK or tertiary neonatal units and share the good practice. (Table Presented).</t>
  </si>
  <si>
    <t>no shift, prevention?</t>
  </si>
  <si>
    <t>J3619</t>
  </si>
  <si>
    <t>WILL (When to Induce Labour to Limit risk in pregnancy hypertension): a multicentre randomised controlled trial - adaptations to deliver a timing-of-birth trial during the COVID-19 international pandemic</t>
  </si>
  <si>
    <t>&lt;b&gt;BACKGROUND&lt;/b&gt;: As a pragmatic randomised timing-of-birth trial, WILL adapted its trial procedures in response to the COVID-19 pandemic. These are reviewed here to inform post-pandemic trial methodology._x000D_
&lt;b&gt;METHODS&lt;/b&gt;: The trial (internal pilot) paused in March 2020, re-opened in July 2020, and is currently recruiting in 37 UK NHS consultant-led maternity units. We evaluated pandemic adaptations made to WILL processes and surveyed sites for their views of these changes (20 sites, videoconference)._x000D_
&lt;b&gt;RESULTS&lt;/b&gt;: Despite 88% of sites favouring an electronic investigator site file (ISF), information technology requirements and clinical trial unit (CTU) operating procedures mandated the ongoing use of paper ISFs; site start-up delays resulted from restricted access to the CTU. Site initiation visits (SIVs) were conducted remotely; 50% of sites preferred remote SIVs and 44% felt that it was trial-dependent, while few preferred SIVs in-person as standard procedure. The Central team felt remote SIVs provided scheduling and attendance flexibility (for sites and trial staff), the option of recording discussions for missing or future staff, improved efficiency by having multiple sites attend, and time and cost savings; the negative impact on rapport-building and interaction was partially mitigated over time with more familiarity with technology and new ways-of-working. Two methods of remote consent were developed and used by 30/37 sites and for 54/156 recruits. Most (86%) sites using remote consenting felt it improved recruitment. For remote data monitoring (5 sites), advantages were primarily for the monitor (e.g. flexibility, no time constraints, reduced cost), and disadvantages primarily for the sites (e.g. document and access preparation, attendance at a follow-up meeting), but 81% of sites desired having the option of remote monitoring post-pandemic._x000D_
&lt;b&gt;CONCLUSIONS&lt;/b&gt;: COVID adaptations to WILL trial processes improved the flexibility of trial delivery, for Central and site staff, and participants. Flexibility to use these strategies should be retained post-pandemic._x000D_
&lt;b&gt;TRIAL REGISTRATION&lt;/b&gt;: ISRCTN77258279. Registered on 05 December 2018.</t>
  </si>
  <si>
    <t>Not cash releasing. Vague mention of cost saving</t>
  </si>
  <si>
    <t>J3620</t>
  </si>
  <si>
    <t>J3621</t>
  </si>
  <si>
    <t>Video Pre-Assessment in Endoscopy- a Quality Improvement Pilot Study in Response to Covid- 19</t>
  </si>
  <si>
    <t>Introduction Social distancing, staff shortages and patient isolation due to the Covid-19 pandemic has caused significant challenges in the National Health Service. The British Society of Gastroenterology warns that unavoidable delays to surveillance colonoscopy due to the pandemic risks delayed cancer diagnosis.1 We undertook a quality improvement initiative to assess if virtual pre-assessment can be adopted as an alternative to face to face (F2F) clinic, thereby improving efficiency whilst reducing patient and staff risk. Methods The current situation was assessed, change identified, and quality improvement (QI) designed2 utilising a Plan-Do- Study-Act (PDSA) method to increase clinic capacity by 10% from 90% to 100% within 8 weeks. Key stakeholders working with the systems were engaged. A single practitioner trialled and evaluated accuRX video consultation remotely. Patients required a smart phone with video capabilities. Telephone consultations were conducted here patients were unable to connect. Patients received text message links to the video platform within 24hrs of appointment. 30-minute appointment slots were allocated to gather patient health history, obtain consent and educate on bowel preparation. 10 minutes was allocated for completion of electronic records and processing of bowel prep for postage. Nursing records were completed electronically and saved securely on hospital shared drive. Results The 10% target was achieved within 8 weeks. 13 virtual clinics provided 84 clinic appointment; 78 patients (age range 18 to 92) attended clinic (45 video &amp; 33 telephone) with 2 later converted to F2F appt. 6 DNA clinic appointment. Reasons for conversion to telephone clinic are outlined in table 1. 64 patients completed procedures, 4 awaiting test, 5 declined, 3 unwell and 2 not suitable. 94% of colonoscopy reported excellent, good, or fair bowel preparation. Patient experience was not formally measured. Conclusions Our results indicate video pre-assessment to be an alternative to F2F long-term. Strategies to improve uptake need consideration prior to wide scale implementation. Formal data is required to measure patient experience and preference. Furthermore, as we move toward a greener approach to endoscopic working the reduction of carbon footprint by minimising F2F appointments should also be acknowledged.</t>
  </si>
  <si>
    <t>J3622</t>
  </si>
  <si>
    <t>Transfer of thawed frozen embryo versus fresh embryo to improve the healthy baby rate in women undergoing IVF: the E-Freeze RCT</t>
  </si>
  <si>
    <t>&lt;b&gt;BACKGROUND&lt;/b&gt;: Freezing all embryos, followed by thawing and transferring them into the uterine cavity at a later stage (freeze-all), instead of fresh-embryo transfer may lead to improved pregnancy rates and fewer complications during in vitro fertilisation and pregnancies resulting from it._x000D_
&lt;b&gt;OBJECTIVE&lt;/b&gt;: We aimed to evaluate if a policy of freeze-all results in a higher healthy baby rate than the current policy of transferring fresh embryos._x000D_
&lt;b&gt;DESIGN&lt;/b&gt;: This was a pragmatic, multicentre, two-arm, parallel-group, non-blinded, randomised controlled trial._x000D_
&lt;b&gt;SETTING&lt;/b&gt;: Eighteen in vitro fertilisation clinics across the UK participated from February 2016 to April 2019._x000D_
&lt;b&gt;PARTICIPANTS&lt;/b&gt;: Couples undergoing their first, second or third cycle of in vitro fertilisation treatment in which the female partner was aged &lt; 42 years._x000D_
&lt;b&gt;INTERVENTIONS&lt;/b&gt;: If at least three good-quality embryos were present on day 3 of embryo development, couples were randomly allocated to either freeze-all (intervention) or fresh-embryo transfer (control)._x000D_
&lt;b&gt;OUTCOMES&lt;/b&gt;: The primary outcome was a healthy baby, defined as a live, singleton baby born at term, with an appropriate weight for their gestation. Secondary outcomes included ovarian hyperstimulation, live birth and clinical pregnancy rates, complications of pregnancy and childbirth, health economic outcome, and State-Trait Anxiety Inventory scores._x000D_
&lt;b&gt;RESULTS&lt;/b&gt;: A total of 1578 couples were consented and 619 couples were randomised. Most non-randomisations were because of the non-availability of at least three good-quality embryos (n = 476). Of the couples randomised, 117 (19%) did not adhere to the allocated intervention. The rate of non-adherence was higher in the freeze-all arm, with the leading reason being patient choice. The intention-to-treat analysis showed a healthy baby rate of 20.3% in the freeze-all arm and 24.4% in the fresh-embryo transfer arm (risk ratio 0.84, 95% confidence interval 0.62 to 1.15). Similar results were obtained using complier-average causal effect analysis (risk ratio 0.77, 95% confidence interval 0.44 to 1.10), per-protocol analysis (risk ratio 0.87, 95% confidence interval 0.59 to 1.26) and as-treated analysis (risk ratio 0.91, 95% confidence interval 0.64 to 1.29). The risk of ovarian hyperstimulation was 3.6% in the freeze-all arm and 8.1% in the fresh-embryo transfer arm (risk ratio 0.44, 99% confidence interval 0.15 to 1.30). There were no statistically significant differences between the freeze-all and the fresh-embryo transfer arms in the live birth rates (28.3% vs. 34.3%; risk ratio 0.83, 99% confidence interval 0.65 to 1.06) and clinical pregnancy rates (33.9% vs. 40.1%; risk ratio 0.85, 99% confidence interval 0.65 to 1.11). There was no statistically significant difference in anxiety scores for male participants (mean difference 0.1, 99% confidence interval -2.4 to 2.6) and female participants (mean difference 0.0, 99% confidence interval -2.2 to 2.2) between the arms. The economic analysis showed that freeze-all had a low probability of being cost-effective in terms of the incremental cost per healthy baby and incremental cost per live birth._x000D_
&lt;b&gt;LIMITATIONS&lt;/b&gt;: We were unable to reach the original planned sample size of 1086 and the rate of non-adherence to the allocated intervention was much higher than expected._x000D_
&lt;b&gt;CONCLUSION&lt;/b&gt;: When efficacy, safety and costs are considered, freeze-all is not better than fresh-embryo transfer._x000D_
&lt;b&gt;TRIAL REGISTRATION&lt;/b&gt;: This trial is registered as ISRCTN61225414._x000D_
&lt;b&gt;FUNDING&lt;/b&gt;: This project was funded by the National Institute for Health and Care Research (NIHR) Health Technology Assessment programme and will be published in full in Health Technology Assessment; Vol. 26, No. 25. See the NIHR Journals Library website for further project information.</t>
  </si>
  <si>
    <t>in vitro fertilisation clinics</t>
  </si>
  <si>
    <t>Not cash releasing. Fresh-embryo transfer was less costly</t>
  </si>
  <si>
    <t>J3623</t>
  </si>
  <si>
    <t>Elective freezing of embryos versus fresh embryo transfer in IVF: A multicentre randomized controlled trial in the UK (E-Freeze)</t>
  </si>
  <si>
    <t>STUDY QUESTION</t>
  </si>
  <si>
    <t>J3624</t>
  </si>
  <si>
    <t>Cardiac implantable electronic device infections: prognostic value of the PADIT score and its cost-utility implications for antimicrobial envelope use in the United Kingdom</t>
  </si>
  <si>
    <t>Background: The incidence of cardiac implantable electronic device (CIED) infections is rising. Purpose(s): We examined the factors associated with CIED infection, assessed the prognostic power of the PADIT risk score, and modelled the cost-utility of selective TYRX antimicrobial envelope use for preventing CIED infections. Method(s): Data were extracted from 2016 to 2019, and included all de novo implants, generator changes and lead interventions for transvenous CIEDs at a high-volume UK centre. CIED infection was defined as hospitalisation for device infection within 12 months of a procedure. Cost-utility analysis was informed by standardised tariffs, and quality adjusted life year (QALY) and efficacy data was extrapolated from analysis of the WRAP-IT trial. Result(s): 6,035 patients underwent 7,383 procedures; CIED infection occurred in 59 individuals (0.8%). In addition to the constituents of the PA- DIT score, lead extraction (HR 3.3 (1.9-6.1), p&lt;0.0001), C-reactive protein &gt;50mg/l (HR 3.0 (1.4-6.4), p=0.005), re-intervention within two years (HR 10.1 (5.6-17.9), p&lt;0.0001), and procedure duration over two hours (HR 2.6 (1.6-4.1), p=0.001) were independent predictors of infection. Increased PADIT score was strongly associated with infection (AUC: 0.82, HR per point increase: 1.36 (1.27-1.47), p&lt;0.0001). A cost-utility model assigning TYRX envelopes to patients with PADIT scores &gt;=6 predicted a reduction in infections (number needed to treat: 72) and a cost per QALY gained within the UK's (NICE) cost-effectiveness threshold (25,107). Conclusion(s): The PADIT score was a powerful predictor of CIED infections in a heterogeneous population,and may facilitate cost-effective TYRX envelope allocation in selected high-risk patients. (Figure presented).</t>
  </si>
  <si>
    <t>no shift, digital</t>
  </si>
  <si>
    <t>J3625</t>
  </si>
  <si>
    <t>A Social Return on Investment Evaluation of the Pilot Social Prescribing EmotionMind Dynamic Coaching Programme to Improve Mental Wellbeing and Self-Confidence</t>
  </si>
  <si>
    <t>The COVID-19 pandemic contributed to longer waiting lists for people seeking to access mental health services. The NHS Five Year Forward View encourages the development of empowerment-based social prescribing interventions to supplement existing mental health programmes. Based in South Wales, EmotionMind Dynamic (EMD) is a lifestyle coaching programme that supports individuals suffering from anxiety or depression. In this evaluation of lifestyle coaching, a mixed-method social return on investment (SROI) methodology was used to value quantitative and qualitative data from face-to-face and online participants. Data collection took place between June 2021 and January 2022. Participants included both self-referred clients and those referred from health services. Mental wellbeing data were collected at baseline and at the end of the programme using the short Warwick-Edinburgh Mental Wellbeing Scale (SWEMWBS) and the General Self-Efficacy Scale (GSES). Baseline and follow-up data were available for 15 face-to-face participants and 17 online clients. Wellbeing valuation quantified and valued outcomes from participants. Results indicated that for every GBP 1 invested, lifestyle coaching generated social values ranging from GBP 4.12-GBP 7.08 for face-to-face clients compared with GBP 2.37-GBP 3.35 for online participants. Overall, lifestyle coaching generated positive social value ratios for both face-to-face and online clients. Copyright © 2022 by the authors.</t>
  </si>
  <si>
    <t>Not cash releasing. social values</t>
  </si>
  <si>
    <t>J3626</t>
  </si>
  <si>
    <t>Short stay hospital admissions for an acutely unwell child: A qualitative study of outcomes that matter to parents and professionals</t>
  </si>
  <si>
    <t>Background Numbers of urgent short stay admissions (SSAs) of children to UK hospitals are rising rapidly. This paper reports on experiences of SSAs from the perspective of parents accessing urgent care for their acutely unwell child and of health professionals referring, caring for, or admitting children. Methods A qualitative interview study was conducted by a multi-disciplinary team with patient and public involvement (PPI) to explore contextual factors relating to SSAs and better understand pre-hospital urgent care pathways. Purposive sampling of Health Board areas in Scotland, health professionals with experience of paediatric urgent care pathways and parents with experience of a SSA for their acutely unwell child was undertaken to ensure maximal variation in characteristics such as deprivation, urban-rural and hospital structure. Interviews took place between Dec 2019 and Mar 2021 and thematic framework analysis was applied. Results Twenty-one parents and forty-eight health professionals were interviewed. In the context of an urgent SSA, the themes were centred around shared outcomes of care that matter. The main outcome which was common to both parents and health professionals was the importance of preserving the child's safety. Additional shared outcomes by parents and health professionals were a desire to reduce worries and uncertainty about the illness trajectory, and provide reassurance with sufficient time, space and personnel to undertake a period of skilled observation to assess and manage the acutely unwell child. Parents wanted easy access to urgent care and, preferably, with input from paediatric-trained staff. Healthcare professionals considered that it was important to reduce the number of children admitted to hospital where safe and appropriate to do so. Conclusions The shared outcomes of care between parents and health professionals emphasises the potential merit of adopting a partnership approach in identifying, developing and testing interventions to improve the acceptability, safety, efficiency, and cost-effectiveness of urgent care pathways between home and hospital. Copyright © 2022 Malcolm et al. This is an open access article distributed under the terms of the Creative Commons Attribution License, which permits unrestricted use, distribution, and reproduction in any medium, provided the original author and source are credited.</t>
  </si>
  <si>
    <t>J3627</t>
  </si>
  <si>
    <t>Neonatal Discharge after Cardiac Surgery, Can It Be Any Safer?</t>
  </si>
  <si>
    <t>BACKGROUND AND AIM: In the United Kingdom, as per the New-born and Infant Physical Examination; NIPE programme, all new-borns are expected to be examined within 72 hours of birth, unless they are too unwell. Primary and secondary care are expected to achieve 95% compliance with this. Our project aimed to assess and improve local compliance with these guidelines in the East Midlands Congenial Heart Centre EMCHC, University Hospitals of Leicester. METHOD(S): Data was retrospectively collected from the admissions book for neonates admitted with in 72 hours of life over one year period. NIPE status was checked on the national registry. After presenting initial results in the local quality improvement meeting, several measures were put into place to improve compliance. A re-audit was carried out and showed an overall improvement. RESULT(S): 61 neonates were admitted within 72 hours of birth between August 2019 and August 2020. After exclusion of the deceased patients (n = 3) and patients with no records (n = 1), 50% (n = 28) had NIPE done before discharge. The percentage was lower, 24% when excluding the babies who had NIPE done before transfer to the cardiac centre. This spotted the improvement opportunity. Staff education sessions and presentations were conducted. Re-audit in January 2021 for admissions (n = 21) showed significant improvement in compliance to 76% (n = 16). CONCLUSION(S): Our project not only improved local compliance with the national guidelines, but was also a step forward towards safe patient discharge resulting in being a cost effective measure for the hospital.</t>
  </si>
  <si>
    <t>J3628</t>
  </si>
  <si>
    <t>An ethnographic evaluation of a speciality training pathway for general practice nursing in the UK</t>
  </si>
  <si>
    <t>AIMS: The aim of the study was to evaluate the implementation and impact of the General Practice Nurse - Specialty Training (GPN-ST) programme across seven sites in one geographical location in the UK. The objectives were to understand, describe and evaluate: 1) the implementation of the 'proof of concept' training scheme; 2) the learning undertaken during the training; and 3) the impact of the training scheme on individual nurses. These objectives offer the opportunity to describe the potential return on investment for General Practices supporting nurses new to General Practice through the programme. BACKGROUND: General Practice Nurses (GPNs) play a vital role in delivering primary and community care. In the UK there is a shortfall in the GPN workforce. Unlike training for other clinical professions there is currently no standardised training pathway or entry route for nurses wishing to work in General Practice. An ethnographic evaluation was undertaken of a one-year speciality training programme (GPN-ST). The programme, aimed at nurses new to General Practice, included formal higher education training and funded supported learning and mentoring whilst in practice. METHOD(S): A qualitative ethnographic evaluation was undertaken. Observations were conducted of programme implementation, network and education meetings in the scheme. In-depth, semi-structured, interviews and focus groups were conducted with a wide range of professionals (n = 40) including nurse mentors, nursing students, academic providers, commissioners and the programme managers. These data were supplemented by documentary analysis of meeting notes, learning materials, internal student feedback and locally collected evaluation material in line with ethnographic approaches to research. Kirkpatrick's model for course evaluation and complimentary inductive emergent thematic analysis was used. FINDINGS: There is evidence of learning at every level of the Kirkpatrick model from reaction through to changes in behaviour and results in practice for patients. The speciality training route offered opportunities for deep learning for GPNs. The scheme offered a comprehensive career pathway to General Practice nursing which in turn benefited General Practices. Practices benefitted from confident, independent nurses who were able to contribute to patient care, practice safely and also contributed widely in the long-term for example in research, workforce development and mentoring. CONCLUSION(S): General Practice needs to invest in developing a workforce of GPNs, there are significant benefits to investing in the development of GPNs through a training pathway. This scheme provides scope for application in other clinical settings as well in other countries where there is a gap in career progression into GP practices. TWEETABLE ABSTRACT: GPNs play a vital role in delivering primary and community care. Unlike training for other clinical professions there is currently no standardised training pathway or entry route for nurses wishing to work in General Practice. There are significant benefits to investing in the development of GPNs through a training pathway. Copyright © 2022 The Authors. Published by Elsevier Ltd.. All rights reserved.</t>
  </si>
  <si>
    <t>J3629</t>
  </si>
  <si>
    <t>Does Early Integration of Palliative Care with Acute Oncology Services Improve Cancer Patient Outcomes Following Acute Hospital Admission? A Rapid Review</t>
  </si>
  <si>
    <t>Introduction Cardiff and Vale tertiary care and cancer centre</t>
  </si>
  <si>
    <t>J3630</t>
  </si>
  <si>
    <t>Probabilistic microsimulation to examine the cost-effectiveness of hospital admission screening strategies for carbapenemase-producing enterobacteriaceae (CPE) in the United Kingdom</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</si>
  <si>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 2021, The Author(s).</t>
  </si>
  <si>
    <t>J3631</t>
  </si>
  <si>
    <t>Cost effectiveness and budget impact of universal varicella vaccination in Russia</t>
  </si>
  <si>
    <t>This economic evaluation assesses the cost-effectiveness and budget impact of introducing a two-dose varicella vaccine in the Russian national immunization program. A static Markov model followed a simulated 2019 Russian cohort over its lifetime and compared outcomes and costs of three varicella vaccination strategies: strategy I (doses given at 12 and 15 months of age), strategy II (doses given at 1 year and 6 years of age), and a no vaccination scenario. Inputs on age-dependent clinical pathways, associated costs, and related health outcomes were collected from national sources and published literature. Results are presented as incremental cost-effectiveness ratio (ICER) from the healthcare payer and societal perspective over the lifetime of the birth cohort and the budget impact over a 10 years' time horizon. Vaccination strategies I and II resulted in an ICER of approximately 1.7 million rubles per quality-adjusted life years gained from the healthcare payer perspective and were cost-saving from the societal perspective. From the healthcare payer perspective, the costs per varicella case averted were 5,989 and 7,140 rubles per case for strategies I and II, respectively. However, from the societal perspective, vaccination is a dominant strategy and the budget impact analysis shows significant healthcare savings over 10 years, with strategy I realizing savings of ~2 billion rubles more than strategy II. From a public health impact perspective, varicella vaccination of children at 12 and 15 months of age through the Russian NIP is expected to be cost-effective with an affordable budget impact compared to no vaccination.</t>
  </si>
  <si>
    <t>Russia</t>
  </si>
  <si>
    <t>J3632</t>
  </si>
  <si>
    <t>Economic evaluations of health care interventions in oropharyngeal dysphagia after stroke: protocol for a systematic review</t>
  </si>
  <si>
    <t>Background and purpose: Oropharyngeal dysphagia (OD) affects 40-81% of patients after stroke. A recent systematic review on the costs of OD and its main complications showed higher acute and long-term costs for those patients who developed OD, malnutrition and pneumonia after stroke. These results suggest that appropriate management of post-stroke OD could reduce clinical complications and costs. The purpose of this systematic review is to assess the available literature for healthcare interventions that are efficient or cost-effective in the management of OD. Method(s): A systematic review on economic evaluations of health care interventions will be performed on post-stroke patients with OD following PRISMA recommendations. Four bibliographic databases will be searched and a subsequent reference check will be done. English and Spanish literature will be included without date restrictions. Studies will be included if they refer to economic evaluations or in which cost savings were reported in post-stroke patients suffering OD. Studies will be excluded if they are partial economic evaluation studies, if they refer to esophageal dysphagia, or if OD is caused by causes different from stroke. Evidence will be presented and synthetised with a narrative method and using tables. Quality evaluation will be done using the Consolidated Health Economic Evaluation Reporting Standards (CHEERS) statement. Discussion(s): The protocol for this systematic review is the first step to assess the cost-effectiveness of the healthcare interventions that have been described as potential treatments for post-stroke OD. This systematic review will summarise the current evidence on the relation between cost and benefits associated with the appropriate management of OD in post-stroke patients. Trial registration: PROSPERO CRD42020136245 Copyright © 2022, The Author(s).</t>
  </si>
  <si>
    <t>protocol, unclear if it will include any UK studies</t>
  </si>
  <si>
    <t>will vary by study</t>
  </si>
  <si>
    <t>J3633</t>
  </si>
  <si>
    <t>Extended-release pharmacotherapy for opioid use disorder (EXPO): protocol for an open-label randomised controlled trial of the effectiveness and cost-effectiveness of injectable buprenorphine versus sublingual tablet buprenorphine and oral liquid methadone</t>
  </si>
  <si>
    <t>England and Scotland, NHS</t>
  </si>
  <si>
    <t>community treatment centres</t>
  </si>
  <si>
    <t>J3634</t>
  </si>
  <si>
    <t>Interventions for treating supracondylar elbow fractures in children</t>
  </si>
  <si>
    <t>- Background Elbow supracondylar fractures are common, with treatment decisions based on fracture displacement. However, there remains controversy regarding the best treatments for this injury. Objectives To assess the effects (benefits and harms) of interventions for treating supracondylar elbow fractures in children. Search methods We searched CENTRAL, MEDLINE, and Embase in March 2021. We also searched trial registers and reference lists. We applied no language or publication restrictions. Selection criteria We included randomised and quasi‐randomised controlled trials comparing different interventions for the treatment of supracondylar elbow fractures in children. We included studies investigating surgical interventions (different fixation techniques and different reduction techniques), surgical versus non‐surgical treatment, traction types, methods of non‐surgical intervention, and timing and location of treatment. Data collection and analysis We used standard methodological procedures expected by Cochrane. We collected data and conducted GRADE assessment for five critical outcomes: functional outcomes, treatment failure (requiring re‐intervention), nerve injury, major complications (pin site infection in most studies), and cosmetic deformity (cubitus varus). Main results We included 52 trials with 3594 children who had supracondylar elbow fractures; most were Gartland 2 and 3 fractures. The mean ages of children ranged from 4.9 to 8.4 years and the majority of participants were boys. Most studies (33) were conducted in countries in South‐East Asia. We identified 12 different comparisons of interventions: retrograde lateral wires versus retrograde crossed wires; lateral crossed (Dorgan) wires versus retrograde crossed wires; retrograde lateral wires versus lateral crossed (Dorgan) wires; retrograde crossed wires versus posterior intrafocal wires; retrograde lateral wires in a parallel versus divergent configuration; retrograde crossed wires using a mini‐open technique or inserted percutaneously; buried versus non‐buried wires; external versus internal fixation; open versus closed reduction; surgical fixation versus non‐surgical immobilisation; skeletal versus skin traction; and collar and cuff versus backslab. We report here the findings of four comparisons that represent the most substantial body of evidence for the most clinically relevant comparisons. All studies in these four comparisons had unclear risks of bias in at least one domain. We downgraded the certainty of all outcomes for serious risks of bias, for imprecision when evidence was derived from a small sample size or had a wide confidence interval (CI) that included the possibility of benefits or harms for both treatments, and when we detected the possibility of publication bias. Retrograde lateral wires versus retrograde crossed wires (29 studies, 2068 children) There was low‐certainty evidence of less nerve injury with retrograde lateral wires (RR 0.65, 95% CI 0.46 to 0.90; 28 studies, 1653 children). In a post hoc subgroup analysis, we noted a greater difference in the number of children with nerve injuries when lateral wires were compared to crossed wires inserted with a percutaneous medial wire technique (RR 0.41, 95% CI 0.20 to 0.81, favours lateral wires; 10 studies, 552 children), but little difference when an open technique was used (RR 0.91, 95% CI 0.59 to 1.40, favours lateral wires; 11 studies, 656 children). Although we noted a statistically significant difference between these subgroups from the interaction test (P = 0.05), we could not rule out the possibility that other factors could account for this difference. We found little or no difference between the interventions in major complications, which were described as pin site infections in all studies (RR 1.08, 95% CI 0.65 to 1.79; 19 studies, 1126 children; low‐certainty evidence). For functional status (1 study, 35 children), treatment failure requiring re‐intervention (1 study, 60 children), and cosmetic deformity (2 studies, 95 children), ther was very low‐certainty evidence showing no evidence of a difference between interventions. Open reduction versus closed reduction (4 studies, 295 children) Type of reduction method may make little or no difference to nerve injuries (RR 0.30, 95% CI 0.09 to 1.01, favours open reduction; 3 studies, 163 children). However, there may be fewer major complications (pin site infections) when closed reduction is used (RR 4.15, 95% CI 1.07 to 16.20; 4 studies, 253 children). The certainty of the evidence for these outcomes is low. No studies reported functional outcome, treatment failure requiring re‐intervention, or cosmetic deformity. The four studies in this comparison used direct visualisation during surgery. One additional study used a joystick technique for reduction, and we did not combine data from this study in analyses. Surgical fixation using wires versus non‐surgical immobilisation using a cast (3 studies, 140 children) There was very low‐certainty evidence showing little or no difference between interventions for treatment failure requiring re‐intervention (1 study, 60 children), nerve injury (3 studies, 140 children), major complications (3 studies, 126 children), and cosmetic deformity (2 studies, 80 children). No studies reported functional outcome. Backslab versus sling (1 study, 50 children) No nerve injuries or major complications were experienced by children in either group; this evidence is of very low certainty. Functional outcome, treatment failure, and cosmetic deformity were not reported. Authors' conclusions We found insufficient evidence for many treatments of supracondylar fractures. Fixation of displaced supracondylar fractures with retrograde lateral wires compared with crossed wires provided the most substantial body of evidence in this review, and our findings indicate that there may be a lower risk of nerve injury with retrograde lateral wires. In future trials of treatments, we would encourage the adoption of a core outcome set, which includes patient‐reported measures. Evaluation of the effectiveness of traction compared with surgical fixation would provide a valuable addition to this clinical field. Plain language summary What are the benefits and risks of different treatments for elbow fractures in children? Key messages ‐ A child with a supracondylar elbow fracture (a broken bone in the upper elbow, approximately 5 cm above the elbow joint) may have a lower risk of nerve injury if two or more wires are inserted from the outside of the elbow rather than having one wire inserted from the inside of the elbow and one from the outside (crossed wires). The method used by the doctor to manually move the bones back into position may not increase or reduce the risk of nerve injury, but using a closed method may reduce the risk of an infection. ‐ Because we did not find enough studies about other treatments for these elbow fractures, their benefits and risks are unclear. ‐ More, well‐designed studies are needed to give better estimates of the benefits and harms of other treatments. These studies should focus on outcomes related to elbow movement, as well as quality of life and how upset the child is. What are supracondylar elbow fractures? This type of broken bone is in the upper arm bone, approximately 5 cm above the elbow joint. It is the most common broken bone in the elbow during childhood, and can affect a child's day‐to‐day function as well as their ability to play and do sport. How are these broken bones treated? Treatment varies according to whether the bone has moved out of position. If it has moved, the doctor may manually move it back into a normal position. Doctors do this using a 'closed reduction' (without opening up the skin) or 'open reduction' (after the skin has been opened up). During surgery, metal wires are used to hold the bone in place whilst it heals. Doctors may use different types and numbers of wires, which are inserted from different angles. If the bone has not moved, surgery may not be necessary. In which case, treatments to hold the bone in p ace whilst it heals include using a plaster cast, a sling, or using traction (with weights, ropes and pulleys). What did we want to find out? We wanted to find out: ‐ which types of treatments work best to heal the bone effectively; and ‐ whether these treatments are associated with any unwanted effects. What did we do? We searched for studies that compared a range of treatments. The most common treatments were: ‐ surgical treatments using different types of metal wires after the bone has been put back into position; ‐ open reduction or closed reduction; ‐ surgery or non‐surgical treatments; and ‐ different non‐surgical treatments. We compared and summarised their results, and rated our confidence in the evidence, based on factors such as study methods and sizes. What did we find? We found 52 studies with 3594 children. Most children were about 5 to 8 years of age and most were boys. The studies were conducted in countries around the world; 33 studies were conducted in countries in South‐East Asia. Very few studies reported how they were funded. Main results ‐ Wires inserted only from the outside of the elbow may reduce the risk of nerve injury compared with crossed wires (inserted from the outside and also from the inside of the elbow). However, there is probably little or no difference between these treatments in the number of children who develop an infection where the metal wires have been inserted (pin site infections). We do not know if either of these treatments affect elbow function, the risk of needing additional surgery, or any long‐term elbow deformity (where the elbow is no longer the normal shape). ‐ The initial method used to move the bone back into position may make little or no difference to the risk of nerve injury. However, children may have fewer pin site infections when closed reduction is used. ‐ There may be little or no difference between using metal wires to fix the bone or holding the bone in place with a cast in the need for additional surgery, nerve injury, pin site infections, or elbow deformity. But we are uncertain of these findings. ‐ We do not know if a plaster cast compared to a sling has any effect on the risk of nerve injury or pin site infections. What are the limitations of the evidence? Most of the studies were either not well‐designed or did not clearly report how they were conducted. This meant that we either had little confidence or no confidence in their findings. Our confidence was also reduced because there were not enough children in the studies to be certain about their findings. It is also possible that the studies that we found had exaggerated findings and that some studies with alternative results may be missing. How up to date is this evidence? The evidence is up to date to March 2021.</t>
  </si>
  <si>
    <t>J3635</t>
  </si>
  <si>
    <t>Mosquito aquatic habitat modification and manipulation interventions to control malaria</t>
  </si>
  <si>
    <t>- Background Larval source management (LSM) may help reduce Plasmodium parasite transmission in malaria‐endemic areas. LSM approaches include habitat modification (permanently or temporarily reducing mosquito breeding aquatic habitats); habitat manipulation (temporary or recurrent change to environment); or use of chemical (e.g. larviciding) or biological agents (e.g. natural predators) to breeding sites. We examined the effectiveness of habitat modification or manipulation (or both), with and without larviciding. This is an update of a review published in 2013. Objectives 1. To describe and summarize the interventions on mosquito aquatic habitat modification or mosquito aquatic habitat manipulation, or both, on malaria control. 2. To evaluate the beneficial and harmful effects of mosquito aquatic habitat modification or mosquito aquatic habitat manipulation, or both, on malaria control. Search methods We used standard, extensive Cochrane search methods. The latest search was from January 2012 to 30 November 2021. Selection criteria Randomized controlled trials (RCT) and non‐randomized intervention studies comparing mosquito aquatic habitat modification or manipulation (or both) to no treatment or another active intervention. We also included uncontrolled before‐after (BA) studies, but only described and summarized the interventions from studies with these designs. Primary outcomes were clinical malaria incidence, malaria parasite prevalence, and malaria parasitaemia incidence. Data collection and analysis We used standard Cochrane methods. We assessed risk of bias using the Cochrane RoB 2 tool for RCTs and the ROBINS‐I tool for non‐randomized intervention studies. We used a narrative synthesis approach to systematically describe and summarize all the interventions included within the review, categorized by the type of intervention (habitat modification, habitat manipulation, combination of habitat modification and manipulation). Our primary outcomes were 1. clinical malaria incidence; 2. malaria parasite prevalence; and 3. malaria parasitaemia incidence. Our secondary outcomes were 1. incidence of severe malaria; 2. anaemia prevalence; 3. mean haemoglobin levels; 4. mortality rate due to malaria; 5. hospital admissions for malaria; 6. density of immature mosquitoes; 7. density of adult mosquitoes; 8. sporozoite rate; 9. entomological inoculation rate; and 10. harms. We used the GRADE approach to assess the certainty of the evidence for each type of intervention. Main results Sixteen studies met the inclusion criteria. Six used an RCT design, six used a controlled before‐after (CBA) study design, three used a non‐randomized controlled design, and one used an uncontrolled BA study design. Eleven studies were conducted in Africa and five in Asia. Five studies reported epidemiological outcomes and 15 studies reported entomological outcomes. None of the included studies reported on the environmental impacts associated with the intervention. For risk of bias, all trials had some concerns and other designs ranging from moderate to critical. Ten studies assessed habitat manipulation (temporary change to the environment). This included water management (spillways across streams; floodgates; intermittent flooding; different drawdown rates of water; different flooding and draining regimens), shading management (shading of drainage channels with different plants), other/combined management approaches (minimal tillage; disturbance of aquatic habitats with grass clearing and water replenishment), which showed mixed results for entomological outcomes. Spillways across streams, faster drawdown rates of water, shading drainage canals with Napier grass, and using minimal tillage may reduce the density of immature mosquitoes (range of effects from 95% reduction to 1.7 times increase; low‐certainty evidence), and spillways across streams may reduce densities of adult mosquitoes compared to no intervention (low‐certainty evidence). However, the effect of habitat manipulation on malaria parasite prevalence and clinical malaria incidence is uncertain (very low‐certainty evidence). Two studies assessed habitat manipulation with larviciding. This included reducing or removal of habitat sites; and drain cleaning, grass cutting, and minor repairs. It is uncertain whether drain cleaning, grass cutting, and minor repairs reduces malaria parasite prevalence compared to no intervention (odds ratio 0.59, 95% confidence interval (CI) 0.42 to 0.83; very low‐certainty evidence). Two studies assessed combination of habitat manipulation and permanent change (habitat modification). This included drainage canals, filling, and planting of papyrus and other reeds for shading near dams; and drainage of canals, removal of debris, land levelling, and filling ditches. Studies did not report on epidemiological outcomes, but entomological outcomes suggest that such activities may reduce the density of adult mosquitoes compared to no intervention (relative risk reduction 0.49, 95% CI 0.47 to 0.50; low‐certainty evidence), and preventing water stagnating using drainage of canals, removal of debris, land levelling, and filling ditches may reduce the density of immature mosquitoes compared to no intervention (ranged from 10% to 55% reductions; low‐certainty evidence). Three studies assessed combining manipulation and modification with larviciding. This included filling or drainage of water bodies; filling, draining, or elimination of rain pools and puddles at water supply points and stream bed pools; and shoreline work, improvement and maintenance to drainage, clearing vegetation and undergrowth, and filling pools. There were mixed effect sizes for the reduction of entomological outcomes (moderate‐certainty evidence). However, filling or draining water bodies probably makes little or no difference to malaria parasite prevalence, haemoglobin levels, or entomological inoculation rate when delivered with larviciding compared to no intervention (moderate‐certainty evidence). Authors' conclusions Habitat modification and manipulation interventions for preventing malaria has some indication of benefit in both epidemiological and entomological outcomes. While the data are quite mixed and further studies could help improve the knowledge base, these varied approaches may be useful in some circumstances. Plain language summary Which permanent and temporary changes to the water environments of immature mosquitoes work better to reduce malaria in people? Why is it important to reduce malaria in people? Malaria has a very high impact on the health of the public, mostly in people in Africa and Asia. Strategies to reduce malaria have been studied for many years. Most strategies focus on reducing the number of immature mosquitoes (larvae and pupae) to prevent them from becoming adult mosquitoes, since it is the adult female mosquito that can spread malaria through biting people. What are permanent and temporary changes to the environment of immature mosquitoes? The water environments where immature mosquitoes live can be disturbed using permanent (modification) and temporary (manipulation) changes. Examples of permanent changes include construction of drainage canals, land levelling, and filling ditches. Examples of temporary changes include altering the flow of water in streams, draining canals, cutting grass, shading of water using plants. These interventions may be used on their own or together with other standard treatments, such as the regular application of insecticides to water bodies (larviciding). What did we want to find out? We wanted to find out which permanent and temporary changes to the environment of immature mosquitoes reduce malaria in people (clinical outcomes), and the quantity of immature and adult mosquitoes (entomological outcomes). What did we do? We searched for studies that looked at permanent and temporary changes to the environment of immature mosquitoes compared to no intervention or a different permanent or temporary change. We compared and summarized the results of the studies and rated our confidence in the evidence, based n factors such as study methods. What did we find? The review included 16 studies that used a range of different randomized and non‐randomized study designs. Eleven studies were conducted in Africa and five in Asia. Only a few studies reported clinical outcomes, with most focussing on the number of immature mosquitoes, or adult mosquitoes, or both (entomological outcomes). We found there was some evidence to support the use of permanent (modification) and temporary (manipulation) changes to the water environments to reduce the number of immature mosquitoes in specific settings. However, when looking at clinical outcomes, 1. the effect of habitat manipulation on malaria parasite prevalence and clinical malaria incidence was unclear; 2. malaria parasite prevalence may be reduced when using habitat manipulation with larviciding; 3. combining manipulation and modification with larviciding probably makes little or no difference to malaria parasite prevalence and haemoglobin levels. What are the limitations of the evidence? The review included a wide range of different changes to the water environment of immature mosquitoes, with some combining them with water treatments (larviciding), which meant that very few studies looked at the same intervention. Many of the included studies had issues regarding how well they were conducted. How up to date is the evidence? This review updates a 2013 Cochrane Review. The evidence is up to date to 30 November 2021.</t>
  </si>
  <si>
    <t>mosquito aquatic habitat modification or manipulation</t>
  </si>
  <si>
    <t>J3636</t>
  </si>
  <si>
    <t>Evolving strategies for meningococcal vaccination in Europe: Overview and key determinants for current and future considerations</t>
  </si>
  <si>
    <t>Invasive meningococcal disease (IMD) is a life-threatening, unpredictable condition. Vaccines are available against 5 of the 6 meningococcal serogroups (Men) accounting for nearly all IMD cases worldwide; conjugate monovalent MenC, quadrivalent MenACWY, and protein-based MenB vaccines are commonly used. We provide a comprehensive overview of the evolution of meningococcal vaccination strategies employed in national immunization programmes (NIPs) and their impact on IMD incidence in Europe. A more in-depth description is given for several countries: the United Kingdom (UK), the Netherlands, Greece, Italy, and Ireland. We searched European health authorities' websites and PubMed. Various vaccines and immunization schedules are used in 21 NIPs. Most countries implement MenC vaccination in infants, MenACWY in adolescents, and a growing number, MenB in infants. Only Malta has introduced MenACWY vaccination in infants, and several countries reimburse immunization of toddlers. The UK, Italy, Ireland, Malta, Andorra, and San Marino recommend MenB vaccination in infants and MenACWY vaccination in adolescents, targeting the most prevalent serogroups in the most impacted age groups. Main factors determining new vaccination strategies are fluctuating IMD epidemiology, ease of vaccine implementation, ability to induce herd protection, favorable benefit-risk balance, and acceptable cost-effectiveness. Since 1999, when the UK introduced MenC vaccination, the reduction in IMD incidence has been gradually enhanced as other countries adopted routine meningococcal vaccinations. Meningococcal vaccination strategies in each country are continually adapted to regional epidemiology and national healthcare priorities. Future strategies may include broader coverage vaccines when available (e.g., MenABCWY, MenACWY), depending on prevailing epidemiology. Copyright © 2021 GlaxoSmithKline Biologicals S.A. Published by Informa UK Limited, trading as Taylor &amp; Francis Group.</t>
  </si>
  <si>
    <t>J3637</t>
  </si>
  <si>
    <t>The Payer License Agreement, or Netflix model," for hepatitis C virus therapies enables universal treatment access, lowers costs and incentivizes innovation and competition"</t>
  </si>
  <si>
    <t>Background and Aims: High unit prices of treatments limit access. For epidemics like that of hepatitis C virus (HCV), reduced treatment access increases prevalence and incidence, making the infectious disease increasingly difficult to manage. The objective of the current study was to construct and test an alternative pricing model, the Payer License Agreement (PLA), and determine whether it could improve outcomes, cut costs and incentivize innovation versus the current unit-based pricing model. Method(s): We built and used computational models of hepatitis C disease progression, treatment, and pricing in historical and future scenarios and quantitatively analyzed their economic and epidemiological impact in three high-income countries. Result(s): This study had three key results regarding HCV treatment. First, if the PLA model had been implemented when interferon-free direct-acting antiviral (DAA) combinations launched, the number of patients treated and cured would have more than doubled in the first three years, while the liver-related deaths (LRDs) would have decreased by around 40%. Second, if the PLA model had been implemented beginning in 2018, the year that several Netflix-like payment models were under implementation, the number of treated and cured patients would nearly double, and the LRDs would decline by more than 55%. Third, implementing the PLA model would result in a decline in total payer costs of more than 25%, with an increase to pharmaceutical manufacturer revenues of 10%. These results were true across the three healthcare landscapes studied, the USA, the UK and Italy, and were robust against variations to critical model parameters through sensitivity analysis. Conclusions and Relevance: These results suggest that implementation of the PLA model in high-income countries across a variety of health system contexts would improve patient outcomes at lower payer cost with more stable revenue for pharmaceutical manufacturers. Health policy-makers in high-income countries should consider the PLA model for application to more cost-effective management of HCV, and explore its application for other infectious diseases with curative therapies available now or soon. Copyright © 2022 The Authors. Liver International published by John Wiley &amp; Sons Ltd.</t>
  </si>
  <si>
    <t>J3638</t>
  </si>
  <si>
    <t>Utility of PINP to monitor osteoporosis treatment in primary care, the POSE study (PINP and Osteoporosis in Sheffield Evaluation)</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</si>
  <si>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 2022 The Authors</t>
  </si>
  <si>
    <t>J3639</t>
  </si>
  <si>
    <t>Monitoring bisphosphonate treatment in primary care: PINP and osteoporosis in Sheffield evaluation (pose study)</t>
  </si>
  <si>
    <t>can't find this version, linked to study above</t>
  </si>
  <si>
    <t>J3640</t>
  </si>
  <si>
    <t>In Search for Comparability: The PECUNIA Reference Unit Costs for Health and Social Care Services in Europe</t>
  </si>
  <si>
    <t>Improving the efficiency of mental healthcare service delivery by learning from international best-practice examples requires valid data, including robust unit costs, which currently often lack cross-country comparability. The European ProgrammE in Costing, resource use measurement and outcome valuation for Use in multi-sectoral National and International health economic evaluAtions (PECUNIA) aimed to harmonize the international unit cost development. This article presents the methodology and set of 36 externally validated, standardized reference unit costs (RUCs) for five health and social care services (general practitioner, dentist, help-line, day-care center, nursing home) in Austria, England, Germany, Hungary, The Netherlands, and Spain based on unambiguous service definitions using the extended DESDE PECUNIA coding framework. The resulting PECUNIA RUCs are largely comparable across countries, with any causes for deviations (e.g., country-specific scope of services) transparently documented. Even under standardized methods, notable limitations due to data-driven divergences in key costing parameters remain. Increased cross-country comparability by adopting a uniform methodology and definitions can advance the quality of evidence-based policy guidance derived from health economic evaluations. The PECUNIA RUCs are available free of charge and aim to significantly improve the quality and feasibility of future economic evaluations and their transferability across mental health systems.</t>
  </si>
  <si>
    <t>mental health systems</t>
  </si>
  <si>
    <t>J3641</t>
  </si>
  <si>
    <t>J3642</t>
  </si>
  <si>
    <t>Establishing a novel digital platform supporting physical and emotional wellbeing for people living with kidney disease- The Kidney Beam pilot</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</si>
  <si>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 Copyright © 2021</t>
  </si>
  <si>
    <t>Digital/community</t>
  </si>
  <si>
    <t>J3643</t>
  </si>
  <si>
    <t>Diagnostic test accuracy and cost‐effectiveness of tests for codeletion of chromosomal arms 1p and 19q in people with glioma</t>
  </si>
  <si>
    <t>- Background Complete deletion of both the short arm of chromosome 1 (1p) and the long arm of chromosome 19 (19q), known as 1p/19q codeletion, is a mutation that can occur in gliomas. It occurs in a type of glioma known as oligodendroglioma and its higher grade counterpart known as anaplastic oligodendroglioma. Detection of 1p/19q codeletion in gliomas is important because, together with another mutation in an enzyme known as isocitrate dehydrogenase, it is needed to make the diagnosis of an oligodendroglioma. Presence of 1p/19q codeletion also informs patient prognosis and prediction of the best drug treatment. The main two tests in use are fluorescent in situ hybridisation (FISH) and polymerase chain reaction (PCR)‐based loss of heterozygosity (LOH) assays (also known as PCR‐based short tandem repeat or microsatellite analysis). Many other tests are available. None of the tests is perfect, although PCR‐based LOH is expected to have very high sensitivity. Objectives To estimate the sensitivity and specificity and cost‐effectiveness of different deoxyribonucleic acid (DNA)‐based techniques for determining 1p/19q codeletion status in glioma. Search methods We searched MEDLINE, Embase and BIOSIS up to July 2019. There were no restrictions based on language or date of publication. We sought economic evaluation studies from the results of this search and using the National Health Service Economic Evaluation Database. Selection criteria We included cross‐sectional studies in adults with glioma or any subtype of glioma, presenting raw data or cross‐tabulations of two or more DNA‐based tests for 1p/19q codeletion. We also sought economic evaluations of these tests. Data collection and analysis We followed procedures outlined in the Cochrane Handbook for Diagnostic Test Accuracy Reviews . Two review authors independently screened titles/abstracts/full texts, performed data extraction, and undertook applicability and risk of bias assessments using QUADAS‐2. Meta‐analyses used the hierarchical summary ROC model to estimate and compare test accuracy. We used FISH and PCR‐based LOH as alternate reference standards to examine how tests compared with those in common use, and conducted a latent class analysis comparing FISH and PCR‐based LOH. We constructed an economic model to evaluate cost‐effectiveness. Main results We included 53 studies examining: PCR‐based LOH, FISH, single nucleotide polymorphism (SNP) array, next‐generation sequencing (NGS), comparative genomic hybridisation (CGH), array comparative genomic hybridisation (aCGH), multiplex‐ligation‐dependent probe amplification (MLPA), real‐time PCR, chromogenic in situ hybridisation (CISH), mass spectrometry (MS), restriction fragment length polymorphism (RFLP) analysis, G‐banding, methylation array and NanoString. Risk of bias was low for only one study; most gave us concerns about how patients were selected or about missing data. We had applicability concerns about many of the studies because only patients with specific subtypes of glioma were included. 1520 participants contributed to analyses using FISH as the reference, 1304 participants to analyses involving PCR‐based LOH as the reference and 262 participants to analyses of comparisons between methods from studies not including FISH or PCR‐based LOH. Most evidence was available for comparison of FISH with PCR‐based LOH (15 studies, 915 participants): PCR‐based LOH detected 94% of FISH‐determined codeletions (95% credible interval (CrI) 83% to 98%) and FISH detected 91% of codeletions determined by PCR‐based LOH (CrI 78% to 97%). Of tumours determined not to have a deletion by FISH, 94% (CrI 87% to 98%) had a deletion detected by PCR‐based LOH, and of those determined not to have a deletion by PCR‐based LOH, 96% (CrI 90% to 99%) had a deletion detected by FISH. The latent class analysis suggested that PCR‐based LOH may be slightly more accurate than FISH. Most other techniques appeared to have high sensitivity (i.e. produced few false‐negative resul s) for detection of 1p/19q codeletion when either FISH or PCR‐based LOH was considered as the reference standard, although there was limited evidence. There was some indication of differences in specificity (false‐positive rate) with some techniques. Both NGS and SNP array had high specificity when considered against FISH as the reference standard (NGS: 6 studies, 243 participants; SNP: 6 studies, 111 participants), although we rated certainty in the evidence as low or very low. NGS and SNP array also had high specificity when PCR‐based LOH was considered the reference standard, although with much more uncertainty as these results were based on fewer studies (just one study with 49 participants for NGS and two studies with 33 participants for SNP array). G‐banding had low sensitivity and specificity when PCR‐based LOH was the reference standard. Although MS had very high sensitivity and specificity when both FISH and PCR‐based LOH were considered the reference standard, these results were based on only one study with a small number of participants. Real‐time PCR also showed high specificity with FISH as a reference standard, although there were only two studies including 40 participants. We found no relevant economic evaluations. Our economic model using FISH as the reference standard suggested that the resource‐optimising test depends on which measure of diagnostic accuracy is most important. With FISH as the reference standard, MLPA is likely to be cost‐effective if society was willing to pay GBP 1000 or less for a true positive detected. However, as the value placed on a true positive increased, CISH was most cost‐effective. Findings differed when the outcome measure changed to either true negative detected or correct diagnosis. When PCR‐based LOH was used as the reference standard, MLPA was likely to be cost‐effective for all measures of diagnostic accuracy at lower threshold values for willingness to pay. However, as the threshold values increased, none of the tests were clearly more likely to be considered cost‐effective. Authors' conclusions In our review, most techniques (except G‐banding) appeared to have good sensitivity (few false negatives) for detection of 1p/19q codeletions in glioma against both FISH and PCR‐based LOH as a reference standard. However, we judged the certainty of the evidence low or very low for all the tests. There are possible differences in specificity, with both NGS and SNP array having high specificity (fewer false positives) for 1p/19q codeletion when considered against FISH as the reference standard. The economic analysis should be interpreted with caution due to the small number of studies. Plain language summary Comparing different methods of determining whether gliomas are missing arms 1p and 19q of the chromosomes Why is improving the detection of 1p/19q codeletion in glioma important? Gliomas are a type of brain tumour (cancer). There are different types of glioma, with different changes in their genetic material. One of the possible genetic changes is the loss of parts of two of our 23 chromosomes. When both a specific part of chromosome 1 and a specific part of chromosome 19 are missing, it is known as '1p/19q codeletion'. 1p/19q codeletion is used to diagnose a glioma known as an oligodendroglioma. Presence of 1p/19q codeletion can also tell us how long a patient with a glioma may survive and which is the best medicine to treat that patient. What is the aim of this review? We wanted to find out which is the most accurate and cost‐effective way to identify 1p/19q codeletion in gliomas. What is studied in the review? The review examined and compared all methods to detect 1p/19q codeletion that are based on the deoxyribonucleic acid (DNA, which contains the information for an organism to develop, survive and reproduce) of the tumour. These include tests known as FISH and CISH, which are performed directly on tumour tissue and a number of other tests that are based on DNA extracted from the tumour tissue including: PCR‐based LOH, real‐time PCR, LPA, SNP array, CGH array and NGS. None of these tests is perfect, so there is no 'gold standard' against which to compare them. The two most commonly used tests (FISH and PCR‐based LOH) were used as the best available reference tests against which to examine the others. What are the main results of the review? We found 53 studies. Most tests were good at identifying instances of 1p/19q codeletion (meaning they were tests with good 'sensitivity') that had been identified by either of the two common tests. However, there were some differences in how well the tests were able to rule out 1p/19q codeletion when it did not seem to be present (the 'specificity' of the test). NGS and SNP arrays were better at this (i.e. having fewer 'false‐positives' results) when considered against FISH as the reference test. The cost per correct diagnosis was lowest for MLPA, although this was not a firm finding because the amount of evidence was small. How reliable are results of the studies in this review? Our certainty in the evidence was low or very low, because there were few studies for most of the tests and there were limitations to almost all the studies. Similarly, the economic analysis must be interpreted with caution due to the relatively small number of studies. To whom do the results of this review apply? The ways in which the tests were performed were thought to be representative of how they would be performed in practice. However, many of the studies included people with specific types of gliomas, so the results might not be representative of all people with gliomas. What are the implications of this review? The limited evidence suggests that currently used techniques show good sensitivity for detection of 1p/19q codeletion. NGS and SNP arrays may have higher specificity when FISH is the reference standard, but this comes at greater cost per test. How up‐to‐date is this review? The latest search for studies took place in August 2019.</t>
  </si>
  <si>
    <t>J3644</t>
  </si>
  <si>
    <t>A systematic review of economic evaluations of preoperative smoking cessation for preventing surgical complications</t>
  </si>
  <si>
    <t>Background: Whilst there is a substantial body of evidence on the costs and benefits of smoking cessation generally, the benefits of routinely providing smoking cessation for surgical populations are less well known. This review summarises the evidence on the cost-effectiveness of preoperative smoking cessation to prevent surgical complications. Material(s) and Method(s): A search of the Cochrane, Econlit, EMBASE, Health Technology Assessment, Medline Complete and Scopus databases was conducted from inception until June 23, 2021. Peer-reviewed, English-language articles describing economic evaluations of preoperative smoking cessation interventions to prevent surgical complications were included. Search results were independently screened for potentially eligible studies. Study characteristics, economic evaluation methods and cost-effectiveness results were extracted by one reviewer and details checked by a second. Two authors independently assessed reporting and methodological quality using the Consolidated Health Economic Evaluation Reporting Standards statement (CHEERS) and the Quality of Health Economic Studies Instrument checklist (QHES) respectively. Result(s): After removing duplicates, twenty full text articles were screened from 1423 database records, resulting in six included economic evaluations. Studies from the United States (n = 4), France (n = 1) and Spain (n = 1) were reported between 2009 and 2020. Four evaluations were conducted from a payer perspective. Two-thirds of evaluations were well-conducted (mean score 83) and well-reported (on average, 86% items reported). All studies concluded preoperative smoking cessation is cost-effective for preventing surgical complications; results ranged from cost saving to 53,131 per quality adjusted life year gained. Conclusion(s): Preoperative smoking cessation is cost-effective for preventing surgical complications from a payer or provider perspective when compared to standard care. There is no evidence from outside the United States and Europe to inform healthcare providers, funders and policy-makers in other jurisdictions and more information is needed to clarify the optimal point of implementation to maximise cost-effectiveness of preoperative smoking cessation intervention. Systematic review registration number: PROSPERO 2021 CRD42021257740. Research registry registration number: reviewregistry1369. Copyright © 2022 IJS Publishing Group Ltd</t>
  </si>
  <si>
    <t>Preoperative smoking cessation</t>
  </si>
  <si>
    <t>Stage 5</t>
  </si>
  <si>
    <t>Stage 5 (only economic/costs)</t>
  </si>
  <si>
    <t>Includes comparison group and relevant outcomes</t>
  </si>
  <si>
    <t>No relevant outcomes</t>
  </si>
  <si>
    <t>Includes comparison and relevant outcomes</t>
  </si>
  <si>
    <t>very little relevant to outcomes we are interested in</t>
  </si>
  <si>
    <t>Includes comparison and relevant outcomes, but protocol</t>
  </si>
  <si>
    <t>includes relevant outcomes, but only protocol</t>
  </si>
  <si>
    <t>potentially some relevant outcomes, but protocol</t>
  </si>
  <si>
    <t>very little relevant to outcomes we are interested in, vague mention of health/cost benefits</t>
  </si>
  <si>
    <t>comparison and relevant outcomes (limited)</t>
  </si>
  <si>
    <t>very little we are interested in</t>
  </si>
  <si>
    <t>could have some relevant outcomes, but only protocol</t>
  </si>
  <si>
    <t>doesn't look like it includes much relevant from abstract</t>
  </si>
  <si>
    <t>includes comparison and relevant outcomes</t>
  </si>
  <si>
    <t>no relevant outcomes, protocol</t>
  </si>
  <si>
    <t>no relevant ourcomes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</si>
</sst>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rgb="FFFFFF0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0" fontId="0" fillId="0" borderId="0" xfId="0" applyAlignment="1">
      <alignment wrapText="1"/>
    </xf>
    <xf numFmtId="0" fontId="16" fillId="0" borderId="0" xfId="0" applyFont="1"/>
    <xf numFmtId="0" fontId="16" fillId="0" borderId="10" xfId="0" applyFont="1" applyBorder="1"/>
    <xf numFmtId="0" fontId="16" fillId="0" borderId="11" xfId="0" applyFont="1" applyBorder="1"/>
    <xf numFmtId="0" fontId="16" fillId="0" borderId="13" xfId="0" applyFont="1" applyBorder="1"/>
    <xf numFmtId="0" fontId="16" fillId="0" borderId="14" xfId="0" applyFont="1" applyBorder="1"/>
    <xf numFmtId="0" fontId="0" fillId="33" borderId="0" xfId="0" applyFill="1"/>
    <xf numFmtId="9" fontId="1" fillId="0" borderId="0" xfId="42" applyFont="1"/>
    <xf numFmtId="0" fontId="0" fillId="34" borderId="0" xfId="0" applyFill="1"/>
    <xf numFmtId="0" fontId="0" fillId="33" borderId="0" xfId="0" applyFill="1" applyAlignment="1">
      <alignment wrapText="1"/>
    </xf>
    <xf numFmtId="0" fontId="0" fillId="0" borderId="0" xfId="0" quotePrefix="1"/>
    <xf numFmtId="0" fontId="14" fillId="33" borderId="0" xfId="0" applyFont="1" applyFill="1"/>
    <xf numFmtId="0" fontId="19" fillId="0" borderId="0" xfId="0" applyFont="1"/>
    <xf numFmtId="0" fontId="16" fillId="0" borderId="11" xfId="0" applyFont="1" applyBorder="1" applyAlignment="1">
      <alignment horizontal="center"/>
    </xf>
    <xf numFmtId="0" fontId="16" fillId="0" borderId="12" xfId="0"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DA72D-E506-438F-8F30-A4246D4E9766}">
  <dimension ref="A1:X362"/>
  <sheetViews>
    <sheetView tabSelected="1" workbookViewId="0">
      <selection activeCell="B4" sqref="B4"/>
    </sheetView>
  </sheetViews>
  <sheetFormatPr defaultRowHeight="14.5" x14ac:dyDescent="0.35"/>
  <cols>
    <col min="5" max="10" width="8.7265625" customWidth="1"/>
    <col min="13" max="15" width="8.7265625" customWidth="1"/>
  </cols>
  <sheetData>
    <row r="1" spans="1:24" s="2" customFormat="1" ht="15" thickBot="1" x14ac:dyDescent="0.4">
      <c r="A1" s="3" t="s">
        <v>0</v>
      </c>
      <c r="B1" s="3" t="s">
        <v>1</v>
      </c>
      <c r="C1" s="3" t="s">
        <v>2</v>
      </c>
      <c r="D1" s="4" t="s">
        <v>3</v>
      </c>
      <c r="E1" s="5" t="s">
        <v>10</v>
      </c>
      <c r="F1" s="6" t="s">
        <v>11</v>
      </c>
      <c r="G1" s="5" t="s">
        <v>10</v>
      </c>
      <c r="H1" s="6" t="s">
        <v>11</v>
      </c>
      <c r="I1" s="5" t="s">
        <v>10</v>
      </c>
      <c r="J1" s="6" t="s">
        <v>11</v>
      </c>
      <c r="K1" s="5" t="s">
        <v>10</v>
      </c>
      <c r="L1" s="6" t="s">
        <v>11</v>
      </c>
      <c r="M1" s="5" t="s">
        <v>10</v>
      </c>
      <c r="N1" s="6" t="s">
        <v>11</v>
      </c>
      <c r="O1" s="5" t="s">
        <v>10</v>
      </c>
      <c r="P1" s="6" t="s">
        <v>11</v>
      </c>
      <c r="Q1" s="5" t="s">
        <v>10</v>
      </c>
      <c r="R1" s="6" t="s">
        <v>11</v>
      </c>
      <c r="V1" s="2">
        <v>1</v>
      </c>
      <c r="W1" s="8">
        <f>COUNTIF(E2:E998,"Include")/COUNTIF(E2:E998,"*")</f>
        <v>1</v>
      </c>
      <c r="X1">
        <f>COUNTIF(E2:E998,"Include")</f>
        <v>347</v>
      </c>
    </row>
    <row r="2" spans="1:24" ht="15" customHeight="1" x14ac:dyDescent="0.35">
      <c r="A2" t="s">
        <v>12</v>
      </c>
      <c r="B2">
        <v>2019</v>
      </c>
      <c r="C2" t="s">
        <v>13</v>
      </c>
      <c r="D2" t="s">
        <v>14</v>
      </c>
      <c r="E2" t="s">
        <v>15</v>
      </c>
      <c r="F2" t="s">
        <v>16</v>
      </c>
      <c r="G2" t="s">
        <v>17</v>
      </c>
      <c r="H2" t="s">
        <v>18</v>
      </c>
      <c r="I2" t="s">
        <v>15</v>
      </c>
      <c r="J2" t="s">
        <v>19</v>
      </c>
      <c r="K2" t="s">
        <v>15</v>
      </c>
      <c r="L2" t="s">
        <v>20</v>
      </c>
      <c r="M2" t="s">
        <v>15</v>
      </c>
      <c r="N2" t="s">
        <v>21</v>
      </c>
      <c r="O2" t="s">
        <v>15</v>
      </c>
      <c r="P2" t="s">
        <v>22</v>
      </c>
      <c r="Q2" t="s">
        <v>15</v>
      </c>
      <c r="R2" t="s">
        <v>23</v>
      </c>
      <c r="V2" s="2">
        <v>2</v>
      </c>
      <c r="W2" s="8">
        <f>COUNTIF(G2:G998,"Include")/COUNTIF(G2:G998,"*")</f>
        <v>0.67723342939481268</v>
      </c>
      <c r="X2">
        <f>COUNTIF(G2:G998,"Include")</f>
        <v>235</v>
      </c>
    </row>
    <row r="3" spans="1:24" ht="15" customHeight="1" x14ac:dyDescent="0.35">
      <c r="A3" t="s">
        <v>24</v>
      </c>
      <c r="B3">
        <v>2019</v>
      </c>
      <c r="C3" t="s">
        <v>25</v>
      </c>
      <c r="D3" t="s">
        <v>26</v>
      </c>
      <c r="E3" t="s">
        <v>15</v>
      </c>
      <c r="F3" t="s">
        <v>16</v>
      </c>
      <c r="G3" t="s">
        <v>17</v>
      </c>
      <c r="H3" t="s">
        <v>18</v>
      </c>
      <c r="I3" t="s">
        <v>15</v>
      </c>
      <c r="J3" t="s">
        <v>27</v>
      </c>
      <c r="K3" t="s">
        <v>15</v>
      </c>
      <c r="L3" t="s">
        <v>20</v>
      </c>
      <c r="M3" t="s">
        <v>15</v>
      </c>
      <c r="N3" t="s">
        <v>28</v>
      </c>
      <c r="O3" t="s">
        <v>17</v>
      </c>
      <c r="P3" t="s">
        <v>29</v>
      </c>
      <c r="Q3" t="s">
        <v>17</v>
      </c>
      <c r="R3" t="s">
        <v>30</v>
      </c>
      <c r="V3" s="2">
        <v>3</v>
      </c>
      <c r="W3" s="8">
        <f>COUNTIF(I2:I998,"Include")/COUNTIF(I2:I998,"*")</f>
        <v>0.93948126801152743</v>
      </c>
      <c r="X3">
        <f>COUNTIF(I2:I998,"Include")</f>
        <v>326</v>
      </c>
    </row>
    <row r="4" spans="1:24" ht="15" customHeight="1" x14ac:dyDescent="0.35">
      <c r="A4" t="s">
        <v>31</v>
      </c>
      <c r="B4">
        <v>2019</v>
      </c>
      <c r="C4" t="s">
        <v>32</v>
      </c>
      <c r="D4" t="s">
        <v>33</v>
      </c>
      <c r="E4" t="s">
        <v>15</v>
      </c>
      <c r="F4" t="s">
        <v>16</v>
      </c>
      <c r="G4" t="s">
        <v>15</v>
      </c>
      <c r="H4" t="s">
        <v>34</v>
      </c>
      <c r="I4" t="s">
        <v>15</v>
      </c>
      <c r="J4" t="s">
        <v>35</v>
      </c>
      <c r="K4" t="s">
        <v>15</v>
      </c>
      <c r="L4" t="s">
        <v>20</v>
      </c>
      <c r="M4" t="s">
        <v>15</v>
      </c>
      <c r="N4" t="s">
        <v>21</v>
      </c>
      <c r="O4" t="s">
        <v>17</v>
      </c>
      <c r="P4" t="s">
        <v>29</v>
      </c>
      <c r="Q4" t="s">
        <v>17</v>
      </c>
      <c r="R4" t="s">
        <v>30</v>
      </c>
      <c r="V4" s="2">
        <v>4</v>
      </c>
      <c r="W4" s="8">
        <f>COUNTIF(K2:K998,"Include")/COUNTIF(K2:K998,"*")</f>
        <v>0.9221902017291066</v>
      </c>
      <c r="X4">
        <f>COUNTIF(K2:K998,"Include")</f>
        <v>320</v>
      </c>
    </row>
    <row r="5" spans="1:24" ht="15" customHeight="1" x14ac:dyDescent="0.35">
      <c r="A5" t="s">
        <v>36</v>
      </c>
      <c r="B5">
        <v>2019</v>
      </c>
      <c r="C5" t="s">
        <v>37</v>
      </c>
      <c r="D5" t="s">
        <v>38</v>
      </c>
      <c r="E5" t="s">
        <v>15</v>
      </c>
      <c r="F5" t="s">
        <v>16</v>
      </c>
      <c r="G5" t="s">
        <v>15</v>
      </c>
      <c r="H5" t="s">
        <v>39</v>
      </c>
      <c r="I5" t="s">
        <v>15</v>
      </c>
      <c r="J5" t="s">
        <v>40</v>
      </c>
      <c r="K5" t="s">
        <v>15</v>
      </c>
      <c r="L5" t="s">
        <v>20</v>
      </c>
      <c r="M5" t="s">
        <v>15</v>
      </c>
      <c r="N5" t="s">
        <v>21</v>
      </c>
      <c r="O5" t="s">
        <v>15</v>
      </c>
      <c r="P5" t="s">
        <v>22</v>
      </c>
      <c r="Q5" t="s">
        <v>17</v>
      </c>
      <c r="R5" t="s">
        <v>30</v>
      </c>
      <c r="V5" s="2">
        <v>5</v>
      </c>
      <c r="W5" s="8">
        <f>COUNTIF(M2:M998,"Include")/COUNTIF(K2:K998,"*")</f>
        <v>0.68299711815561959</v>
      </c>
      <c r="X5">
        <f>COUNTIF(M2:M998,"Include")</f>
        <v>237</v>
      </c>
    </row>
    <row r="6" spans="1:24" ht="15" customHeight="1" x14ac:dyDescent="0.35">
      <c r="A6" t="s">
        <v>41</v>
      </c>
      <c r="B6">
        <v>2019</v>
      </c>
      <c r="C6" t="s">
        <v>42</v>
      </c>
      <c r="D6" t="s">
        <v>43</v>
      </c>
      <c r="E6" t="s">
        <v>15</v>
      </c>
      <c r="F6" t="s">
        <v>16</v>
      </c>
      <c r="G6" t="s">
        <v>15</v>
      </c>
      <c r="H6" t="s">
        <v>39</v>
      </c>
      <c r="I6" t="s">
        <v>15</v>
      </c>
      <c r="J6" t="s">
        <v>19</v>
      </c>
      <c r="K6" t="s">
        <v>15</v>
      </c>
      <c r="L6" t="s">
        <v>20</v>
      </c>
      <c r="M6" t="s">
        <v>15</v>
      </c>
      <c r="N6" t="s">
        <v>21</v>
      </c>
      <c r="O6" t="s">
        <v>15</v>
      </c>
      <c r="P6" t="s">
        <v>44</v>
      </c>
      <c r="Q6" t="s">
        <v>15</v>
      </c>
      <c r="R6" t="s">
        <v>45</v>
      </c>
      <c r="V6" s="2">
        <v>6</v>
      </c>
      <c r="W6" s="8">
        <f>COUNTIF(O2:O998,"Include")/COUNTIF(O2:O998,"*")</f>
        <v>0.47262247838616717</v>
      </c>
      <c r="X6">
        <f>COUNTIF(O2:O998,"Include")</f>
        <v>164</v>
      </c>
    </row>
    <row r="7" spans="1:24" ht="15" customHeight="1" x14ac:dyDescent="0.35">
      <c r="A7" t="s">
        <v>46</v>
      </c>
      <c r="B7">
        <v>2019</v>
      </c>
      <c r="C7" t="s">
        <v>47</v>
      </c>
      <c r="D7" t="s">
        <v>48</v>
      </c>
      <c r="E7" t="s">
        <v>15</v>
      </c>
      <c r="F7" t="s">
        <v>16</v>
      </c>
      <c r="G7" t="s">
        <v>15</v>
      </c>
      <c r="H7" t="s">
        <v>39</v>
      </c>
      <c r="I7" t="s">
        <v>15</v>
      </c>
      <c r="J7" t="s">
        <v>49</v>
      </c>
      <c r="K7" t="s">
        <v>15</v>
      </c>
      <c r="L7" t="s">
        <v>20</v>
      </c>
      <c r="M7" t="s">
        <v>15</v>
      </c>
      <c r="N7" t="s">
        <v>21</v>
      </c>
      <c r="O7" t="s">
        <v>15</v>
      </c>
      <c r="P7" t="s">
        <v>44</v>
      </c>
      <c r="Q7" t="s">
        <v>17</v>
      </c>
      <c r="R7" t="s">
        <v>30</v>
      </c>
      <c r="V7" s="2">
        <v>7</v>
      </c>
      <c r="W7" s="8">
        <f>COUNTIF(Q2:Q998,"Include")/COUNTIF(Q2:Q998,"*")</f>
        <v>0.11239193083573487</v>
      </c>
      <c r="X7">
        <f>COUNTIF(Q2:Q998,"Include")</f>
        <v>39</v>
      </c>
    </row>
    <row r="8" spans="1:24" ht="15" customHeight="1" x14ac:dyDescent="0.35">
      <c r="A8" t="s">
        <v>50</v>
      </c>
      <c r="B8">
        <v>2019</v>
      </c>
      <c r="C8" t="s">
        <v>51</v>
      </c>
      <c r="D8" t="s">
        <v>52</v>
      </c>
      <c r="E8" t="s">
        <v>15</v>
      </c>
      <c r="F8" t="s">
        <v>16</v>
      </c>
      <c r="G8" t="s">
        <v>15</v>
      </c>
      <c r="H8" t="s">
        <v>39</v>
      </c>
      <c r="I8" t="s">
        <v>15</v>
      </c>
      <c r="J8" t="s">
        <v>49</v>
      </c>
      <c r="K8" t="s">
        <v>15</v>
      </c>
      <c r="L8" t="s">
        <v>20</v>
      </c>
      <c r="M8" t="s">
        <v>15</v>
      </c>
      <c r="N8" t="s">
        <v>53</v>
      </c>
      <c r="O8" t="s">
        <v>15</v>
      </c>
      <c r="P8" t="s">
        <v>44</v>
      </c>
      <c r="Q8" t="s">
        <v>17</v>
      </c>
      <c r="R8" t="s">
        <v>30</v>
      </c>
    </row>
    <row r="9" spans="1:24" ht="15" customHeight="1" x14ac:dyDescent="0.35">
      <c r="A9" t="s">
        <v>54</v>
      </c>
      <c r="B9">
        <v>2019</v>
      </c>
      <c r="C9" t="s">
        <v>55</v>
      </c>
      <c r="D9" t="s">
        <v>56</v>
      </c>
      <c r="E9" t="s">
        <v>15</v>
      </c>
      <c r="F9" t="s">
        <v>16</v>
      </c>
      <c r="G9" t="s">
        <v>17</v>
      </c>
      <c r="H9" t="s">
        <v>57</v>
      </c>
      <c r="I9" t="s">
        <v>15</v>
      </c>
      <c r="J9" t="s">
        <v>58</v>
      </c>
      <c r="K9" t="s">
        <v>15</v>
      </c>
      <c r="L9" t="s">
        <v>20</v>
      </c>
      <c r="M9" t="s">
        <v>15</v>
      </c>
      <c r="N9" t="s">
        <v>21</v>
      </c>
      <c r="O9" t="s">
        <v>15</v>
      </c>
      <c r="P9" t="s">
        <v>22</v>
      </c>
      <c r="Q9" t="s">
        <v>17</v>
      </c>
      <c r="R9" t="s">
        <v>30</v>
      </c>
    </row>
    <row r="10" spans="1:24" ht="15" customHeight="1" x14ac:dyDescent="0.35">
      <c r="A10" t="s">
        <v>59</v>
      </c>
      <c r="B10">
        <v>2019</v>
      </c>
      <c r="C10" t="s">
        <v>60</v>
      </c>
      <c r="D10" t="s">
        <v>61</v>
      </c>
      <c r="E10" t="s">
        <v>15</v>
      </c>
      <c r="F10" t="s">
        <v>16</v>
      </c>
      <c r="G10" t="s">
        <v>15</v>
      </c>
      <c r="H10" t="s">
        <v>34</v>
      </c>
      <c r="I10" t="s">
        <v>15</v>
      </c>
      <c r="J10" t="s">
        <v>35</v>
      </c>
      <c r="K10" t="s">
        <v>15</v>
      </c>
      <c r="L10" t="s">
        <v>20</v>
      </c>
      <c r="M10" t="s">
        <v>15</v>
      </c>
      <c r="N10" t="s">
        <v>21</v>
      </c>
      <c r="O10" t="s">
        <v>15</v>
      </c>
      <c r="P10" t="s">
        <v>44</v>
      </c>
      <c r="Q10" t="s">
        <v>17</v>
      </c>
      <c r="R10" t="s">
        <v>30</v>
      </c>
    </row>
    <row r="11" spans="1:24" ht="15" customHeight="1" x14ac:dyDescent="0.35">
      <c r="A11" t="s">
        <v>62</v>
      </c>
      <c r="B11">
        <v>2019</v>
      </c>
      <c r="C11" t="s">
        <v>63</v>
      </c>
      <c r="D11" t="s">
        <v>64</v>
      </c>
      <c r="E11" t="s">
        <v>15</v>
      </c>
      <c r="F11" t="s">
        <v>16</v>
      </c>
      <c r="G11" t="s">
        <v>15</v>
      </c>
      <c r="H11" t="s">
        <v>65</v>
      </c>
      <c r="I11" t="s">
        <v>15</v>
      </c>
      <c r="J11" t="s">
        <v>35</v>
      </c>
      <c r="K11" t="s">
        <v>15</v>
      </c>
      <c r="L11" t="s">
        <v>20</v>
      </c>
      <c r="M11" t="s">
        <v>15</v>
      </c>
      <c r="N11" t="s">
        <v>21</v>
      </c>
      <c r="O11" t="s">
        <v>15</v>
      </c>
      <c r="P11" t="s">
        <v>44</v>
      </c>
      <c r="Q11" t="s">
        <v>17</v>
      </c>
      <c r="R11" t="s">
        <v>30</v>
      </c>
    </row>
    <row r="12" spans="1:24" ht="15" customHeight="1" x14ac:dyDescent="0.35">
      <c r="A12" t="s">
        <v>66</v>
      </c>
      <c r="B12">
        <v>2019</v>
      </c>
      <c r="C12" t="s">
        <v>67</v>
      </c>
      <c r="D12" t="s">
        <v>68</v>
      </c>
      <c r="E12" t="s">
        <v>15</v>
      </c>
      <c r="F12" t="s">
        <v>16</v>
      </c>
      <c r="G12" t="s">
        <v>17</v>
      </c>
      <c r="H12" t="s">
        <v>57</v>
      </c>
      <c r="I12" t="s">
        <v>15</v>
      </c>
      <c r="J12" t="s">
        <v>49</v>
      </c>
      <c r="K12" t="s">
        <v>15</v>
      </c>
      <c r="L12" t="s">
        <v>20</v>
      </c>
      <c r="M12" t="s">
        <v>15</v>
      </c>
      <c r="N12" t="s">
        <v>69</v>
      </c>
      <c r="O12" t="s">
        <v>17</v>
      </c>
      <c r="P12" t="s">
        <v>29</v>
      </c>
      <c r="Q12" t="s">
        <v>15</v>
      </c>
      <c r="R12" t="s">
        <v>70</v>
      </c>
    </row>
    <row r="13" spans="1:24" ht="15" customHeight="1" x14ac:dyDescent="0.35">
      <c r="A13" t="s">
        <v>71</v>
      </c>
      <c r="B13">
        <v>2019</v>
      </c>
      <c r="C13" t="s">
        <v>72</v>
      </c>
      <c r="D13" t="s">
        <v>73</v>
      </c>
      <c r="E13" t="s">
        <v>15</v>
      </c>
      <c r="F13" t="s">
        <v>16</v>
      </c>
      <c r="G13" t="s">
        <v>15</v>
      </c>
      <c r="H13" t="s">
        <v>34</v>
      </c>
      <c r="I13" t="s">
        <v>15</v>
      </c>
      <c r="J13" t="s">
        <v>74</v>
      </c>
      <c r="K13" t="s">
        <v>15</v>
      </c>
      <c r="L13" t="s">
        <v>20</v>
      </c>
      <c r="M13" t="s">
        <v>15</v>
      </c>
      <c r="N13" t="s">
        <v>21</v>
      </c>
      <c r="O13" t="s">
        <v>17</v>
      </c>
      <c r="P13" t="s">
        <v>29</v>
      </c>
      <c r="Q13" t="s">
        <v>17</v>
      </c>
      <c r="R13" t="s">
        <v>75</v>
      </c>
    </row>
    <row r="14" spans="1:24" s="7" customFormat="1" ht="15" customHeight="1" x14ac:dyDescent="0.35">
      <c r="A14" s="7" t="s">
        <v>76</v>
      </c>
      <c r="B14" s="7">
        <v>2019</v>
      </c>
      <c r="C14" s="7" t="s">
        <v>77</v>
      </c>
      <c r="D14" s="7" t="s">
        <v>78</v>
      </c>
      <c r="H14"/>
      <c r="M14"/>
      <c r="V14"/>
      <c r="W14"/>
      <c r="X14"/>
    </row>
    <row r="15" spans="1:24" ht="15" customHeight="1" x14ac:dyDescent="0.35">
      <c r="A15" t="s">
        <v>79</v>
      </c>
      <c r="B15">
        <v>2019</v>
      </c>
      <c r="C15" t="s">
        <v>80</v>
      </c>
      <c r="D15" t="s">
        <v>81</v>
      </c>
      <c r="E15" t="s">
        <v>15</v>
      </c>
      <c r="F15" t="s">
        <v>16</v>
      </c>
      <c r="G15" t="s">
        <v>15</v>
      </c>
      <c r="H15" t="s">
        <v>39</v>
      </c>
      <c r="I15" t="s">
        <v>15</v>
      </c>
      <c r="J15" t="s">
        <v>49</v>
      </c>
      <c r="K15" t="s">
        <v>15</v>
      </c>
      <c r="L15" t="s">
        <v>20</v>
      </c>
      <c r="M15" t="s">
        <v>15</v>
      </c>
      <c r="N15" t="s">
        <v>21</v>
      </c>
      <c r="O15" t="s">
        <v>17</v>
      </c>
      <c r="P15" t="s">
        <v>29</v>
      </c>
      <c r="Q15" t="s">
        <v>17</v>
      </c>
      <c r="R15" t="s">
        <v>82</v>
      </c>
      <c r="V15" s="7"/>
      <c r="W15" s="7"/>
      <c r="X15" s="7"/>
    </row>
    <row r="16" spans="1:24" ht="15" customHeight="1" x14ac:dyDescent="0.35">
      <c r="A16" t="s">
        <v>83</v>
      </c>
      <c r="B16">
        <v>2019</v>
      </c>
      <c r="C16" t="s">
        <v>84</v>
      </c>
      <c r="D16" t="s">
        <v>85</v>
      </c>
      <c r="E16" t="s">
        <v>15</v>
      </c>
      <c r="F16" t="s">
        <v>16</v>
      </c>
      <c r="G16" t="s">
        <v>15</v>
      </c>
      <c r="H16" t="s">
        <v>39</v>
      </c>
      <c r="I16" t="s">
        <v>15</v>
      </c>
      <c r="J16" t="s">
        <v>49</v>
      </c>
      <c r="K16" t="s">
        <v>15</v>
      </c>
      <c r="L16" t="s">
        <v>20</v>
      </c>
      <c r="M16" t="s">
        <v>17</v>
      </c>
      <c r="N16" t="s">
        <v>86</v>
      </c>
      <c r="O16" t="s">
        <v>17</v>
      </c>
      <c r="P16" t="s">
        <v>29</v>
      </c>
      <c r="Q16" t="s">
        <v>17</v>
      </c>
      <c r="R16" t="s">
        <v>30</v>
      </c>
    </row>
    <row r="17" spans="1:18" ht="15" customHeight="1" x14ac:dyDescent="0.35">
      <c r="A17" t="s">
        <v>87</v>
      </c>
      <c r="B17">
        <v>2019</v>
      </c>
      <c r="C17" t="s">
        <v>88</v>
      </c>
      <c r="D17" t="s">
        <v>89</v>
      </c>
      <c r="E17" t="s">
        <v>15</v>
      </c>
      <c r="F17" t="s">
        <v>16</v>
      </c>
      <c r="G17" t="s">
        <v>15</v>
      </c>
      <c r="H17" t="s">
        <v>34</v>
      </c>
      <c r="I17" t="s">
        <v>15</v>
      </c>
      <c r="J17" t="s">
        <v>90</v>
      </c>
      <c r="K17" t="s">
        <v>15</v>
      </c>
      <c r="L17" t="s">
        <v>20</v>
      </c>
      <c r="M17" t="s">
        <v>15</v>
      </c>
      <c r="N17" t="s">
        <v>21</v>
      </c>
      <c r="O17" t="s">
        <v>15</v>
      </c>
      <c r="P17" t="s">
        <v>91</v>
      </c>
      <c r="Q17" t="s">
        <v>15</v>
      </c>
      <c r="R17" t="s">
        <v>92</v>
      </c>
    </row>
    <row r="18" spans="1:18" ht="15" customHeight="1" x14ac:dyDescent="0.35">
      <c r="A18" t="s">
        <v>93</v>
      </c>
      <c r="B18">
        <v>2019</v>
      </c>
      <c r="C18" t="s">
        <v>94</v>
      </c>
      <c r="D18" t="s">
        <v>95</v>
      </c>
      <c r="E18" t="s">
        <v>15</v>
      </c>
      <c r="F18" t="s">
        <v>16</v>
      </c>
      <c r="G18" t="s">
        <v>15</v>
      </c>
      <c r="H18" t="s">
        <v>39</v>
      </c>
      <c r="I18" t="s">
        <v>15</v>
      </c>
      <c r="J18" t="s">
        <v>58</v>
      </c>
      <c r="K18" t="s">
        <v>15</v>
      </c>
      <c r="L18" t="s">
        <v>20</v>
      </c>
      <c r="M18" t="s">
        <v>15</v>
      </c>
      <c r="N18" t="s">
        <v>21</v>
      </c>
      <c r="O18" t="s">
        <v>15</v>
      </c>
      <c r="P18" t="s">
        <v>22</v>
      </c>
      <c r="Q18" t="s">
        <v>17</v>
      </c>
      <c r="R18" t="s">
        <v>30</v>
      </c>
    </row>
    <row r="19" spans="1:18" ht="15" customHeight="1" x14ac:dyDescent="0.35">
      <c r="A19" t="s">
        <v>96</v>
      </c>
      <c r="B19">
        <v>2019</v>
      </c>
      <c r="C19" t="s">
        <v>97</v>
      </c>
      <c r="D19" t="s">
        <v>98</v>
      </c>
      <c r="E19" t="s">
        <v>15</v>
      </c>
      <c r="F19" t="s">
        <v>16</v>
      </c>
      <c r="G19" t="s">
        <v>17</v>
      </c>
      <c r="H19" t="s">
        <v>99</v>
      </c>
      <c r="I19" t="s">
        <v>15</v>
      </c>
      <c r="J19" t="s">
        <v>100</v>
      </c>
      <c r="K19" t="s">
        <v>15</v>
      </c>
      <c r="L19" t="s">
        <v>20</v>
      </c>
      <c r="M19" t="s">
        <v>15</v>
      </c>
      <c r="N19" t="s">
        <v>21</v>
      </c>
      <c r="O19" t="s">
        <v>17</v>
      </c>
      <c r="P19" t="s">
        <v>29</v>
      </c>
      <c r="Q19" t="s">
        <v>17</v>
      </c>
      <c r="R19" t="s">
        <v>30</v>
      </c>
    </row>
    <row r="20" spans="1:18" ht="15" customHeight="1" x14ac:dyDescent="0.35">
      <c r="A20" t="s">
        <v>101</v>
      </c>
      <c r="B20">
        <v>2019</v>
      </c>
      <c r="C20" t="s">
        <v>102</v>
      </c>
      <c r="D20" t="s">
        <v>103</v>
      </c>
      <c r="E20" t="s">
        <v>15</v>
      </c>
      <c r="F20" t="s">
        <v>16</v>
      </c>
      <c r="G20" t="s">
        <v>17</v>
      </c>
      <c r="H20" t="s">
        <v>18</v>
      </c>
      <c r="I20" t="s">
        <v>15</v>
      </c>
      <c r="J20" t="s">
        <v>100</v>
      </c>
      <c r="K20" t="s">
        <v>15</v>
      </c>
      <c r="L20" t="s">
        <v>20</v>
      </c>
      <c r="M20" t="s">
        <v>15</v>
      </c>
      <c r="N20" t="s">
        <v>28</v>
      </c>
      <c r="O20" t="s">
        <v>17</v>
      </c>
      <c r="P20" t="s">
        <v>29</v>
      </c>
      <c r="Q20" t="s">
        <v>17</v>
      </c>
      <c r="R20" t="s">
        <v>30</v>
      </c>
    </row>
    <row r="21" spans="1:18" ht="15" customHeight="1" x14ac:dyDescent="0.35">
      <c r="A21" t="s">
        <v>104</v>
      </c>
      <c r="B21">
        <v>2019</v>
      </c>
      <c r="C21" t="s">
        <v>105</v>
      </c>
      <c r="D21" t="s">
        <v>106</v>
      </c>
      <c r="E21" t="s">
        <v>15</v>
      </c>
      <c r="F21" t="s">
        <v>16</v>
      </c>
      <c r="G21" t="s">
        <v>17</v>
      </c>
      <c r="H21" t="s">
        <v>18</v>
      </c>
      <c r="I21" t="s">
        <v>15</v>
      </c>
      <c r="J21" t="s">
        <v>100</v>
      </c>
      <c r="K21" t="s">
        <v>15</v>
      </c>
      <c r="L21" t="s">
        <v>20</v>
      </c>
      <c r="M21" t="s">
        <v>15</v>
      </c>
      <c r="N21" t="s">
        <v>21</v>
      </c>
      <c r="O21" t="s">
        <v>17</v>
      </c>
      <c r="P21" t="s">
        <v>29</v>
      </c>
      <c r="Q21" t="s">
        <v>17</v>
      </c>
      <c r="R21" t="s">
        <v>30</v>
      </c>
    </row>
    <row r="22" spans="1:18" ht="15" customHeight="1" x14ac:dyDescent="0.35">
      <c r="A22" t="s">
        <v>107</v>
      </c>
      <c r="B22">
        <v>2019</v>
      </c>
      <c r="C22" t="s">
        <v>108</v>
      </c>
      <c r="D22" t="s">
        <v>109</v>
      </c>
      <c r="E22" t="s">
        <v>15</v>
      </c>
      <c r="F22" t="s">
        <v>16</v>
      </c>
      <c r="G22" t="s">
        <v>15</v>
      </c>
      <c r="H22" t="s">
        <v>34</v>
      </c>
      <c r="I22" t="s">
        <v>15</v>
      </c>
      <c r="J22" t="s">
        <v>35</v>
      </c>
      <c r="K22" t="s">
        <v>15</v>
      </c>
      <c r="L22" t="s">
        <v>20</v>
      </c>
      <c r="M22" t="s">
        <v>15</v>
      </c>
      <c r="N22" t="s">
        <v>21</v>
      </c>
      <c r="O22" t="s">
        <v>17</v>
      </c>
      <c r="P22" t="s">
        <v>29</v>
      </c>
      <c r="Q22" t="s">
        <v>15</v>
      </c>
      <c r="R22" t="s">
        <v>110</v>
      </c>
    </row>
    <row r="23" spans="1:18" ht="15" customHeight="1" x14ac:dyDescent="0.35">
      <c r="A23" t="s">
        <v>111</v>
      </c>
      <c r="B23">
        <v>2019</v>
      </c>
      <c r="C23" t="s">
        <v>112</v>
      </c>
      <c r="D23" t="s">
        <v>113</v>
      </c>
      <c r="E23" t="s">
        <v>15</v>
      </c>
      <c r="F23" t="s">
        <v>16</v>
      </c>
      <c r="G23" t="s">
        <v>15</v>
      </c>
      <c r="H23" t="s">
        <v>65</v>
      </c>
      <c r="I23" t="s">
        <v>15</v>
      </c>
      <c r="J23" t="s">
        <v>35</v>
      </c>
      <c r="K23" t="s">
        <v>15</v>
      </c>
      <c r="L23" t="s">
        <v>20</v>
      </c>
      <c r="M23" t="s">
        <v>15</v>
      </c>
      <c r="N23" t="s">
        <v>21</v>
      </c>
      <c r="O23" t="s">
        <v>15</v>
      </c>
      <c r="P23" t="s">
        <v>44</v>
      </c>
      <c r="Q23" t="s">
        <v>17</v>
      </c>
      <c r="R23" t="s">
        <v>30</v>
      </c>
    </row>
    <row r="24" spans="1:18" ht="15" customHeight="1" x14ac:dyDescent="0.35">
      <c r="A24" t="s">
        <v>114</v>
      </c>
      <c r="B24">
        <v>2019</v>
      </c>
      <c r="C24" t="s">
        <v>115</v>
      </c>
      <c r="D24" t="s">
        <v>116</v>
      </c>
      <c r="E24" t="s">
        <v>15</v>
      </c>
      <c r="F24" t="s">
        <v>16</v>
      </c>
      <c r="G24" t="s">
        <v>15</v>
      </c>
      <c r="H24" t="s">
        <v>117</v>
      </c>
      <c r="I24" t="s">
        <v>15</v>
      </c>
      <c r="J24" t="s">
        <v>35</v>
      </c>
      <c r="K24" t="s">
        <v>15</v>
      </c>
      <c r="L24" t="s">
        <v>20</v>
      </c>
      <c r="M24" t="s">
        <v>15</v>
      </c>
      <c r="N24" t="s">
        <v>21</v>
      </c>
      <c r="O24" t="s">
        <v>17</v>
      </c>
      <c r="P24" t="s">
        <v>29</v>
      </c>
      <c r="Q24" t="s">
        <v>17</v>
      </c>
      <c r="R24" t="s">
        <v>118</v>
      </c>
    </row>
    <row r="25" spans="1:18" ht="15" customHeight="1" x14ac:dyDescent="0.35">
      <c r="A25" t="s">
        <v>119</v>
      </c>
      <c r="B25">
        <v>2019</v>
      </c>
      <c r="C25" t="s">
        <v>120</v>
      </c>
      <c r="D25" t="s">
        <v>121</v>
      </c>
      <c r="E25" t="s">
        <v>15</v>
      </c>
      <c r="F25" t="s">
        <v>16</v>
      </c>
      <c r="G25" t="s">
        <v>15</v>
      </c>
      <c r="H25" t="s">
        <v>39</v>
      </c>
      <c r="I25" t="s">
        <v>15</v>
      </c>
      <c r="J25" t="s">
        <v>49</v>
      </c>
      <c r="K25" t="s">
        <v>15</v>
      </c>
      <c r="L25" t="s">
        <v>20</v>
      </c>
      <c r="M25" t="s">
        <v>15</v>
      </c>
      <c r="N25" t="s">
        <v>122</v>
      </c>
      <c r="O25" t="s">
        <v>15</v>
      </c>
      <c r="P25" t="s">
        <v>22</v>
      </c>
      <c r="Q25" t="s">
        <v>17</v>
      </c>
      <c r="R25" t="s">
        <v>30</v>
      </c>
    </row>
    <row r="26" spans="1:18" ht="15" customHeight="1" x14ac:dyDescent="0.35">
      <c r="A26" t="s">
        <v>123</v>
      </c>
      <c r="B26">
        <v>2019</v>
      </c>
      <c r="C26" t="s">
        <v>124</v>
      </c>
      <c r="D26" t="s">
        <v>125</v>
      </c>
      <c r="E26" t="s">
        <v>15</v>
      </c>
      <c r="F26" t="s">
        <v>16</v>
      </c>
      <c r="G26" t="s">
        <v>15</v>
      </c>
      <c r="H26" t="s">
        <v>39</v>
      </c>
      <c r="I26" t="s">
        <v>15</v>
      </c>
      <c r="J26" t="s">
        <v>49</v>
      </c>
      <c r="K26" t="s">
        <v>15</v>
      </c>
      <c r="L26" t="s">
        <v>20</v>
      </c>
      <c r="M26" t="s">
        <v>15</v>
      </c>
      <c r="N26" t="s">
        <v>53</v>
      </c>
      <c r="O26" t="s">
        <v>15</v>
      </c>
      <c r="P26" t="s">
        <v>22</v>
      </c>
      <c r="Q26" t="s">
        <v>17</v>
      </c>
      <c r="R26" t="s">
        <v>30</v>
      </c>
    </row>
    <row r="27" spans="1:18" ht="15" customHeight="1" x14ac:dyDescent="0.35">
      <c r="A27" t="s">
        <v>126</v>
      </c>
      <c r="B27">
        <v>2019</v>
      </c>
      <c r="C27" t="s">
        <v>127</v>
      </c>
      <c r="D27" t="s">
        <v>128</v>
      </c>
      <c r="E27" t="s">
        <v>15</v>
      </c>
      <c r="F27" t="s">
        <v>16</v>
      </c>
      <c r="G27" t="s">
        <v>15</v>
      </c>
      <c r="H27" t="s">
        <v>34</v>
      </c>
      <c r="I27" t="s">
        <v>15</v>
      </c>
      <c r="J27" t="s">
        <v>129</v>
      </c>
      <c r="K27" t="s">
        <v>15</v>
      </c>
      <c r="L27" t="s">
        <v>20</v>
      </c>
      <c r="M27" t="s">
        <v>17</v>
      </c>
      <c r="N27" t="s">
        <v>130</v>
      </c>
      <c r="O27" t="s">
        <v>15</v>
      </c>
      <c r="P27" t="s">
        <v>22</v>
      </c>
      <c r="Q27" t="s">
        <v>17</v>
      </c>
      <c r="R27" t="s">
        <v>30</v>
      </c>
    </row>
    <row r="28" spans="1:18" ht="15" customHeight="1" x14ac:dyDescent="0.35">
      <c r="A28" t="s">
        <v>131</v>
      </c>
      <c r="B28">
        <v>2019</v>
      </c>
      <c r="C28" t="s">
        <v>132</v>
      </c>
      <c r="D28" t="s">
        <v>133</v>
      </c>
      <c r="E28" t="s">
        <v>15</v>
      </c>
      <c r="F28" t="s">
        <v>16</v>
      </c>
      <c r="G28" t="s">
        <v>17</v>
      </c>
      <c r="H28" t="s">
        <v>99</v>
      </c>
      <c r="I28" t="s">
        <v>17</v>
      </c>
      <c r="J28" t="s">
        <v>134</v>
      </c>
      <c r="K28" t="s">
        <v>15</v>
      </c>
      <c r="L28" t="s">
        <v>20</v>
      </c>
      <c r="M28" t="s">
        <v>17</v>
      </c>
      <c r="N28" t="s">
        <v>135</v>
      </c>
      <c r="O28" t="s">
        <v>15</v>
      </c>
      <c r="P28" t="s">
        <v>136</v>
      </c>
      <c r="Q28" t="s">
        <v>17</v>
      </c>
      <c r="R28" t="s">
        <v>30</v>
      </c>
    </row>
    <row r="29" spans="1:18" ht="15" customHeight="1" x14ac:dyDescent="0.35">
      <c r="A29" t="s">
        <v>137</v>
      </c>
      <c r="B29">
        <v>2019</v>
      </c>
      <c r="C29" t="s">
        <v>138</v>
      </c>
      <c r="D29" t="s">
        <v>139</v>
      </c>
      <c r="E29" t="s">
        <v>15</v>
      </c>
      <c r="F29" t="s">
        <v>16</v>
      </c>
      <c r="G29" t="s">
        <v>15</v>
      </c>
      <c r="H29" t="s">
        <v>34</v>
      </c>
      <c r="I29" t="s">
        <v>15</v>
      </c>
      <c r="J29" t="s">
        <v>49</v>
      </c>
      <c r="K29" t="s">
        <v>15</v>
      </c>
      <c r="L29" t="s">
        <v>20</v>
      </c>
      <c r="M29" t="s">
        <v>15</v>
      </c>
      <c r="N29" t="s">
        <v>53</v>
      </c>
      <c r="O29" t="s">
        <v>17</v>
      </c>
      <c r="P29" t="s">
        <v>29</v>
      </c>
      <c r="Q29" t="s">
        <v>17</v>
      </c>
      <c r="R29" t="s">
        <v>30</v>
      </c>
    </row>
    <row r="30" spans="1:18" ht="15" customHeight="1" x14ac:dyDescent="0.35">
      <c r="A30" t="s">
        <v>140</v>
      </c>
      <c r="B30">
        <v>2019</v>
      </c>
      <c r="C30" t="s">
        <v>141</v>
      </c>
      <c r="D30" t="s">
        <v>142</v>
      </c>
      <c r="E30" t="s">
        <v>15</v>
      </c>
      <c r="F30" t="s">
        <v>16</v>
      </c>
      <c r="G30" t="s">
        <v>15</v>
      </c>
      <c r="H30" t="s">
        <v>39</v>
      </c>
      <c r="I30" t="s">
        <v>15</v>
      </c>
      <c r="J30" t="s">
        <v>49</v>
      </c>
      <c r="K30" t="s">
        <v>15</v>
      </c>
      <c r="L30" t="s">
        <v>20</v>
      </c>
      <c r="M30" t="s">
        <v>15</v>
      </c>
      <c r="N30" t="s">
        <v>21</v>
      </c>
      <c r="O30" t="s">
        <v>17</v>
      </c>
      <c r="P30" t="s">
        <v>29</v>
      </c>
      <c r="Q30" t="s">
        <v>17</v>
      </c>
      <c r="R30" t="s">
        <v>30</v>
      </c>
    </row>
    <row r="31" spans="1:18" ht="15" customHeight="1" x14ac:dyDescent="0.35">
      <c r="A31" t="s">
        <v>143</v>
      </c>
      <c r="B31">
        <v>2019</v>
      </c>
      <c r="C31" t="s">
        <v>144</v>
      </c>
      <c r="D31" t="s">
        <v>145</v>
      </c>
      <c r="E31" t="s">
        <v>15</v>
      </c>
      <c r="F31" t="s">
        <v>16</v>
      </c>
      <c r="G31" t="s">
        <v>15</v>
      </c>
      <c r="H31" t="s">
        <v>39</v>
      </c>
      <c r="I31" t="s">
        <v>15</v>
      </c>
      <c r="J31" t="s">
        <v>49</v>
      </c>
      <c r="K31" t="s">
        <v>15</v>
      </c>
      <c r="L31" t="s">
        <v>20</v>
      </c>
      <c r="M31" t="s">
        <v>15</v>
      </c>
      <c r="N31" t="s">
        <v>21</v>
      </c>
      <c r="O31" t="s">
        <v>17</v>
      </c>
      <c r="P31" t="s">
        <v>29</v>
      </c>
      <c r="Q31" t="s">
        <v>17</v>
      </c>
      <c r="R31" t="s">
        <v>146</v>
      </c>
    </row>
    <row r="32" spans="1:18" ht="15" customHeight="1" x14ac:dyDescent="0.35">
      <c r="A32" t="s">
        <v>147</v>
      </c>
      <c r="B32">
        <v>2019</v>
      </c>
      <c r="C32" t="s">
        <v>148</v>
      </c>
      <c r="D32" t="s">
        <v>149</v>
      </c>
      <c r="E32" t="s">
        <v>15</v>
      </c>
      <c r="F32" t="s">
        <v>16</v>
      </c>
      <c r="G32" t="s">
        <v>15</v>
      </c>
      <c r="H32" t="s">
        <v>39</v>
      </c>
      <c r="I32" t="s">
        <v>15</v>
      </c>
      <c r="J32" t="s">
        <v>49</v>
      </c>
      <c r="K32" t="s">
        <v>15</v>
      </c>
      <c r="L32" t="s">
        <v>20</v>
      </c>
      <c r="M32" t="s">
        <v>15</v>
      </c>
      <c r="N32" t="s">
        <v>53</v>
      </c>
      <c r="O32" t="s">
        <v>17</v>
      </c>
      <c r="P32" t="s">
        <v>29</v>
      </c>
      <c r="Q32" t="s">
        <v>17</v>
      </c>
      <c r="R32" t="s">
        <v>30</v>
      </c>
    </row>
    <row r="33" spans="1:18" ht="15" customHeight="1" x14ac:dyDescent="0.35">
      <c r="A33" t="s">
        <v>150</v>
      </c>
      <c r="B33">
        <v>2019</v>
      </c>
      <c r="C33" t="s">
        <v>151</v>
      </c>
      <c r="D33" t="s">
        <v>152</v>
      </c>
      <c r="E33" t="s">
        <v>15</v>
      </c>
      <c r="F33" t="s">
        <v>16</v>
      </c>
      <c r="G33" t="s">
        <v>17</v>
      </c>
      <c r="H33" t="s">
        <v>153</v>
      </c>
      <c r="I33" t="s">
        <v>17</v>
      </c>
      <c r="J33" t="s">
        <v>154</v>
      </c>
      <c r="K33" t="s">
        <v>15</v>
      </c>
      <c r="L33" t="s">
        <v>20</v>
      </c>
      <c r="M33" t="s">
        <v>17</v>
      </c>
      <c r="N33" t="s">
        <v>130</v>
      </c>
      <c r="O33" t="s">
        <v>17</v>
      </c>
      <c r="P33" t="s">
        <v>29</v>
      </c>
      <c r="Q33" t="s">
        <v>17</v>
      </c>
      <c r="R33" t="s">
        <v>30</v>
      </c>
    </row>
    <row r="34" spans="1:18" ht="15" customHeight="1" x14ac:dyDescent="0.35">
      <c r="A34" t="s">
        <v>155</v>
      </c>
      <c r="B34">
        <v>2019</v>
      </c>
      <c r="C34" t="s">
        <v>156</v>
      </c>
      <c r="D34" t="s">
        <v>157</v>
      </c>
      <c r="E34" t="s">
        <v>15</v>
      </c>
      <c r="F34" t="s">
        <v>16</v>
      </c>
      <c r="G34" t="s">
        <v>15</v>
      </c>
      <c r="H34" t="s">
        <v>34</v>
      </c>
      <c r="I34" t="s">
        <v>15</v>
      </c>
      <c r="J34" t="s">
        <v>35</v>
      </c>
      <c r="K34" t="s">
        <v>15</v>
      </c>
      <c r="L34" t="s">
        <v>20</v>
      </c>
      <c r="M34" t="s">
        <v>17</v>
      </c>
      <c r="N34" t="s">
        <v>158</v>
      </c>
      <c r="O34" t="s">
        <v>17</v>
      </c>
      <c r="P34" t="s">
        <v>29</v>
      </c>
      <c r="Q34" t="s">
        <v>17</v>
      </c>
      <c r="R34" t="s">
        <v>30</v>
      </c>
    </row>
    <row r="35" spans="1:18" ht="15" customHeight="1" x14ac:dyDescent="0.35">
      <c r="A35" t="s">
        <v>159</v>
      </c>
      <c r="B35">
        <v>2019</v>
      </c>
      <c r="C35" t="s">
        <v>160</v>
      </c>
      <c r="D35" t="s">
        <v>161</v>
      </c>
      <c r="E35" t="s">
        <v>15</v>
      </c>
      <c r="F35" t="s">
        <v>16</v>
      </c>
      <c r="G35" t="s">
        <v>15</v>
      </c>
      <c r="H35" t="s">
        <v>39</v>
      </c>
      <c r="I35" t="s">
        <v>15</v>
      </c>
      <c r="J35" t="s">
        <v>90</v>
      </c>
      <c r="K35" t="s">
        <v>17</v>
      </c>
      <c r="L35" t="s">
        <v>162</v>
      </c>
      <c r="M35" t="s">
        <v>17</v>
      </c>
      <c r="N35" t="s">
        <v>163</v>
      </c>
      <c r="O35" t="s">
        <v>15</v>
      </c>
      <c r="P35" t="s">
        <v>91</v>
      </c>
      <c r="Q35" t="s">
        <v>17</v>
      </c>
      <c r="R35" t="s">
        <v>164</v>
      </c>
    </row>
    <row r="36" spans="1:18" ht="15" customHeight="1" x14ac:dyDescent="0.35">
      <c r="A36" t="s">
        <v>165</v>
      </c>
      <c r="B36">
        <v>2019</v>
      </c>
      <c r="C36" t="s">
        <v>166</v>
      </c>
      <c r="D36" s="1" t="s">
        <v>167</v>
      </c>
      <c r="E36" t="s">
        <v>15</v>
      </c>
      <c r="F36" t="s">
        <v>16</v>
      </c>
      <c r="G36" t="s">
        <v>15</v>
      </c>
      <c r="H36" t="s">
        <v>34</v>
      </c>
      <c r="I36" t="s">
        <v>15</v>
      </c>
      <c r="J36" t="s">
        <v>35</v>
      </c>
      <c r="K36" t="s">
        <v>15</v>
      </c>
      <c r="L36" t="s">
        <v>20</v>
      </c>
      <c r="M36" t="s">
        <v>15</v>
      </c>
      <c r="N36" t="s">
        <v>53</v>
      </c>
      <c r="O36" t="s">
        <v>15</v>
      </c>
      <c r="P36" t="s">
        <v>168</v>
      </c>
      <c r="Q36" t="s">
        <v>17</v>
      </c>
      <c r="R36" t="s">
        <v>30</v>
      </c>
    </row>
    <row r="37" spans="1:18" ht="15" customHeight="1" x14ac:dyDescent="0.35">
      <c r="A37" t="s">
        <v>169</v>
      </c>
      <c r="B37">
        <v>2019</v>
      </c>
      <c r="C37" t="s">
        <v>170</v>
      </c>
      <c r="D37" t="s">
        <v>171</v>
      </c>
      <c r="E37" t="s">
        <v>15</v>
      </c>
      <c r="F37" t="s">
        <v>16</v>
      </c>
      <c r="G37" t="s">
        <v>15</v>
      </c>
      <c r="H37" t="s">
        <v>39</v>
      </c>
      <c r="I37" t="s">
        <v>15</v>
      </c>
      <c r="J37" t="s">
        <v>58</v>
      </c>
      <c r="K37" t="s">
        <v>15</v>
      </c>
      <c r="L37" t="s">
        <v>20</v>
      </c>
      <c r="M37" t="s">
        <v>15</v>
      </c>
      <c r="N37" t="s">
        <v>53</v>
      </c>
      <c r="O37" t="s">
        <v>15</v>
      </c>
      <c r="P37" t="s">
        <v>22</v>
      </c>
      <c r="Q37" t="s">
        <v>17</v>
      </c>
      <c r="R37" t="s">
        <v>30</v>
      </c>
    </row>
    <row r="38" spans="1:18" ht="15" customHeight="1" x14ac:dyDescent="0.35">
      <c r="A38" t="s">
        <v>172</v>
      </c>
      <c r="B38">
        <v>2019</v>
      </c>
      <c r="C38" t="s">
        <v>173</v>
      </c>
      <c r="D38" t="s">
        <v>174</v>
      </c>
      <c r="E38" t="s">
        <v>15</v>
      </c>
      <c r="F38" t="s">
        <v>16</v>
      </c>
      <c r="G38" t="s">
        <v>15</v>
      </c>
      <c r="H38" t="s">
        <v>175</v>
      </c>
      <c r="I38" t="s">
        <v>15</v>
      </c>
      <c r="J38" t="s">
        <v>35</v>
      </c>
      <c r="K38" t="s">
        <v>15</v>
      </c>
      <c r="L38" t="s">
        <v>20</v>
      </c>
      <c r="M38" t="s">
        <v>15</v>
      </c>
      <c r="N38" t="s">
        <v>21</v>
      </c>
      <c r="O38" t="s">
        <v>17</v>
      </c>
      <c r="P38" t="s">
        <v>29</v>
      </c>
      <c r="Q38" t="s">
        <v>15</v>
      </c>
      <c r="R38" t="s">
        <v>92</v>
      </c>
    </row>
    <row r="39" spans="1:18" ht="15" customHeight="1" x14ac:dyDescent="0.35">
      <c r="A39" t="s">
        <v>176</v>
      </c>
      <c r="B39">
        <v>2019</v>
      </c>
      <c r="C39" t="s">
        <v>177</v>
      </c>
      <c r="D39" t="s">
        <v>178</v>
      </c>
      <c r="E39" t="s">
        <v>15</v>
      </c>
      <c r="F39" t="s">
        <v>16</v>
      </c>
      <c r="G39" t="s">
        <v>15</v>
      </c>
      <c r="H39" t="s">
        <v>34</v>
      </c>
      <c r="I39" t="s">
        <v>15</v>
      </c>
      <c r="J39" t="s">
        <v>74</v>
      </c>
      <c r="K39" t="s">
        <v>15</v>
      </c>
      <c r="L39" t="s">
        <v>20</v>
      </c>
      <c r="M39" t="s">
        <v>15</v>
      </c>
      <c r="N39" t="s">
        <v>21</v>
      </c>
      <c r="O39" t="s">
        <v>15</v>
      </c>
      <c r="P39" t="s">
        <v>22</v>
      </c>
      <c r="Q39" t="s">
        <v>17</v>
      </c>
      <c r="R39" t="s">
        <v>179</v>
      </c>
    </row>
    <row r="40" spans="1:18" ht="15" customHeight="1" x14ac:dyDescent="0.35">
      <c r="A40" t="s">
        <v>180</v>
      </c>
      <c r="B40">
        <v>2019</v>
      </c>
      <c r="C40" t="s">
        <v>181</v>
      </c>
      <c r="D40" t="s">
        <v>182</v>
      </c>
      <c r="E40" t="s">
        <v>15</v>
      </c>
      <c r="F40" t="s">
        <v>16</v>
      </c>
      <c r="G40" t="s">
        <v>17</v>
      </c>
      <c r="H40" t="s">
        <v>57</v>
      </c>
      <c r="I40" t="s">
        <v>17</v>
      </c>
      <c r="J40" t="s">
        <v>183</v>
      </c>
      <c r="K40" t="s">
        <v>15</v>
      </c>
      <c r="L40" t="s">
        <v>20</v>
      </c>
      <c r="M40" t="s">
        <v>17</v>
      </c>
      <c r="N40" t="s">
        <v>184</v>
      </c>
      <c r="O40" t="s">
        <v>17</v>
      </c>
      <c r="P40" t="s">
        <v>29</v>
      </c>
      <c r="Q40" t="s">
        <v>17</v>
      </c>
      <c r="R40" t="s">
        <v>30</v>
      </c>
    </row>
    <row r="41" spans="1:18" ht="15" customHeight="1" x14ac:dyDescent="0.35">
      <c r="A41" t="s">
        <v>185</v>
      </c>
      <c r="B41">
        <v>2019</v>
      </c>
      <c r="C41" t="s">
        <v>186</v>
      </c>
      <c r="D41" t="s">
        <v>187</v>
      </c>
      <c r="E41" t="s">
        <v>15</v>
      </c>
      <c r="F41" t="s">
        <v>16</v>
      </c>
      <c r="G41" t="s">
        <v>17</v>
      </c>
      <c r="H41" t="s">
        <v>188</v>
      </c>
      <c r="I41" t="s">
        <v>17</v>
      </c>
      <c r="J41" t="s">
        <v>189</v>
      </c>
      <c r="K41" t="s">
        <v>15</v>
      </c>
      <c r="L41" t="s">
        <v>20</v>
      </c>
      <c r="M41" t="s">
        <v>17</v>
      </c>
      <c r="N41" t="s">
        <v>184</v>
      </c>
      <c r="O41" t="s">
        <v>17</v>
      </c>
      <c r="P41" t="s">
        <v>29</v>
      </c>
      <c r="Q41" t="s">
        <v>17</v>
      </c>
      <c r="R41" t="s">
        <v>189</v>
      </c>
    </row>
    <row r="42" spans="1:18" ht="15" customHeight="1" x14ac:dyDescent="0.35">
      <c r="A42" t="s">
        <v>190</v>
      </c>
      <c r="B42">
        <v>2019</v>
      </c>
      <c r="C42" t="s">
        <v>191</v>
      </c>
      <c r="D42" t="s">
        <v>192</v>
      </c>
      <c r="E42" t="s">
        <v>15</v>
      </c>
      <c r="F42" t="s">
        <v>16</v>
      </c>
      <c r="G42" t="s">
        <v>15</v>
      </c>
      <c r="H42" t="s">
        <v>39</v>
      </c>
      <c r="I42" t="s">
        <v>15</v>
      </c>
      <c r="J42" t="s">
        <v>193</v>
      </c>
      <c r="K42" t="s">
        <v>15</v>
      </c>
      <c r="L42" t="s">
        <v>20</v>
      </c>
      <c r="M42" t="s">
        <v>17</v>
      </c>
      <c r="N42" t="s">
        <v>184</v>
      </c>
      <c r="O42" t="s">
        <v>17</v>
      </c>
      <c r="P42" t="s">
        <v>29</v>
      </c>
      <c r="Q42" t="s">
        <v>17</v>
      </c>
      <c r="R42" t="s">
        <v>30</v>
      </c>
    </row>
    <row r="43" spans="1:18" ht="15" customHeight="1" x14ac:dyDescent="0.35">
      <c r="A43" t="s">
        <v>194</v>
      </c>
      <c r="B43">
        <v>2019</v>
      </c>
      <c r="C43" t="s">
        <v>195</v>
      </c>
      <c r="D43" s="1" t="s">
        <v>196</v>
      </c>
      <c r="E43" t="s">
        <v>15</v>
      </c>
      <c r="F43" t="s">
        <v>16</v>
      </c>
      <c r="G43" t="s">
        <v>15</v>
      </c>
      <c r="H43" t="s">
        <v>34</v>
      </c>
      <c r="I43" t="s">
        <v>15</v>
      </c>
      <c r="J43" t="s">
        <v>35</v>
      </c>
      <c r="K43" t="s">
        <v>15</v>
      </c>
      <c r="L43" t="s">
        <v>20</v>
      </c>
      <c r="M43" t="s">
        <v>15</v>
      </c>
      <c r="N43" t="s">
        <v>21</v>
      </c>
      <c r="O43" t="s">
        <v>17</v>
      </c>
      <c r="P43" t="s">
        <v>29</v>
      </c>
      <c r="Q43" t="s">
        <v>17</v>
      </c>
      <c r="R43" t="s">
        <v>30</v>
      </c>
    </row>
    <row r="44" spans="1:18" ht="15" customHeight="1" x14ac:dyDescent="0.35">
      <c r="A44" t="s">
        <v>197</v>
      </c>
      <c r="B44">
        <v>2019</v>
      </c>
      <c r="C44" t="s">
        <v>198</v>
      </c>
      <c r="D44" t="s">
        <v>199</v>
      </c>
      <c r="E44" t="s">
        <v>15</v>
      </c>
      <c r="F44" t="s">
        <v>16</v>
      </c>
      <c r="G44" t="s">
        <v>15</v>
      </c>
      <c r="H44" t="s">
        <v>34</v>
      </c>
      <c r="I44" t="s">
        <v>15</v>
      </c>
      <c r="J44" t="s">
        <v>200</v>
      </c>
      <c r="K44" t="s">
        <v>15</v>
      </c>
      <c r="L44" t="s">
        <v>20</v>
      </c>
      <c r="M44" t="s">
        <v>15</v>
      </c>
      <c r="N44" t="s">
        <v>53</v>
      </c>
      <c r="O44" t="s">
        <v>17</v>
      </c>
      <c r="P44" t="s">
        <v>29</v>
      </c>
      <c r="Q44" t="s">
        <v>17</v>
      </c>
      <c r="R44" t="s">
        <v>30</v>
      </c>
    </row>
    <row r="45" spans="1:18" ht="15" customHeight="1" x14ac:dyDescent="0.35">
      <c r="A45" t="s">
        <v>201</v>
      </c>
      <c r="B45">
        <v>2019</v>
      </c>
      <c r="C45" t="s">
        <v>202</v>
      </c>
      <c r="D45" t="s">
        <v>203</v>
      </c>
      <c r="E45" t="s">
        <v>15</v>
      </c>
      <c r="F45" t="s">
        <v>16</v>
      </c>
      <c r="G45" t="s">
        <v>15</v>
      </c>
      <c r="H45" t="s">
        <v>34</v>
      </c>
      <c r="I45" t="s">
        <v>15</v>
      </c>
      <c r="J45" t="s">
        <v>193</v>
      </c>
      <c r="K45" t="s">
        <v>17</v>
      </c>
      <c r="L45" t="s">
        <v>162</v>
      </c>
      <c r="M45" t="s">
        <v>17</v>
      </c>
      <c r="N45" t="s">
        <v>204</v>
      </c>
      <c r="O45" t="s">
        <v>17</v>
      </c>
      <c r="P45" t="s">
        <v>29</v>
      </c>
      <c r="Q45" t="s">
        <v>17</v>
      </c>
      <c r="R45" t="s">
        <v>205</v>
      </c>
    </row>
    <row r="46" spans="1:18" ht="15" customHeight="1" x14ac:dyDescent="0.35">
      <c r="A46" t="s">
        <v>206</v>
      </c>
      <c r="B46">
        <v>2019</v>
      </c>
      <c r="C46" t="s">
        <v>207</v>
      </c>
      <c r="D46" t="s">
        <v>208</v>
      </c>
      <c r="E46" t="s">
        <v>15</v>
      </c>
      <c r="F46" t="s">
        <v>16</v>
      </c>
      <c r="G46" t="s">
        <v>15</v>
      </c>
      <c r="H46" t="s">
        <v>65</v>
      </c>
      <c r="I46" t="s">
        <v>15</v>
      </c>
      <c r="J46" t="s">
        <v>35</v>
      </c>
      <c r="K46" t="s">
        <v>15</v>
      </c>
      <c r="L46" t="s">
        <v>20</v>
      </c>
      <c r="M46" t="s">
        <v>17</v>
      </c>
      <c r="N46" t="s">
        <v>209</v>
      </c>
      <c r="O46" t="s">
        <v>15</v>
      </c>
      <c r="P46" t="s">
        <v>210</v>
      </c>
      <c r="Q46" t="s">
        <v>17</v>
      </c>
      <c r="R46" t="s">
        <v>30</v>
      </c>
    </row>
    <row r="47" spans="1:18" ht="15" customHeight="1" x14ac:dyDescent="0.35">
      <c r="A47" t="s">
        <v>211</v>
      </c>
      <c r="B47">
        <v>2019</v>
      </c>
      <c r="C47" t="s">
        <v>212</v>
      </c>
      <c r="D47" t="s">
        <v>213</v>
      </c>
      <c r="E47" t="s">
        <v>15</v>
      </c>
      <c r="F47" t="s">
        <v>16</v>
      </c>
      <c r="G47" t="s">
        <v>15</v>
      </c>
      <c r="H47" t="s">
        <v>65</v>
      </c>
      <c r="I47" t="s">
        <v>15</v>
      </c>
      <c r="J47" t="s">
        <v>35</v>
      </c>
      <c r="K47" t="s">
        <v>15</v>
      </c>
      <c r="L47" t="s">
        <v>20</v>
      </c>
      <c r="M47" t="s">
        <v>15</v>
      </c>
      <c r="N47" t="s">
        <v>214</v>
      </c>
      <c r="O47" t="s">
        <v>15</v>
      </c>
      <c r="P47" t="s">
        <v>22</v>
      </c>
      <c r="Q47" t="s">
        <v>17</v>
      </c>
      <c r="R47" t="s">
        <v>215</v>
      </c>
    </row>
    <row r="48" spans="1:18" ht="15" customHeight="1" x14ac:dyDescent="0.35">
      <c r="A48" t="s">
        <v>216</v>
      </c>
      <c r="B48">
        <v>2019</v>
      </c>
      <c r="C48" t="s">
        <v>217</v>
      </c>
      <c r="D48" t="s">
        <v>218</v>
      </c>
      <c r="E48" t="s">
        <v>15</v>
      </c>
      <c r="F48" t="s">
        <v>16</v>
      </c>
      <c r="G48" t="s">
        <v>15</v>
      </c>
      <c r="H48" t="s">
        <v>34</v>
      </c>
      <c r="I48" t="s">
        <v>15</v>
      </c>
      <c r="J48" t="s">
        <v>35</v>
      </c>
      <c r="K48" t="s">
        <v>17</v>
      </c>
      <c r="L48" t="s">
        <v>219</v>
      </c>
      <c r="M48" t="s">
        <v>17</v>
      </c>
      <c r="N48" t="s">
        <v>204</v>
      </c>
      <c r="O48" t="s">
        <v>17</v>
      </c>
      <c r="P48" t="s">
        <v>220</v>
      </c>
      <c r="Q48" t="s">
        <v>17</v>
      </c>
      <c r="R48" t="s">
        <v>221</v>
      </c>
    </row>
    <row r="49" spans="1:18" ht="15" customHeight="1" x14ac:dyDescent="0.35">
      <c r="A49" t="s">
        <v>222</v>
      </c>
      <c r="B49">
        <v>2019</v>
      </c>
      <c r="C49" t="s">
        <v>223</v>
      </c>
      <c r="D49" t="s">
        <v>224</v>
      </c>
      <c r="E49" t="s">
        <v>15</v>
      </c>
      <c r="F49" t="s">
        <v>16</v>
      </c>
      <c r="G49" t="s">
        <v>15</v>
      </c>
      <c r="H49" t="s">
        <v>34</v>
      </c>
      <c r="I49" t="s">
        <v>15</v>
      </c>
      <c r="J49" t="s">
        <v>35</v>
      </c>
      <c r="K49" t="s">
        <v>15</v>
      </c>
      <c r="L49" t="s">
        <v>20</v>
      </c>
      <c r="M49" t="s">
        <v>15</v>
      </c>
      <c r="N49" t="s">
        <v>21</v>
      </c>
      <c r="O49" t="s">
        <v>17</v>
      </c>
      <c r="P49" t="s">
        <v>220</v>
      </c>
      <c r="Q49" t="s">
        <v>15</v>
      </c>
      <c r="R49" t="s">
        <v>92</v>
      </c>
    </row>
    <row r="50" spans="1:18" ht="15" customHeight="1" x14ac:dyDescent="0.35">
      <c r="A50" t="s">
        <v>225</v>
      </c>
      <c r="B50">
        <v>2019</v>
      </c>
      <c r="C50" t="s">
        <v>226</v>
      </c>
      <c r="D50" t="s">
        <v>227</v>
      </c>
      <c r="E50" t="s">
        <v>15</v>
      </c>
      <c r="F50" t="s">
        <v>16</v>
      </c>
      <c r="G50" t="s">
        <v>17</v>
      </c>
      <c r="H50" t="s">
        <v>189</v>
      </c>
      <c r="I50" t="s">
        <v>17</v>
      </c>
      <c r="J50" t="s">
        <v>189</v>
      </c>
      <c r="K50" t="s">
        <v>15</v>
      </c>
      <c r="L50" t="s">
        <v>20</v>
      </c>
      <c r="M50" t="s">
        <v>17</v>
      </c>
      <c r="N50" t="s">
        <v>184</v>
      </c>
      <c r="O50" t="s">
        <v>15</v>
      </c>
      <c r="P50" t="s">
        <v>22</v>
      </c>
      <c r="Q50" t="s">
        <v>17</v>
      </c>
      <c r="R50" t="s">
        <v>30</v>
      </c>
    </row>
    <row r="51" spans="1:18" ht="15" customHeight="1" x14ac:dyDescent="0.35">
      <c r="A51" t="s">
        <v>228</v>
      </c>
      <c r="B51">
        <v>2019</v>
      </c>
      <c r="C51" t="s">
        <v>229</v>
      </c>
      <c r="D51" t="s">
        <v>230</v>
      </c>
      <c r="E51" t="s">
        <v>15</v>
      </c>
      <c r="F51" t="s">
        <v>16</v>
      </c>
      <c r="G51" t="s">
        <v>15</v>
      </c>
      <c r="H51" t="s">
        <v>65</v>
      </c>
      <c r="I51" t="s">
        <v>15</v>
      </c>
      <c r="J51" t="s">
        <v>35</v>
      </c>
      <c r="K51" t="s">
        <v>15</v>
      </c>
      <c r="L51" t="s">
        <v>20</v>
      </c>
      <c r="M51" t="s">
        <v>15</v>
      </c>
      <c r="N51" t="s">
        <v>21</v>
      </c>
      <c r="O51" t="s">
        <v>15</v>
      </c>
      <c r="P51" t="s">
        <v>22</v>
      </c>
      <c r="Q51" t="s">
        <v>15</v>
      </c>
      <c r="R51" t="s">
        <v>92</v>
      </c>
    </row>
    <row r="52" spans="1:18" ht="15" customHeight="1" x14ac:dyDescent="0.35">
      <c r="A52" t="s">
        <v>231</v>
      </c>
      <c r="B52">
        <v>2019</v>
      </c>
      <c r="C52" t="s">
        <v>232</v>
      </c>
      <c r="D52" t="s">
        <v>233</v>
      </c>
      <c r="E52" t="s">
        <v>15</v>
      </c>
      <c r="F52" t="s">
        <v>16</v>
      </c>
      <c r="G52" t="s">
        <v>17</v>
      </c>
      <c r="H52" t="s">
        <v>234</v>
      </c>
      <c r="I52" t="s">
        <v>15</v>
      </c>
      <c r="J52" t="s">
        <v>235</v>
      </c>
      <c r="K52" t="s">
        <v>15</v>
      </c>
      <c r="L52" t="s">
        <v>20</v>
      </c>
      <c r="M52" t="s">
        <v>15</v>
      </c>
      <c r="N52" t="s">
        <v>236</v>
      </c>
      <c r="O52" t="s">
        <v>17</v>
      </c>
      <c r="P52" t="s">
        <v>237</v>
      </c>
      <c r="Q52" t="s">
        <v>17</v>
      </c>
      <c r="R52" t="s">
        <v>30</v>
      </c>
    </row>
    <row r="53" spans="1:18" ht="15" customHeight="1" x14ac:dyDescent="0.35">
      <c r="A53" t="s">
        <v>238</v>
      </c>
      <c r="B53">
        <v>2019</v>
      </c>
      <c r="C53" t="s">
        <v>239</v>
      </c>
      <c r="D53" t="s">
        <v>240</v>
      </c>
      <c r="E53" t="s">
        <v>15</v>
      </c>
      <c r="F53" t="s">
        <v>16</v>
      </c>
      <c r="G53" t="s">
        <v>15</v>
      </c>
      <c r="H53" t="s">
        <v>175</v>
      </c>
      <c r="I53" t="s">
        <v>15</v>
      </c>
      <c r="J53" t="s">
        <v>35</v>
      </c>
      <c r="K53" t="s">
        <v>15</v>
      </c>
      <c r="L53" t="s">
        <v>20</v>
      </c>
      <c r="M53" t="s">
        <v>15</v>
      </c>
      <c r="N53" t="s">
        <v>21</v>
      </c>
      <c r="O53" t="s">
        <v>17</v>
      </c>
      <c r="P53" t="s">
        <v>29</v>
      </c>
      <c r="Q53" t="s">
        <v>17</v>
      </c>
      <c r="R53" t="s">
        <v>30</v>
      </c>
    </row>
    <row r="54" spans="1:18" ht="15" customHeight="1" x14ac:dyDescent="0.35">
      <c r="A54" t="s">
        <v>241</v>
      </c>
      <c r="B54">
        <v>2019</v>
      </c>
      <c r="C54" t="s">
        <v>242</v>
      </c>
      <c r="D54" t="s">
        <v>243</v>
      </c>
      <c r="E54" t="s">
        <v>15</v>
      </c>
      <c r="F54" t="s">
        <v>16</v>
      </c>
      <c r="G54" t="s">
        <v>15</v>
      </c>
      <c r="H54" t="s">
        <v>244</v>
      </c>
      <c r="I54" t="s">
        <v>15</v>
      </c>
      <c r="J54" t="s">
        <v>245</v>
      </c>
      <c r="K54" t="s">
        <v>15</v>
      </c>
      <c r="L54" t="s">
        <v>20</v>
      </c>
      <c r="M54" t="s">
        <v>15</v>
      </c>
      <c r="N54" t="s">
        <v>21</v>
      </c>
      <c r="O54" t="s">
        <v>17</v>
      </c>
      <c r="P54" t="s">
        <v>29</v>
      </c>
      <c r="Q54" t="s">
        <v>17</v>
      </c>
      <c r="R54" t="s">
        <v>30</v>
      </c>
    </row>
    <row r="55" spans="1:18" ht="15" customHeight="1" x14ac:dyDescent="0.35">
      <c r="A55" t="s">
        <v>246</v>
      </c>
      <c r="B55">
        <v>2019</v>
      </c>
      <c r="C55" t="s">
        <v>247</v>
      </c>
      <c r="D55" t="s">
        <v>248</v>
      </c>
      <c r="E55" t="s">
        <v>15</v>
      </c>
      <c r="F55" t="s">
        <v>16</v>
      </c>
      <c r="G55" t="s">
        <v>15</v>
      </c>
      <c r="H55" t="s">
        <v>39</v>
      </c>
      <c r="I55" t="s">
        <v>17</v>
      </c>
      <c r="J55" t="s">
        <v>249</v>
      </c>
      <c r="K55" t="s">
        <v>15</v>
      </c>
      <c r="L55" t="s">
        <v>20</v>
      </c>
      <c r="M55" t="s">
        <v>15</v>
      </c>
      <c r="N55" t="s">
        <v>21</v>
      </c>
      <c r="O55" t="s">
        <v>15</v>
      </c>
      <c r="P55" t="s">
        <v>22</v>
      </c>
      <c r="Q55" t="s">
        <v>17</v>
      </c>
      <c r="R55" t="s">
        <v>30</v>
      </c>
    </row>
    <row r="56" spans="1:18" ht="15" customHeight="1" x14ac:dyDescent="0.35">
      <c r="A56" t="s">
        <v>250</v>
      </c>
      <c r="B56">
        <v>2019</v>
      </c>
      <c r="C56" t="s">
        <v>251</v>
      </c>
      <c r="D56" t="s">
        <v>252</v>
      </c>
      <c r="E56" t="s">
        <v>15</v>
      </c>
      <c r="F56" t="s">
        <v>16</v>
      </c>
      <c r="G56" t="s">
        <v>15</v>
      </c>
      <c r="H56" t="s">
        <v>34</v>
      </c>
      <c r="I56" t="s">
        <v>15</v>
      </c>
      <c r="J56" t="s">
        <v>27</v>
      </c>
      <c r="K56" t="s">
        <v>15</v>
      </c>
      <c r="L56" t="s">
        <v>20</v>
      </c>
      <c r="M56" t="s">
        <v>15</v>
      </c>
      <c r="N56" t="s">
        <v>21</v>
      </c>
      <c r="O56" t="s">
        <v>15</v>
      </c>
      <c r="P56" t="s">
        <v>91</v>
      </c>
      <c r="Q56" t="s">
        <v>17</v>
      </c>
      <c r="R56" t="s">
        <v>75</v>
      </c>
    </row>
    <row r="57" spans="1:18" ht="15" customHeight="1" x14ac:dyDescent="0.35">
      <c r="A57" t="s">
        <v>253</v>
      </c>
      <c r="B57">
        <v>2019</v>
      </c>
      <c r="C57" t="s">
        <v>254</v>
      </c>
      <c r="D57" t="s">
        <v>255</v>
      </c>
      <c r="E57" t="s">
        <v>15</v>
      </c>
      <c r="F57" t="s">
        <v>16</v>
      </c>
      <c r="G57" t="s">
        <v>15</v>
      </c>
      <c r="H57" t="s">
        <v>34</v>
      </c>
      <c r="I57" t="s">
        <v>15</v>
      </c>
      <c r="J57" t="s">
        <v>27</v>
      </c>
      <c r="K57" t="s">
        <v>15</v>
      </c>
      <c r="L57" t="s">
        <v>20</v>
      </c>
      <c r="M57" t="s">
        <v>15</v>
      </c>
      <c r="N57" t="s">
        <v>21</v>
      </c>
      <c r="O57" t="s">
        <v>17</v>
      </c>
      <c r="P57" t="s">
        <v>29</v>
      </c>
      <c r="Q57" t="s">
        <v>17</v>
      </c>
      <c r="R57" t="s">
        <v>30</v>
      </c>
    </row>
    <row r="58" spans="1:18" ht="15" customHeight="1" x14ac:dyDescent="0.35">
      <c r="A58" t="s">
        <v>256</v>
      </c>
      <c r="B58">
        <v>2019</v>
      </c>
      <c r="C58" t="s">
        <v>257</v>
      </c>
      <c r="D58" t="s">
        <v>258</v>
      </c>
      <c r="E58" t="s">
        <v>15</v>
      </c>
      <c r="F58" t="s">
        <v>16</v>
      </c>
      <c r="G58" t="s">
        <v>15</v>
      </c>
      <c r="H58" t="s">
        <v>34</v>
      </c>
      <c r="I58" t="s">
        <v>15</v>
      </c>
      <c r="J58" t="s">
        <v>35</v>
      </c>
      <c r="K58" t="s">
        <v>15</v>
      </c>
      <c r="L58" t="s">
        <v>20</v>
      </c>
      <c r="M58" t="s">
        <v>15</v>
      </c>
      <c r="N58" t="s">
        <v>21</v>
      </c>
      <c r="O58" t="s">
        <v>15</v>
      </c>
      <c r="P58" t="s">
        <v>22</v>
      </c>
      <c r="Q58" t="s">
        <v>15</v>
      </c>
      <c r="R58" t="s">
        <v>259</v>
      </c>
    </row>
    <row r="59" spans="1:18" ht="15" customHeight="1" x14ac:dyDescent="0.35">
      <c r="A59" t="s">
        <v>260</v>
      </c>
      <c r="B59">
        <v>2019</v>
      </c>
      <c r="C59" t="s">
        <v>261</v>
      </c>
      <c r="D59" t="s">
        <v>262</v>
      </c>
      <c r="E59" t="s">
        <v>15</v>
      </c>
      <c r="F59" t="s">
        <v>16</v>
      </c>
      <c r="G59" t="s">
        <v>15</v>
      </c>
      <c r="H59" t="s">
        <v>65</v>
      </c>
      <c r="I59" t="s">
        <v>15</v>
      </c>
      <c r="J59" t="s">
        <v>35</v>
      </c>
      <c r="K59" t="s">
        <v>15</v>
      </c>
      <c r="L59" t="s">
        <v>20</v>
      </c>
      <c r="M59" t="s">
        <v>15</v>
      </c>
      <c r="N59" t="s">
        <v>21</v>
      </c>
      <c r="O59" t="s">
        <v>17</v>
      </c>
      <c r="P59" t="s">
        <v>29</v>
      </c>
      <c r="Q59" t="s">
        <v>15</v>
      </c>
      <c r="R59" t="s">
        <v>263</v>
      </c>
    </row>
    <row r="60" spans="1:18" ht="15" customHeight="1" x14ac:dyDescent="0.35">
      <c r="A60" t="s">
        <v>264</v>
      </c>
      <c r="B60">
        <v>2019</v>
      </c>
      <c r="C60" t="s">
        <v>265</v>
      </c>
      <c r="D60" t="s">
        <v>266</v>
      </c>
      <c r="E60" t="s">
        <v>15</v>
      </c>
      <c r="F60" t="s">
        <v>16</v>
      </c>
      <c r="G60" t="s">
        <v>15</v>
      </c>
      <c r="H60" t="s">
        <v>39</v>
      </c>
      <c r="I60" t="s">
        <v>15</v>
      </c>
      <c r="J60" t="s">
        <v>49</v>
      </c>
      <c r="K60" t="s">
        <v>15</v>
      </c>
      <c r="L60" t="s">
        <v>20</v>
      </c>
      <c r="M60" t="s">
        <v>17</v>
      </c>
      <c r="N60" t="s">
        <v>184</v>
      </c>
      <c r="O60" t="s">
        <v>17</v>
      </c>
      <c r="P60" t="s">
        <v>29</v>
      </c>
      <c r="Q60" t="s">
        <v>17</v>
      </c>
      <c r="R60" t="s">
        <v>30</v>
      </c>
    </row>
    <row r="61" spans="1:18" ht="15" customHeight="1" x14ac:dyDescent="0.35">
      <c r="A61" t="s">
        <v>267</v>
      </c>
      <c r="B61">
        <v>2019</v>
      </c>
      <c r="C61" t="s">
        <v>268</v>
      </c>
      <c r="D61" t="s">
        <v>269</v>
      </c>
      <c r="E61" t="s">
        <v>15</v>
      </c>
      <c r="F61" t="s">
        <v>16</v>
      </c>
      <c r="G61" t="s">
        <v>15</v>
      </c>
      <c r="H61" t="s">
        <v>34</v>
      </c>
      <c r="I61" t="s">
        <v>15</v>
      </c>
      <c r="J61" t="s">
        <v>27</v>
      </c>
      <c r="K61" t="s">
        <v>15</v>
      </c>
      <c r="L61" t="s">
        <v>20</v>
      </c>
      <c r="M61" t="s">
        <v>15</v>
      </c>
      <c r="N61" t="s">
        <v>21</v>
      </c>
      <c r="O61" t="s">
        <v>17</v>
      </c>
      <c r="P61" t="s">
        <v>29</v>
      </c>
      <c r="Q61" t="s">
        <v>17</v>
      </c>
      <c r="R61" t="s">
        <v>30</v>
      </c>
    </row>
    <row r="62" spans="1:18" ht="15" customHeight="1" x14ac:dyDescent="0.35">
      <c r="A62" t="s">
        <v>270</v>
      </c>
      <c r="B62">
        <v>2019</v>
      </c>
      <c r="C62" t="s">
        <v>271</v>
      </c>
      <c r="D62" t="s">
        <v>272</v>
      </c>
      <c r="E62" t="s">
        <v>15</v>
      </c>
      <c r="F62" t="s">
        <v>16</v>
      </c>
      <c r="G62" t="s">
        <v>17</v>
      </c>
      <c r="H62" t="s">
        <v>18</v>
      </c>
      <c r="I62" t="s">
        <v>15</v>
      </c>
      <c r="J62" t="s">
        <v>91</v>
      </c>
      <c r="K62" t="s">
        <v>15</v>
      </c>
      <c r="L62" t="s">
        <v>20</v>
      </c>
      <c r="M62" t="s">
        <v>15</v>
      </c>
      <c r="N62" t="s">
        <v>273</v>
      </c>
      <c r="O62" t="s">
        <v>15</v>
      </c>
      <c r="P62" t="s">
        <v>44</v>
      </c>
      <c r="Q62" t="s">
        <v>17</v>
      </c>
      <c r="R62" t="s">
        <v>30</v>
      </c>
    </row>
    <row r="63" spans="1:18" ht="15" customHeight="1" x14ac:dyDescent="0.35">
      <c r="A63" t="s">
        <v>274</v>
      </c>
      <c r="B63">
        <v>2019</v>
      </c>
      <c r="C63" t="s">
        <v>275</v>
      </c>
      <c r="D63" t="s">
        <v>276</v>
      </c>
      <c r="E63" t="s">
        <v>15</v>
      </c>
      <c r="F63" t="s">
        <v>16</v>
      </c>
      <c r="G63" t="s">
        <v>15</v>
      </c>
      <c r="H63" t="s">
        <v>39</v>
      </c>
      <c r="I63" t="s">
        <v>15</v>
      </c>
      <c r="J63" t="s">
        <v>277</v>
      </c>
      <c r="K63" t="s">
        <v>15</v>
      </c>
      <c r="L63" t="s">
        <v>20</v>
      </c>
      <c r="M63" t="s">
        <v>15</v>
      </c>
      <c r="N63" t="s">
        <v>278</v>
      </c>
      <c r="O63" t="s">
        <v>15</v>
      </c>
      <c r="P63" t="s">
        <v>22</v>
      </c>
      <c r="Q63" t="s">
        <v>17</v>
      </c>
      <c r="R63" t="s">
        <v>30</v>
      </c>
    </row>
    <row r="64" spans="1:18" ht="15" customHeight="1" x14ac:dyDescent="0.35">
      <c r="A64" t="s">
        <v>279</v>
      </c>
      <c r="B64">
        <v>2019</v>
      </c>
      <c r="C64" t="s">
        <v>280</v>
      </c>
      <c r="D64" t="s">
        <v>281</v>
      </c>
      <c r="E64" t="s">
        <v>15</v>
      </c>
      <c r="F64" t="s">
        <v>16</v>
      </c>
      <c r="G64" t="s">
        <v>15</v>
      </c>
      <c r="H64" t="s">
        <v>65</v>
      </c>
      <c r="I64" t="s">
        <v>15</v>
      </c>
      <c r="J64" t="s">
        <v>91</v>
      </c>
      <c r="K64" t="s">
        <v>15</v>
      </c>
      <c r="L64" t="s">
        <v>20</v>
      </c>
      <c r="M64" t="s">
        <v>17</v>
      </c>
      <c r="N64" t="s">
        <v>282</v>
      </c>
      <c r="O64" t="s">
        <v>15</v>
      </c>
      <c r="P64" t="s">
        <v>283</v>
      </c>
      <c r="Q64" t="s">
        <v>17</v>
      </c>
      <c r="R64" t="s">
        <v>30</v>
      </c>
    </row>
    <row r="65" spans="1:18" ht="15" customHeight="1" x14ac:dyDescent="0.35">
      <c r="A65" t="s">
        <v>284</v>
      </c>
      <c r="B65">
        <v>2019</v>
      </c>
      <c r="C65" t="s">
        <v>285</v>
      </c>
      <c r="D65" t="s">
        <v>286</v>
      </c>
      <c r="E65" t="s">
        <v>15</v>
      </c>
      <c r="F65" t="s">
        <v>16</v>
      </c>
      <c r="G65" t="s">
        <v>15</v>
      </c>
      <c r="H65" t="s">
        <v>65</v>
      </c>
      <c r="I65" t="s">
        <v>15</v>
      </c>
      <c r="J65" t="s">
        <v>287</v>
      </c>
      <c r="K65" t="s">
        <v>17</v>
      </c>
      <c r="L65" t="s">
        <v>162</v>
      </c>
      <c r="M65" t="s">
        <v>17</v>
      </c>
      <c r="N65" t="s">
        <v>204</v>
      </c>
      <c r="O65" t="s">
        <v>17</v>
      </c>
      <c r="P65" t="s">
        <v>288</v>
      </c>
      <c r="Q65" t="s">
        <v>17</v>
      </c>
      <c r="R65" t="s">
        <v>289</v>
      </c>
    </row>
    <row r="66" spans="1:18" ht="15" customHeight="1" x14ac:dyDescent="0.35">
      <c r="A66" t="s">
        <v>290</v>
      </c>
      <c r="B66">
        <v>2019</v>
      </c>
      <c r="C66" t="s">
        <v>291</v>
      </c>
      <c r="D66" t="s">
        <v>292</v>
      </c>
      <c r="E66" t="s">
        <v>15</v>
      </c>
      <c r="F66" t="s">
        <v>16</v>
      </c>
      <c r="G66" t="s">
        <v>15</v>
      </c>
      <c r="H66" t="s">
        <v>39</v>
      </c>
      <c r="I66" t="s">
        <v>17</v>
      </c>
      <c r="J66" t="s">
        <v>293</v>
      </c>
      <c r="K66" t="s">
        <v>15</v>
      </c>
      <c r="L66" t="s">
        <v>20</v>
      </c>
      <c r="M66" t="s">
        <v>15</v>
      </c>
      <c r="N66" t="s">
        <v>21</v>
      </c>
      <c r="O66" t="s">
        <v>15</v>
      </c>
      <c r="P66" t="s">
        <v>22</v>
      </c>
      <c r="Q66" t="s">
        <v>17</v>
      </c>
      <c r="R66" t="s">
        <v>294</v>
      </c>
    </row>
    <row r="67" spans="1:18" ht="15" customHeight="1" x14ac:dyDescent="0.35">
      <c r="A67" t="s">
        <v>295</v>
      </c>
      <c r="B67">
        <v>2019</v>
      </c>
      <c r="C67" t="s">
        <v>296</v>
      </c>
      <c r="D67" t="s">
        <v>297</v>
      </c>
      <c r="E67" t="s">
        <v>15</v>
      </c>
      <c r="F67" t="s">
        <v>16</v>
      </c>
      <c r="G67" t="s">
        <v>15</v>
      </c>
      <c r="H67" t="s">
        <v>65</v>
      </c>
      <c r="I67" t="s">
        <v>15</v>
      </c>
      <c r="J67" t="s">
        <v>27</v>
      </c>
      <c r="K67" t="s">
        <v>15</v>
      </c>
      <c r="L67" t="s">
        <v>20</v>
      </c>
      <c r="M67" t="s">
        <v>15</v>
      </c>
      <c r="N67" t="s">
        <v>28</v>
      </c>
      <c r="O67" t="s">
        <v>15</v>
      </c>
      <c r="P67" t="s">
        <v>298</v>
      </c>
      <c r="Q67" t="s">
        <v>17</v>
      </c>
      <c r="R67" t="s">
        <v>30</v>
      </c>
    </row>
    <row r="68" spans="1:18" ht="15" customHeight="1" x14ac:dyDescent="0.35">
      <c r="A68" t="s">
        <v>299</v>
      </c>
      <c r="B68">
        <v>2019</v>
      </c>
      <c r="C68" t="s">
        <v>300</v>
      </c>
      <c r="D68" t="s">
        <v>301</v>
      </c>
      <c r="E68" t="s">
        <v>15</v>
      </c>
      <c r="F68" t="s">
        <v>16</v>
      </c>
      <c r="G68" t="s">
        <v>15</v>
      </c>
      <c r="H68" t="s">
        <v>39</v>
      </c>
      <c r="I68" t="s">
        <v>15</v>
      </c>
      <c r="J68" t="s">
        <v>302</v>
      </c>
      <c r="K68" t="s">
        <v>15</v>
      </c>
      <c r="L68" t="s">
        <v>20</v>
      </c>
      <c r="M68" t="s">
        <v>15</v>
      </c>
      <c r="N68" t="s">
        <v>21</v>
      </c>
      <c r="O68" t="s">
        <v>15</v>
      </c>
      <c r="P68" t="s">
        <v>303</v>
      </c>
      <c r="Q68" t="s">
        <v>17</v>
      </c>
      <c r="R68" t="s">
        <v>30</v>
      </c>
    </row>
    <row r="69" spans="1:18" ht="15" customHeight="1" x14ac:dyDescent="0.35">
      <c r="A69" t="s">
        <v>304</v>
      </c>
      <c r="B69">
        <v>2019</v>
      </c>
      <c r="C69" t="s">
        <v>305</v>
      </c>
      <c r="D69" t="s">
        <v>306</v>
      </c>
      <c r="E69" t="s">
        <v>15</v>
      </c>
      <c r="F69" t="s">
        <v>16</v>
      </c>
      <c r="G69" t="s">
        <v>15</v>
      </c>
      <c r="H69" t="s">
        <v>39</v>
      </c>
      <c r="I69" t="s">
        <v>15</v>
      </c>
      <c r="J69" t="s">
        <v>27</v>
      </c>
      <c r="K69" t="s">
        <v>15</v>
      </c>
      <c r="L69" t="s">
        <v>20</v>
      </c>
      <c r="M69" t="s">
        <v>15</v>
      </c>
      <c r="N69" t="s">
        <v>53</v>
      </c>
      <c r="O69" t="s">
        <v>17</v>
      </c>
      <c r="P69" t="s">
        <v>29</v>
      </c>
      <c r="Q69" t="s">
        <v>17</v>
      </c>
      <c r="R69" t="s">
        <v>30</v>
      </c>
    </row>
    <row r="70" spans="1:18" ht="15" customHeight="1" x14ac:dyDescent="0.35">
      <c r="A70" t="s">
        <v>307</v>
      </c>
      <c r="B70">
        <v>2019</v>
      </c>
      <c r="C70" t="s">
        <v>308</v>
      </c>
      <c r="D70" t="s">
        <v>309</v>
      </c>
      <c r="E70" t="s">
        <v>15</v>
      </c>
      <c r="F70" t="s">
        <v>16</v>
      </c>
      <c r="G70" t="s">
        <v>17</v>
      </c>
      <c r="H70" t="s">
        <v>310</v>
      </c>
      <c r="I70" t="s">
        <v>15</v>
      </c>
      <c r="J70" t="s">
        <v>311</v>
      </c>
      <c r="K70" t="s">
        <v>15</v>
      </c>
      <c r="L70" t="s">
        <v>312</v>
      </c>
      <c r="M70" t="s">
        <v>15</v>
      </c>
      <c r="N70" t="s">
        <v>313</v>
      </c>
      <c r="O70" t="s">
        <v>17</v>
      </c>
      <c r="P70" t="s">
        <v>29</v>
      </c>
      <c r="Q70" t="s">
        <v>17</v>
      </c>
      <c r="R70" t="s">
        <v>30</v>
      </c>
    </row>
    <row r="71" spans="1:18" ht="15" customHeight="1" x14ac:dyDescent="0.35">
      <c r="A71" t="s">
        <v>314</v>
      </c>
      <c r="B71">
        <v>2019</v>
      </c>
      <c r="C71" t="s">
        <v>315</v>
      </c>
      <c r="D71" s="1" t="s">
        <v>316</v>
      </c>
      <c r="E71" t="s">
        <v>15</v>
      </c>
      <c r="F71" t="s">
        <v>16</v>
      </c>
      <c r="G71" t="s">
        <v>17</v>
      </c>
      <c r="H71" t="s">
        <v>317</v>
      </c>
      <c r="I71" t="s">
        <v>15</v>
      </c>
      <c r="J71" t="s">
        <v>318</v>
      </c>
      <c r="K71" t="s">
        <v>15</v>
      </c>
      <c r="L71" t="s">
        <v>20</v>
      </c>
      <c r="M71" t="s">
        <v>17</v>
      </c>
      <c r="N71" t="s">
        <v>319</v>
      </c>
      <c r="O71" t="s">
        <v>17</v>
      </c>
      <c r="P71" t="s">
        <v>29</v>
      </c>
      <c r="Q71" t="s">
        <v>17</v>
      </c>
      <c r="R71" t="s">
        <v>30</v>
      </c>
    </row>
    <row r="72" spans="1:18" ht="15" customHeight="1" x14ac:dyDescent="0.35">
      <c r="A72" t="s">
        <v>320</v>
      </c>
      <c r="B72">
        <v>2019</v>
      </c>
      <c r="C72" t="s">
        <v>321</v>
      </c>
      <c r="D72" t="s">
        <v>322</v>
      </c>
      <c r="E72" t="s">
        <v>15</v>
      </c>
      <c r="F72" t="s">
        <v>16</v>
      </c>
      <c r="G72" t="s">
        <v>15</v>
      </c>
      <c r="H72" t="s">
        <v>39</v>
      </c>
      <c r="I72" t="s">
        <v>15</v>
      </c>
      <c r="J72" t="s">
        <v>287</v>
      </c>
      <c r="K72" t="s">
        <v>15</v>
      </c>
      <c r="L72" t="s">
        <v>20</v>
      </c>
      <c r="M72" t="s">
        <v>17</v>
      </c>
      <c r="N72" t="s">
        <v>184</v>
      </c>
      <c r="O72" t="s">
        <v>17</v>
      </c>
      <c r="P72" t="s">
        <v>323</v>
      </c>
      <c r="Q72" t="s">
        <v>17</v>
      </c>
      <c r="R72" t="s">
        <v>30</v>
      </c>
    </row>
    <row r="73" spans="1:18" ht="15" customHeight="1" x14ac:dyDescent="0.35">
      <c r="A73" t="s">
        <v>324</v>
      </c>
      <c r="B73">
        <v>2019</v>
      </c>
      <c r="C73" t="s">
        <v>325</v>
      </c>
      <c r="D73" s="1" t="s">
        <v>326</v>
      </c>
      <c r="E73" t="s">
        <v>15</v>
      </c>
      <c r="F73" t="s">
        <v>16</v>
      </c>
      <c r="G73" t="s">
        <v>15</v>
      </c>
      <c r="H73" t="s">
        <v>327</v>
      </c>
      <c r="I73" t="s">
        <v>15</v>
      </c>
      <c r="J73" t="s">
        <v>91</v>
      </c>
      <c r="K73" t="s">
        <v>15</v>
      </c>
      <c r="L73" t="s">
        <v>20</v>
      </c>
      <c r="M73" t="s">
        <v>15</v>
      </c>
      <c r="N73" t="s">
        <v>21</v>
      </c>
      <c r="O73" t="s">
        <v>15</v>
      </c>
      <c r="P73" t="s">
        <v>91</v>
      </c>
      <c r="Q73" t="s">
        <v>17</v>
      </c>
      <c r="R73" t="s">
        <v>30</v>
      </c>
    </row>
    <row r="74" spans="1:18" ht="15" customHeight="1" x14ac:dyDescent="0.35">
      <c r="A74" t="s">
        <v>328</v>
      </c>
      <c r="B74">
        <v>2019</v>
      </c>
      <c r="C74" t="s">
        <v>329</v>
      </c>
      <c r="D74" t="s">
        <v>330</v>
      </c>
      <c r="E74" t="s">
        <v>15</v>
      </c>
      <c r="F74" t="s">
        <v>16</v>
      </c>
      <c r="G74" t="s">
        <v>17</v>
      </c>
      <c r="H74" t="s">
        <v>331</v>
      </c>
      <c r="I74" t="s">
        <v>15</v>
      </c>
      <c r="J74" t="s">
        <v>287</v>
      </c>
      <c r="K74" t="s">
        <v>15</v>
      </c>
      <c r="L74" t="s">
        <v>20</v>
      </c>
      <c r="M74" t="s">
        <v>17</v>
      </c>
      <c r="N74" t="s">
        <v>332</v>
      </c>
      <c r="O74" t="s">
        <v>17</v>
      </c>
      <c r="P74" t="s">
        <v>29</v>
      </c>
      <c r="Q74" t="s">
        <v>17</v>
      </c>
      <c r="R74" t="s">
        <v>30</v>
      </c>
    </row>
    <row r="75" spans="1:18" ht="15" customHeight="1" x14ac:dyDescent="0.35">
      <c r="A75" t="s">
        <v>333</v>
      </c>
      <c r="B75">
        <v>2019</v>
      </c>
      <c r="C75" t="s">
        <v>334</v>
      </c>
      <c r="D75" t="s">
        <v>335</v>
      </c>
      <c r="E75" t="s">
        <v>15</v>
      </c>
      <c r="F75" t="s">
        <v>16</v>
      </c>
      <c r="G75" t="s">
        <v>15</v>
      </c>
      <c r="H75" t="s">
        <v>65</v>
      </c>
      <c r="I75" t="s">
        <v>15</v>
      </c>
      <c r="J75" t="s">
        <v>287</v>
      </c>
      <c r="K75" t="s">
        <v>17</v>
      </c>
      <c r="L75" t="s">
        <v>162</v>
      </c>
      <c r="M75" t="s">
        <v>17</v>
      </c>
      <c r="N75" t="s">
        <v>204</v>
      </c>
      <c r="O75" t="s">
        <v>15</v>
      </c>
      <c r="P75" t="s">
        <v>136</v>
      </c>
      <c r="Q75" t="s">
        <v>17</v>
      </c>
      <c r="R75" t="s">
        <v>336</v>
      </c>
    </row>
    <row r="76" spans="1:18" ht="15" customHeight="1" x14ac:dyDescent="0.35">
      <c r="A76" t="s">
        <v>337</v>
      </c>
      <c r="B76">
        <v>2019</v>
      </c>
      <c r="C76" t="s">
        <v>338</v>
      </c>
      <c r="D76" t="s">
        <v>339</v>
      </c>
      <c r="E76" t="s">
        <v>15</v>
      </c>
      <c r="F76" t="s">
        <v>16</v>
      </c>
      <c r="G76" t="s">
        <v>15</v>
      </c>
      <c r="H76" t="s">
        <v>65</v>
      </c>
      <c r="I76" t="s">
        <v>15</v>
      </c>
      <c r="J76" t="s">
        <v>340</v>
      </c>
      <c r="K76" t="s">
        <v>15</v>
      </c>
      <c r="L76" t="s">
        <v>20</v>
      </c>
      <c r="M76" t="s">
        <v>15</v>
      </c>
      <c r="N76" t="s">
        <v>21</v>
      </c>
      <c r="O76" t="s">
        <v>17</v>
      </c>
      <c r="P76" t="s">
        <v>29</v>
      </c>
      <c r="Q76" t="s">
        <v>17</v>
      </c>
      <c r="R76" t="s">
        <v>341</v>
      </c>
    </row>
    <row r="77" spans="1:18" ht="15" customHeight="1" x14ac:dyDescent="0.35">
      <c r="A77" t="s">
        <v>342</v>
      </c>
      <c r="B77">
        <v>2019</v>
      </c>
      <c r="C77" t="s">
        <v>343</v>
      </c>
      <c r="D77" t="s">
        <v>344</v>
      </c>
      <c r="E77" t="s">
        <v>15</v>
      </c>
      <c r="F77" t="s">
        <v>16</v>
      </c>
      <c r="G77" t="s">
        <v>15</v>
      </c>
      <c r="H77" t="s">
        <v>65</v>
      </c>
      <c r="I77" t="s">
        <v>15</v>
      </c>
      <c r="J77" t="s">
        <v>340</v>
      </c>
      <c r="K77" t="s">
        <v>15</v>
      </c>
      <c r="L77" t="s">
        <v>20</v>
      </c>
      <c r="M77" t="s">
        <v>15</v>
      </c>
      <c r="N77" t="s">
        <v>21</v>
      </c>
      <c r="O77" t="s">
        <v>17</v>
      </c>
      <c r="P77" t="s">
        <v>29</v>
      </c>
      <c r="Q77" t="s">
        <v>17</v>
      </c>
      <c r="R77" t="s">
        <v>30</v>
      </c>
    </row>
    <row r="78" spans="1:18" ht="15" customHeight="1" x14ac:dyDescent="0.35">
      <c r="A78" t="s">
        <v>345</v>
      </c>
      <c r="B78">
        <v>2019</v>
      </c>
      <c r="C78" t="s">
        <v>346</v>
      </c>
      <c r="D78" t="s">
        <v>347</v>
      </c>
      <c r="E78" t="s">
        <v>15</v>
      </c>
      <c r="F78" t="s">
        <v>16</v>
      </c>
      <c r="G78" t="s">
        <v>15</v>
      </c>
      <c r="H78" t="s">
        <v>34</v>
      </c>
      <c r="I78" t="s">
        <v>15</v>
      </c>
      <c r="J78" t="s">
        <v>348</v>
      </c>
      <c r="K78" t="s">
        <v>17</v>
      </c>
      <c r="L78" t="s">
        <v>162</v>
      </c>
      <c r="M78" t="s">
        <v>17</v>
      </c>
      <c r="N78" t="s">
        <v>204</v>
      </c>
      <c r="O78" t="s">
        <v>17</v>
      </c>
      <c r="P78" t="s">
        <v>29</v>
      </c>
      <c r="Q78" t="s">
        <v>17</v>
      </c>
      <c r="R78" t="s">
        <v>336</v>
      </c>
    </row>
    <row r="79" spans="1:18" ht="15" customHeight="1" x14ac:dyDescent="0.35">
      <c r="A79" t="s">
        <v>349</v>
      </c>
      <c r="B79">
        <v>2019</v>
      </c>
      <c r="C79" t="s">
        <v>350</v>
      </c>
      <c r="D79" t="s">
        <v>351</v>
      </c>
      <c r="E79" t="s">
        <v>15</v>
      </c>
      <c r="F79" t="s">
        <v>16</v>
      </c>
      <c r="G79" t="s">
        <v>17</v>
      </c>
      <c r="H79" t="s">
        <v>310</v>
      </c>
      <c r="I79" t="s">
        <v>17</v>
      </c>
      <c r="J79" t="s">
        <v>352</v>
      </c>
      <c r="K79" t="s">
        <v>15</v>
      </c>
      <c r="L79" t="s">
        <v>20</v>
      </c>
      <c r="M79" t="s">
        <v>15</v>
      </c>
      <c r="N79" t="s">
        <v>21</v>
      </c>
      <c r="O79" t="s">
        <v>17</v>
      </c>
      <c r="P79" t="s">
        <v>29</v>
      </c>
      <c r="Q79" t="s">
        <v>17</v>
      </c>
      <c r="R79" t="s">
        <v>30</v>
      </c>
    </row>
    <row r="80" spans="1:18" ht="15" customHeight="1" x14ac:dyDescent="0.35">
      <c r="A80" t="s">
        <v>353</v>
      </c>
      <c r="B80">
        <v>2019</v>
      </c>
      <c r="C80" t="s">
        <v>354</v>
      </c>
      <c r="D80" t="s">
        <v>355</v>
      </c>
      <c r="E80" t="s">
        <v>15</v>
      </c>
      <c r="F80" t="s">
        <v>16</v>
      </c>
      <c r="G80" t="s">
        <v>17</v>
      </c>
      <c r="H80" t="s">
        <v>356</v>
      </c>
      <c r="I80" t="s">
        <v>17</v>
      </c>
      <c r="J80" t="s">
        <v>357</v>
      </c>
      <c r="K80" t="s">
        <v>15</v>
      </c>
      <c r="L80" t="s">
        <v>20</v>
      </c>
      <c r="M80" t="s">
        <v>15</v>
      </c>
      <c r="N80" t="s">
        <v>21</v>
      </c>
      <c r="O80" t="s">
        <v>15</v>
      </c>
      <c r="P80" t="s">
        <v>22</v>
      </c>
      <c r="Q80" t="s">
        <v>17</v>
      </c>
      <c r="R80" t="s">
        <v>30</v>
      </c>
    </row>
    <row r="81" spans="1:18" ht="15" customHeight="1" x14ac:dyDescent="0.35">
      <c r="A81" t="s">
        <v>358</v>
      </c>
      <c r="B81">
        <v>2019</v>
      </c>
      <c r="C81" s="9" t="s">
        <v>359</v>
      </c>
      <c r="D81" t="s">
        <v>360</v>
      </c>
      <c r="E81" t="s">
        <v>15</v>
      </c>
      <c r="F81" t="s">
        <v>16</v>
      </c>
      <c r="G81" t="s">
        <v>17</v>
      </c>
      <c r="H81" t="s">
        <v>310</v>
      </c>
      <c r="I81" t="s">
        <v>15</v>
      </c>
      <c r="J81" t="s">
        <v>27</v>
      </c>
      <c r="K81" t="s">
        <v>15</v>
      </c>
      <c r="L81" t="s">
        <v>20</v>
      </c>
      <c r="M81" t="s">
        <v>15</v>
      </c>
      <c r="N81" t="s">
        <v>21</v>
      </c>
      <c r="O81" t="s">
        <v>17</v>
      </c>
      <c r="P81" t="s">
        <v>361</v>
      </c>
      <c r="Q81" t="s">
        <v>17</v>
      </c>
      <c r="R81" t="s">
        <v>30</v>
      </c>
    </row>
    <row r="82" spans="1:18" s="7" customFormat="1" ht="15" customHeight="1" x14ac:dyDescent="0.35">
      <c r="A82" s="7" t="s">
        <v>362</v>
      </c>
      <c r="B82" s="7">
        <v>2019</v>
      </c>
      <c r="C82" s="7" t="s">
        <v>363</v>
      </c>
      <c r="D82" s="7" t="s">
        <v>364</v>
      </c>
      <c r="M82"/>
    </row>
    <row r="83" spans="1:18" ht="15" customHeight="1" x14ac:dyDescent="0.35">
      <c r="A83" t="s">
        <v>365</v>
      </c>
      <c r="B83">
        <v>2019</v>
      </c>
      <c r="C83" t="s">
        <v>366</v>
      </c>
      <c r="D83" t="s">
        <v>367</v>
      </c>
      <c r="E83" t="s">
        <v>15</v>
      </c>
      <c r="F83" t="s">
        <v>16</v>
      </c>
      <c r="G83" t="s">
        <v>15</v>
      </c>
      <c r="H83" t="s">
        <v>34</v>
      </c>
      <c r="I83" t="s">
        <v>15</v>
      </c>
      <c r="J83" t="s">
        <v>27</v>
      </c>
      <c r="K83" t="s">
        <v>15</v>
      </c>
      <c r="L83" t="s">
        <v>368</v>
      </c>
      <c r="M83" t="s">
        <v>15</v>
      </c>
      <c r="N83" t="s">
        <v>21</v>
      </c>
      <c r="O83" t="s">
        <v>15</v>
      </c>
      <c r="P83" t="s">
        <v>22</v>
      </c>
      <c r="Q83" t="s">
        <v>17</v>
      </c>
      <c r="R83" t="s">
        <v>30</v>
      </c>
    </row>
    <row r="84" spans="1:18" ht="15" customHeight="1" x14ac:dyDescent="0.35">
      <c r="A84" t="s">
        <v>369</v>
      </c>
      <c r="B84">
        <v>2019</v>
      </c>
      <c r="C84" t="s">
        <v>370</v>
      </c>
      <c r="D84" t="s">
        <v>371</v>
      </c>
      <c r="E84" t="s">
        <v>15</v>
      </c>
      <c r="F84" t="s">
        <v>16</v>
      </c>
      <c r="G84" t="s">
        <v>15</v>
      </c>
      <c r="H84" t="s">
        <v>39</v>
      </c>
      <c r="I84" t="s">
        <v>15</v>
      </c>
      <c r="J84" t="s">
        <v>372</v>
      </c>
      <c r="K84" t="s">
        <v>15</v>
      </c>
      <c r="L84" t="s">
        <v>373</v>
      </c>
      <c r="M84" t="s">
        <v>17</v>
      </c>
      <c r="N84" t="s">
        <v>374</v>
      </c>
      <c r="O84" t="s">
        <v>17</v>
      </c>
      <c r="P84" t="s">
        <v>29</v>
      </c>
      <c r="Q84" t="s">
        <v>17</v>
      </c>
      <c r="R84" t="s">
        <v>30</v>
      </c>
    </row>
    <row r="85" spans="1:18" ht="15" customHeight="1" x14ac:dyDescent="0.35">
      <c r="A85" t="s">
        <v>375</v>
      </c>
      <c r="B85">
        <v>2019</v>
      </c>
      <c r="C85" t="s">
        <v>376</v>
      </c>
      <c r="D85" t="s">
        <v>377</v>
      </c>
      <c r="E85" t="s">
        <v>15</v>
      </c>
      <c r="F85" t="s">
        <v>16</v>
      </c>
      <c r="G85" t="s">
        <v>15</v>
      </c>
      <c r="H85" t="s">
        <v>39</v>
      </c>
      <c r="I85" t="s">
        <v>15</v>
      </c>
      <c r="J85" t="s">
        <v>378</v>
      </c>
      <c r="K85" t="s">
        <v>15</v>
      </c>
      <c r="L85" t="s">
        <v>20</v>
      </c>
      <c r="M85" t="s">
        <v>15</v>
      </c>
      <c r="N85" t="s">
        <v>21</v>
      </c>
      <c r="O85" t="s">
        <v>15</v>
      </c>
      <c r="P85" t="s">
        <v>22</v>
      </c>
      <c r="Q85" t="s">
        <v>17</v>
      </c>
      <c r="R85" t="s">
        <v>379</v>
      </c>
    </row>
    <row r="86" spans="1:18" ht="15" customHeight="1" x14ac:dyDescent="0.35">
      <c r="A86" t="s">
        <v>380</v>
      </c>
      <c r="B86">
        <v>2019</v>
      </c>
      <c r="C86" t="s">
        <v>381</v>
      </c>
      <c r="D86" t="s">
        <v>382</v>
      </c>
      <c r="E86" t="s">
        <v>15</v>
      </c>
      <c r="F86" t="s">
        <v>16</v>
      </c>
      <c r="G86" t="s">
        <v>15</v>
      </c>
      <c r="H86" t="s">
        <v>65</v>
      </c>
      <c r="I86" t="s">
        <v>15</v>
      </c>
      <c r="J86" t="s">
        <v>383</v>
      </c>
      <c r="K86" t="s">
        <v>15</v>
      </c>
      <c r="L86" t="s">
        <v>20</v>
      </c>
      <c r="M86" t="s">
        <v>15</v>
      </c>
      <c r="N86" t="s">
        <v>21</v>
      </c>
      <c r="O86" t="s">
        <v>15</v>
      </c>
      <c r="P86" t="s">
        <v>383</v>
      </c>
      <c r="Q86" t="s">
        <v>17</v>
      </c>
      <c r="R86" t="s">
        <v>30</v>
      </c>
    </row>
    <row r="87" spans="1:18" ht="15" customHeight="1" x14ac:dyDescent="0.35">
      <c r="A87" t="s">
        <v>384</v>
      </c>
      <c r="B87">
        <v>2019</v>
      </c>
      <c r="C87" t="s">
        <v>385</v>
      </c>
      <c r="D87" t="s">
        <v>386</v>
      </c>
      <c r="E87" t="s">
        <v>15</v>
      </c>
      <c r="F87" t="s">
        <v>16</v>
      </c>
      <c r="G87" t="s">
        <v>17</v>
      </c>
      <c r="H87" t="s">
        <v>188</v>
      </c>
      <c r="I87" t="s">
        <v>17</v>
      </c>
      <c r="J87" t="s">
        <v>387</v>
      </c>
      <c r="K87" t="s">
        <v>15</v>
      </c>
      <c r="L87" t="s">
        <v>20</v>
      </c>
      <c r="M87" t="s">
        <v>15</v>
      </c>
      <c r="N87" t="s">
        <v>388</v>
      </c>
      <c r="O87" t="s">
        <v>15</v>
      </c>
      <c r="P87" t="s">
        <v>22</v>
      </c>
      <c r="Q87" t="s">
        <v>17</v>
      </c>
      <c r="R87" t="s">
        <v>30</v>
      </c>
    </row>
    <row r="88" spans="1:18" ht="15" customHeight="1" x14ac:dyDescent="0.35">
      <c r="A88" t="s">
        <v>389</v>
      </c>
      <c r="B88">
        <v>2019</v>
      </c>
      <c r="C88" t="s">
        <v>390</v>
      </c>
      <c r="D88" t="s">
        <v>391</v>
      </c>
      <c r="E88" t="s">
        <v>15</v>
      </c>
      <c r="F88" t="s">
        <v>16</v>
      </c>
      <c r="G88" t="s">
        <v>17</v>
      </c>
      <c r="H88" t="s">
        <v>188</v>
      </c>
      <c r="I88" t="s">
        <v>15</v>
      </c>
      <c r="J88" t="s">
        <v>27</v>
      </c>
      <c r="K88" t="s">
        <v>15</v>
      </c>
      <c r="L88" t="s">
        <v>20</v>
      </c>
      <c r="M88" t="s">
        <v>15</v>
      </c>
      <c r="N88" t="s">
        <v>388</v>
      </c>
      <c r="O88" t="s">
        <v>17</v>
      </c>
      <c r="P88" t="s">
        <v>29</v>
      </c>
      <c r="Q88" t="s">
        <v>17</v>
      </c>
      <c r="R88" t="s">
        <v>392</v>
      </c>
    </row>
    <row r="89" spans="1:18" ht="15" customHeight="1" x14ac:dyDescent="0.35">
      <c r="A89" t="s">
        <v>393</v>
      </c>
      <c r="B89">
        <v>2019</v>
      </c>
      <c r="C89" t="s">
        <v>394</v>
      </c>
      <c r="D89" s="1" t="s">
        <v>395</v>
      </c>
      <c r="E89" t="s">
        <v>15</v>
      </c>
      <c r="F89" t="s">
        <v>16</v>
      </c>
      <c r="G89" t="s">
        <v>15</v>
      </c>
      <c r="H89" t="s">
        <v>396</v>
      </c>
      <c r="I89" t="s">
        <v>15</v>
      </c>
      <c r="J89" t="s">
        <v>397</v>
      </c>
      <c r="K89" t="s">
        <v>15</v>
      </c>
      <c r="L89" t="s">
        <v>20</v>
      </c>
      <c r="M89" t="s">
        <v>15</v>
      </c>
      <c r="N89" t="s">
        <v>398</v>
      </c>
      <c r="O89" t="s">
        <v>15</v>
      </c>
      <c r="P89" t="s">
        <v>136</v>
      </c>
      <c r="Q89" t="s">
        <v>17</v>
      </c>
      <c r="R89" t="s">
        <v>30</v>
      </c>
    </row>
    <row r="90" spans="1:18" ht="15" customHeight="1" x14ac:dyDescent="0.35">
      <c r="A90" t="s">
        <v>399</v>
      </c>
      <c r="B90">
        <v>2019</v>
      </c>
      <c r="C90" t="s">
        <v>400</v>
      </c>
      <c r="D90" s="1" t="s">
        <v>401</v>
      </c>
      <c r="E90" t="s">
        <v>15</v>
      </c>
      <c r="F90" t="s">
        <v>16</v>
      </c>
      <c r="G90" t="s">
        <v>15</v>
      </c>
      <c r="H90" t="s">
        <v>402</v>
      </c>
      <c r="I90" t="s">
        <v>15</v>
      </c>
      <c r="J90" t="s">
        <v>403</v>
      </c>
      <c r="K90" t="s">
        <v>15</v>
      </c>
      <c r="L90" t="s">
        <v>20</v>
      </c>
      <c r="M90" t="s">
        <v>15</v>
      </c>
      <c r="N90" t="s">
        <v>21</v>
      </c>
      <c r="O90" t="s">
        <v>17</v>
      </c>
      <c r="P90" t="s">
        <v>29</v>
      </c>
      <c r="Q90" t="s">
        <v>17</v>
      </c>
      <c r="R90" t="s">
        <v>404</v>
      </c>
    </row>
    <row r="91" spans="1:18" ht="15" customHeight="1" x14ac:dyDescent="0.35">
      <c r="A91" t="s">
        <v>405</v>
      </c>
      <c r="B91">
        <v>2019</v>
      </c>
      <c r="C91" t="s">
        <v>406</v>
      </c>
      <c r="D91" t="s">
        <v>407</v>
      </c>
      <c r="E91" t="s">
        <v>15</v>
      </c>
      <c r="F91" t="s">
        <v>16</v>
      </c>
      <c r="G91" t="s">
        <v>17</v>
      </c>
      <c r="H91" t="s">
        <v>408</v>
      </c>
      <c r="I91" t="s">
        <v>15</v>
      </c>
      <c r="J91" t="s">
        <v>409</v>
      </c>
      <c r="K91" t="s">
        <v>17</v>
      </c>
      <c r="L91" t="s">
        <v>410</v>
      </c>
      <c r="M91" t="s">
        <v>17</v>
      </c>
      <c r="N91" t="s">
        <v>410</v>
      </c>
      <c r="O91" t="s">
        <v>17</v>
      </c>
      <c r="P91" t="s">
        <v>29</v>
      </c>
      <c r="Q91" t="s">
        <v>17</v>
      </c>
      <c r="R91" t="s">
        <v>30</v>
      </c>
    </row>
    <row r="92" spans="1:18" ht="15" customHeight="1" x14ac:dyDescent="0.35">
      <c r="A92" t="s">
        <v>411</v>
      </c>
      <c r="B92">
        <v>2019</v>
      </c>
      <c r="C92" t="s">
        <v>412</v>
      </c>
      <c r="D92" t="s">
        <v>413</v>
      </c>
      <c r="E92" t="s">
        <v>15</v>
      </c>
      <c r="F92" t="s">
        <v>16</v>
      </c>
      <c r="G92" t="s">
        <v>15</v>
      </c>
      <c r="H92" t="s">
        <v>396</v>
      </c>
      <c r="I92" t="s">
        <v>15</v>
      </c>
      <c r="J92" t="s">
        <v>414</v>
      </c>
      <c r="K92" t="s">
        <v>15</v>
      </c>
      <c r="L92" t="s">
        <v>20</v>
      </c>
      <c r="M92" t="s">
        <v>15</v>
      </c>
      <c r="N92" t="s">
        <v>21</v>
      </c>
      <c r="O92" t="s">
        <v>15</v>
      </c>
      <c r="P92" t="s">
        <v>22</v>
      </c>
      <c r="Q92" t="s">
        <v>15</v>
      </c>
      <c r="R92" t="s">
        <v>110</v>
      </c>
    </row>
    <row r="93" spans="1:18" ht="15" customHeight="1" x14ac:dyDescent="0.35">
      <c r="A93" t="s">
        <v>415</v>
      </c>
      <c r="B93">
        <v>2019</v>
      </c>
      <c r="C93" t="s">
        <v>416</v>
      </c>
      <c r="D93" t="s">
        <v>417</v>
      </c>
      <c r="E93" t="s">
        <v>15</v>
      </c>
      <c r="F93" t="s">
        <v>16</v>
      </c>
      <c r="G93" t="s">
        <v>15</v>
      </c>
      <c r="H93" t="s">
        <v>39</v>
      </c>
      <c r="I93" t="s">
        <v>15</v>
      </c>
      <c r="J93" t="s">
        <v>418</v>
      </c>
      <c r="K93" t="s">
        <v>15</v>
      </c>
      <c r="L93" t="s">
        <v>20</v>
      </c>
      <c r="M93" t="s">
        <v>17</v>
      </c>
      <c r="N93" t="s">
        <v>419</v>
      </c>
      <c r="O93" t="s">
        <v>17</v>
      </c>
      <c r="P93" t="s">
        <v>29</v>
      </c>
      <c r="Q93" t="s">
        <v>17</v>
      </c>
      <c r="R93" t="s">
        <v>30</v>
      </c>
    </row>
    <row r="94" spans="1:18" ht="15" customHeight="1" x14ac:dyDescent="0.35">
      <c r="A94" t="s">
        <v>420</v>
      </c>
      <c r="B94">
        <v>2019</v>
      </c>
      <c r="C94" t="s">
        <v>421</v>
      </c>
      <c r="D94" t="s">
        <v>422</v>
      </c>
      <c r="E94" t="s">
        <v>15</v>
      </c>
      <c r="F94" t="s">
        <v>16</v>
      </c>
      <c r="G94" t="s">
        <v>15</v>
      </c>
      <c r="H94" t="s">
        <v>34</v>
      </c>
      <c r="I94" t="s">
        <v>15</v>
      </c>
      <c r="J94" t="s">
        <v>423</v>
      </c>
      <c r="K94" t="s">
        <v>15</v>
      </c>
      <c r="L94" t="s">
        <v>20</v>
      </c>
      <c r="M94" t="s">
        <v>17</v>
      </c>
      <c r="N94" t="s">
        <v>282</v>
      </c>
      <c r="O94" t="s">
        <v>15</v>
      </c>
      <c r="P94" t="s">
        <v>136</v>
      </c>
      <c r="Q94" t="s">
        <v>17</v>
      </c>
      <c r="R94" t="s">
        <v>30</v>
      </c>
    </row>
    <row r="95" spans="1:18" ht="15" customHeight="1" x14ac:dyDescent="0.35">
      <c r="A95" t="s">
        <v>424</v>
      </c>
      <c r="B95">
        <v>2019</v>
      </c>
      <c r="C95" t="s">
        <v>425</v>
      </c>
      <c r="D95" t="s">
        <v>426</v>
      </c>
      <c r="E95" t="s">
        <v>15</v>
      </c>
      <c r="F95" t="s">
        <v>16</v>
      </c>
      <c r="G95" t="s">
        <v>15</v>
      </c>
      <c r="H95" t="s">
        <v>34</v>
      </c>
      <c r="I95" t="s">
        <v>15</v>
      </c>
      <c r="J95" t="s">
        <v>27</v>
      </c>
      <c r="K95" t="s">
        <v>15</v>
      </c>
      <c r="L95" t="s">
        <v>20</v>
      </c>
      <c r="M95" t="s">
        <v>17</v>
      </c>
      <c r="N95" t="s">
        <v>427</v>
      </c>
      <c r="O95" t="s">
        <v>17</v>
      </c>
      <c r="P95" t="s">
        <v>29</v>
      </c>
      <c r="Q95" t="s">
        <v>17</v>
      </c>
      <c r="R95" t="s">
        <v>30</v>
      </c>
    </row>
    <row r="96" spans="1:18" ht="15" customHeight="1" x14ac:dyDescent="0.35">
      <c r="A96" t="s">
        <v>428</v>
      </c>
      <c r="B96">
        <v>2019</v>
      </c>
      <c r="C96" t="s">
        <v>429</v>
      </c>
      <c r="D96" t="s">
        <v>430</v>
      </c>
      <c r="E96" t="s">
        <v>15</v>
      </c>
      <c r="F96" t="s">
        <v>16</v>
      </c>
      <c r="G96" t="s">
        <v>15</v>
      </c>
      <c r="H96" t="s">
        <v>402</v>
      </c>
      <c r="I96" t="s">
        <v>15</v>
      </c>
      <c r="J96" t="s">
        <v>27</v>
      </c>
      <c r="K96" t="s">
        <v>15</v>
      </c>
      <c r="L96" t="s">
        <v>20</v>
      </c>
      <c r="M96" t="s">
        <v>15</v>
      </c>
      <c r="N96" t="s">
        <v>21</v>
      </c>
      <c r="O96" t="s">
        <v>17</v>
      </c>
      <c r="P96" t="s">
        <v>29</v>
      </c>
      <c r="Q96" t="s">
        <v>17</v>
      </c>
      <c r="R96" t="s">
        <v>30</v>
      </c>
    </row>
    <row r="97" spans="1:18" ht="15" customHeight="1" x14ac:dyDescent="0.35">
      <c r="A97" t="s">
        <v>431</v>
      </c>
      <c r="B97">
        <v>2019</v>
      </c>
      <c r="C97" t="s">
        <v>432</v>
      </c>
      <c r="D97" t="s">
        <v>433</v>
      </c>
      <c r="E97" t="s">
        <v>15</v>
      </c>
      <c r="F97" t="s">
        <v>16</v>
      </c>
      <c r="G97" t="s">
        <v>15</v>
      </c>
      <c r="H97" t="s">
        <v>39</v>
      </c>
      <c r="I97" t="s">
        <v>15</v>
      </c>
      <c r="J97" t="s">
        <v>434</v>
      </c>
      <c r="K97" t="s">
        <v>15</v>
      </c>
      <c r="L97" t="s">
        <v>20</v>
      </c>
      <c r="M97" t="s">
        <v>15</v>
      </c>
      <c r="N97" t="s">
        <v>21</v>
      </c>
      <c r="O97" t="s">
        <v>17</v>
      </c>
      <c r="P97" t="s">
        <v>220</v>
      </c>
      <c r="Q97" t="s">
        <v>17</v>
      </c>
      <c r="R97" t="s">
        <v>30</v>
      </c>
    </row>
    <row r="98" spans="1:18" ht="15" customHeight="1" x14ac:dyDescent="0.35">
      <c r="A98" t="s">
        <v>435</v>
      </c>
      <c r="B98">
        <v>2019</v>
      </c>
      <c r="C98" t="s">
        <v>436</v>
      </c>
      <c r="D98" t="s">
        <v>437</v>
      </c>
      <c r="E98" t="s">
        <v>15</v>
      </c>
      <c r="F98" t="s">
        <v>16</v>
      </c>
      <c r="G98" t="s">
        <v>17</v>
      </c>
      <c r="H98" t="s">
        <v>438</v>
      </c>
      <c r="I98" t="s">
        <v>15</v>
      </c>
      <c r="J98" t="s">
        <v>91</v>
      </c>
      <c r="K98" t="s">
        <v>17</v>
      </c>
      <c r="L98" t="s">
        <v>162</v>
      </c>
      <c r="M98" t="s">
        <v>17</v>
      </c>
      <c r="N98" t="s">
        <v>204</v>
      </c>
      <c r="O98" t="s">
        <v>17</v>
      </c>
      <c r="P98" t="s">
        <v>29</v>
      </c>
      <c r="Q98" t="s">
        <v>17</v>
      </c>
      <c r="R98" t="s">
        <v>336</v>
      </c>
    </row>
    <row r="99" spans="1:18" ht="15" customHeight="1" x14ac:dyDescent="0.35">
      <c r="A99" t="s">
        <v>439</v>
      </c>
      <c r="B99">
        <v>2019</v>
      </c>
      <c r="C99" t="s">
        <v>440</v>
      </c>
      <c r="D99" t="s">
        <v>441</v>
      </c>
      <c r="E99" t="s">
        <v>15</v>
      </c>
      <c r="F99" t="s">
        <v>16</v>
      </c>
      <c r="G99" t="s">
        <v>17</v>
      </c>
      <c r="H99" t="s">
        <v>188</v>
      </c>
      <c r="I99" t="s">
        <v>17</v>
      </c>
      <c r="J99" t="s">
        <v>352</v>
      </c>
      <c r="K99" t="s">
        <v>15</v>
      </c>
      <c r="L99" t="s">
        <v>20</v>
      </c>
      <c r="M99" t="s">
        <v>15</v>
      </c>
      <c r="N99" t="s">
        <v>21</v>
      </c>
      <c r="O99" t="s">
        <v>17</v>
      </c>
      <c r="P99" t="s">
        <v>29</v>
      </c>
      <c r="Q99" t="s">
        <v>17</v>
      </c>
      <c r="R99" t="s">
        <v>30</v>
      </c>
    </row>
    <row r="100" spans="1:18" ht="15" customHeight="1" x14ac:dyDescent="0.35">
      <c r="A100" t="s">
        <v>442</v>
      </c>
      <c r="B100">
        <v>2019</v>
      </c>
      <c r="C100" t="s">
        <v>443</v>
      </c>
      <c r="D100" t="s">
        <v>444</v>
      </c>
      <c r="E100" t="s">
        <v>15</v>
      </c>
      <c r="F100" t="s">
        <v>16</v>
      </c>
      <c r="G100" t="s">
        <v>15</v>
      </c>
      <c r="H100" t="s">
        <v>34</v>
      </c>
      <c r="I100" t="s">
        <v>15</v>
      </c>
      <c r="J100" t="s">
        <v>414</v>
      </c>
      <c r="K100" t="s">
        <v>15</v>
      </c>
      <c r="L100" t="s">
        <v>20</v>
      </c>
      <c r="M100" t="s">
        <v>15</v>
      </c>
      <c r="N100" t="s">
        <v>388</v>
      </c>
      <c r="O100" t="s">
        <v>15</v>
      </c>
      <c r="P100" t="s">
        <v>44</v>
      </c>
      <c r="Q100" t="s">
        <v>15</v>
      </c>
      <c r="R100" t="s">
        <v>445</v>
      </c>
    </row>
    <row r="101" spans="1:18" ht="15" customHeight="1" x14ac:dyDescent="0.35">
      <c r="A101" t="s">
        <v>446</v>
      </c>
      <c r="B101">
        <v>2019</v>
      </c>
      <c r="C101" t="s">
        <v>447</v>
      </c>
      <c r="D101" t="s">
        <v>448</v>
      </c>
      <c r="E101" t="s">
        <v>15</v>
      </c>
      <c r="F101" t="s">
        <v>16</v>
      </c>
      <c r="G101" t="s">
        <v>15</v>
      </c>
      <c r="H101" t="s">
        <v>39</v>
      </c>
      <c r="I101" t="s">
        <v>15</v>
      </c>
      <c r="J101" t="s">
        <v>449</v>
      </c>
      <c r="K101" t="s">
        <v>15</v>
      </c>
      <c r="L101" t="s">
        <v>20</v>
      </c>
      <c r="M101" t="s">
        <v>15</v>
      </c>
      <c r="N101" t="s">
        <v>53</v>
      </c>
      <c r="O101" t="s">
        <v>15</v>
      </c>
      <c r="P101" t="s">
        <v>22</v>
      </c>
      <c r="Q101" t="s">
        <v>17</v>
      </c>
      <c r="R101" t="s">
        <v>30</v>
      </c>
    </row>
    <row r="102" spans="1:18" ht="15" customHeight="1" x14ac:dyDescent="0.35">
      <c r="A102" t="s">
        <v>450</v>
      </c>
      <c r="B102">
        <v>2021</v>
      </c>
      <c r="C102" t="s">
        <v>451</v>
      </c>
      <c r="D102" t="s">
        <v>452</v>
      </c>
      <c r="E102" t="s">
        <v>15</v>
      </c>
      <c r="F102" t="s">
        <v>16</v>
      </c>
      <c r="G102" t="s">
        <v>15</v>
      </c>
      <c r="H102" t="s">
        <v>453</v>
      </c>
      <c r="I102" t="s">
        <v>15</v>
      </c>
      <c r="J102" t="s">
        <v>454</v>
      </c>
      <c r="K102" t="s">
        <v>15</v>
      </c>
      <c r="L102" t="s">
        <v>20</v>
      </c>
      <c r="M102" t="s">
        <v>15</v>
      </c>
      <c r="N102" t="s">
        <v>21</v>
      </c>
      <c r="O102" t="s">
        <v>17</v>
      </c>
      <c r="P102" t="s">
        <v>29</v>
      </c>
      <c r="Q102" t="s">
        <v>17</v>
      </c>
      <c r="R102" t="s">
        <v>30</v>
      </c>
    </row>
    <row r="103" spans="1:18" ht="15" customHeight="1" x14ac:dyDescent="0.35">
      <c r="A103" t="s">
        <v>455</v>
      </c>
      <c r="B103">
        <v>2021</v>
      </c>
      <c r="C103" t="s">
        <v>456</v>
      </c>
      <c r="D103" t="s">
        <v>457</v>
      </c>
      <c r="E103" t="s">
        <v>15</v>
      </c>
      <c r="F103" t="s">
        <v>16</v>
      </c>
      <c r="G103" t="s">
        <v>17</v>
      </c>
      <c r="H103" t="s">
        <v>188</v>
      </c>
      <c r="I103" t="s">
        <v>15</v>
      </c>
      <c r="J103" t="s">
        <v>91</v>
      </c>
      <c r="K103" t="s">
        <v>15</v>
      </c>
      <c r="L103" t="s">
        <v>20</v>
      </c>
      <c r="M103" t="s">
        <v>17</v>
      </c>
      <c r="N103" t="s">
        <v>184</v>
      </c>
      <c r="O103" t="s">
        <v>17</v>
      </c>
      <c r="P103" t="s">
        <v>22</v>
      </c>
      <c r="Q103" t="s">
        <v>17</v>
      </c>
      <c r="R103" t="s">
        <v>30</v>
      </c>
    </row>
    <row r="104" spans="1:18" ht="15" customHeight="1" x14ac:dyDescent="0.35">
      <c r="A104" t="s">
        <v>458</v>
      </c>
      <c r="B104">
        <v>2021</v>
      </c>
      <c r="C104" t="s">
        <v>459</v>
      </c>
      <c r="D104" t="s">
        <v>460</v>
      </c>
      <c r="E104" t="s">
        <v>15</v>
      </c>
      <c r="F104" t="s">
        <v>16</v>
      </c>
      <c r="G104" t="s">
        <v>15</v>
      </c>
      <c r="H104" t="s">
        <v>34</v>
      </c>
      <c r="I104" t="s">
        <v>15</v>
      </c>
      <c r="J104" t="s">
        <v>383</v>
      </c>
      <c r="K104" t="s">
        <v>15</v>
      </c>
      <c r="L104" t="s">
        <v>20</v>
      </c>
      <c r="M104" t="s">
        <v>15</v>
      </c>
      <c r="N104" t="s">
        <v>21</v>
      </c>
      <c r="O104" t="s">
        <v>15</v>
      </c>
      <c r="P104" t="s">
        <v>91</v>
      </c>
      <c r="Q104" t="s">
        <v>17</v>
      </c>
      <c r="R104" t="s">
        <v>461</v>
      </c>
    </row>
    <row r="105" spans="1:18" ht="15" customHeight="1" x14ac:dyDescent="0.35">
      <c r="A105" t="s">
        <v>462</v>
      </c>
      <c r="B105">
        <v>2021</v>
      </c>
      <c r="C105" t="s">
        <v>463</v>
      </c>
      <c r="D105" t="s">
        <v>464</v>
      </c>
      <c r="E105" t="s">
        <v>15</v>
      </c>
      <c r="F105" t="s">
        <v>16</v>
      </c>
      <c r="G105" t="s">
        <v>15</v>
      </c>
      <c r="H105" t="s">
        <v>34</v>
      </c>
      <c r="I105" t="s">
        <v>15</v>
      </c>
      <c r="J105" t="s">
        <v>383</v>
      </c>
      <c r="K105" t="s">
        <v>15</v>
      </c>
      <c r="L105" t="s">
        <v>20</v>
      </c>
      <c r="M105" t="s">
        <v>15</v>
      </c>
      <c r="N105" t="s">
        <v>21</v>
      </c>
      <c r="O105" t="s">
        <v>15</v>
      </c>
      <c r="P105" t="s">
        <v>91</v>
      </c>
      <c r="Q105" t="s">
        <v>17</v>
      </c>
      <c r="R105" t="s">
        <v>465</v>
      </c>
    </row>
    <row r="106" spans="1:18" ht="15" customHeight="1" x14ac:dyDescent="0.35">
      <c r="A106" t="s">
        <v>466</v>
      </c>
      <c r="B106">
        <v>2021</v>
      </c>
      <c r="C106" t="s">
        <v>467</v>
      </c>
      <c r="D106" s="1" t="s">
        <v>468</v>
      </c>
      <c r="E106" t="s">
        <v>15</v>
      </c>
      <c r="F106" t="s">
        <v>16</v>
      </c>
      <c r="G106" t="s">
        <v>17</v>
      </c>
      <c r="H106" t="s">
        <v>99</v>
      </c>
      <c r="I106" t="s">
        <v>15</v>
      </c>
      <c r="J106" t="s">
        <v>469</v>
      </c>
      <c r="K106" t="s">
        <v>15</v>
      </c>
      <c r="L106" t="s">
        <v>20</v>
      </c>
      <c r="M106" t="s">
        <v>15</v>
      </c>
      <c r="N106" t="s">
        <v>21</v>
      </c>
      <c r="O106" t="s">
        <v>15</v>
      </c>
      <c r="P106" t="s">
        <v>91</v>
      </c>
      <c r="Q106" t="s">
        <v>17</v>
      </c>
      <c r="R106" t="s">
        <v>470</v>
      </c>
    </row>
    <row r="107" spans="1:18" ht="15" customHeight="1" x14ac:dyDescent="0.35">
      <c r="A107" t="s">
        <v>471</v>
      </c>
      <c r="B107">
        <v>2021</v>
      </c>
      <c r="C107" t="s">
        <v>472</v>
      </c>
      <c r="D107" t="s">
        <v>473</v>
      </c>
      <c r="E107" t="s">
        <v>15</v>
      </c>
      <c r="F107" t="s">
        <v>16</v>
      </c>
      <c r="G107" t="s">
        <v>17</v>
      </c>
      <c r="H107" t="s">
        <v>188</v>
      </c>
      <c r="I107" t="s">
        <v>15</v>
      </c>
      <c r="J107" t="s">
        <v>348</v>
      </c>
      <c r="K107" t="s">
        <v>15</v>
      </c>
      <c r="L107" t="s">
        <v>20</v>
      </c>
      <c r="M107" t="s">
        <v>15</v>
      </c>
      <c r="N107" t="s">
        <v>474</v>
      </c>
      <c r="O107" t="s">
        <v>17</v>
      </c>
      <c r="P107" t="s">
        <v>29</v>
      </c>
      <c r="Q107" t="s">
        <v>17</v>
      </c>
      <c r="R107" t="s">
        <v>30</v>
      </c>
    </row>
    <row r="108" spans="1:18" ht="15" customHeight="1" x14ac:dyDescent="0.35">
      <c r="A108" t="s">
        <v>475</v>
      </c>
      <c r="B108">
        <v>2021</v>
      </c>
      <c r="C108" t="s">
        <v>476</v>
      </c>
      <c r="D108" t="s">
        <v>477</v>
      </c>
      <c r="E108" t="s">
        <v>15</v>
      </c>
      <c r="F108" t="s">
        <v>16</v>
      </c>
      <c r="G108" t="s">
        <v>15</v>
      </c>
      <c r="H108" t="s">
        <v>35</v>
      </c>
      <c r="I108" t="s">
        <v>15</v>
      </c>
      <c r="J108" t="s">
        <v>478</v>
      </c>
      <c r="K108" t="s">
        <v>15</v>
      </c>
      <c r="L108" t="s">
        <v>20</v>
      </c>
      <c r="M108" t="s">
        <v>17</v>
      </c>
      <c r="N108" t="s">
        <v>282</v>
      </c>
      <c r="O108" t="s">
        <v>17</v>
      </c>
      <c r="P108" t="s">
        <v>29</v>
      </c>
      <c r="Q108" t="s">
        <v>17</v>
      </c>
      <c r="R108" t="s">
        <v>30</v>
      </c>
    </row>
    <row r="109" spans="1:18" ht="15" customHeight="1" x14ac:dyDescent="0.35">
      <c r="A109" t="s">
        <v>479</v>
      </c>
      <c r="B109">
        <v>2021</v>
      </c>
      <c r="C109" t="s">
        <v>480</v>
      </c>
      <c r="D109" t="s">
        <v>481</v>
      </c>
      <c r="E109" t="s">
        <v>15</v>
      </c>
      <c r="F109" t="s">
        <v>16</v>
      </c>
      <c r="G109" t="s">
        <v>17</v>
      </c>
      <c r="H109" t="s">
        <v>482</v>
      </c>
      <c r="I109" t="s">
        <v>15</v>
      </c>
      <c r="J109" t="s">
        <v>483</v>
      </c>
      <c r="K109" t="s">
        <v>15</v>
      </c>
      <c r="L109" t="s">
        <v>20</v>
      </c>
      <c r="M109" t="s">
        <v>15</v>
      </c>
      <c r="N109" t="s">
        <v>21</v>
      </c>
      <c r="O109" t="s">
        <v>15</v>
      </c>
      <c r="P109" t="s">
        <v>22</v>
      </c>
      <c r="Q109" t="s">
        <v>15</v>
      </c>
      <c r="R109" t="s">
        <v>484</v>
      </c>
    </row>
    <row r="110" spans="1:18" ht="15" customHeight="1" x14ac:dyDescent="0.35">
      <c r="A110" t="s">
        <v>485</v>
      </c>
      <c r="B110">
        <v>2021</v>
      </c>
      <c r="C110" t="s">
        <v>486</v>
      </c>
      <c r="D110" t="s">
        <v>487</v>
      </c>
      <c r="E110" t="s">
        <v>15</v>
      </c>
      <c r="F110" t="s">
        <v>16</v>
      </c>
      <c r="G110" t="s">
        <v>17</v>
      </c>
      <c r="H110" t="s">
        <v>482</v>
      </c>
      <c r="I110" t="s">
        <v>17</v>
      </c>
      <c r="J110" t="s">
        <v>488</v>
      </c>
      <c r="K110" t="s">
        <v>15</v>
      </c>
      <c r="L110" t="s">
        <v>20</v>
      </c>
      <c r="M110" t="s">
        <v>15</v>
      </c>
      <c r="N110" t="s">
        <v>21</v>
      </c>
      <c r="O110" t="s">
        <v>17</v>
      </c>
      <c r="P110" t="s">
        <v>29</v>
      </c>
      <c r="Q110" t="s">
        <v>17</v>
      </c>
      <c r="R110" t="s">
        <v>30</v>
      </c>
    </row>
    <row r="111" spans="1:18" ht="15" customHeight="1" x14ac:dyDescent="0.35">
      <c r="A111" t="s">
        <v>489</v>
      </c>
      <c r="B111">
        <v>2021</v>
      </c>
      <c r="C111" t="s">
        <v>490</v>
      </c>
      <c r="D111" t="s">
        <v>491</v>
      </c>
      <c r="E111" t="s">
        <v>15</v>
      </c>
      <c r="F111" t="s">
        <v>16</v>
      </c>
      <c r="G111" t="s">
        <v>17</v>
      </c>
      <c r="H111" t="s">
        <v>482</v>
      </c>
      <c r="I111" t="s">
        <v>15</v>
      </c>
      <c r="J111" t="s">
        <v>483</v>
      </c>
      <c r="K111" t="s">
        <v>15</v>
      </c>
      <c r="L111" t="s">
        <v>20</v>
      </c>
      <c r="M111" t="s">
        <v>15</v>
      </c>
      <c r="N111" t="s">
        <v>21</v>
      </c>
      <c r="O111" t="s">
        <v>17</v>
      </c>
      <c r="P111" t="s">
        <v>29</v>
      </c>
      <c r="Q111" t="s">
        <v>17</v>
      </c>
      <c r="R111" t="s">
        <v>30</v>
      </c>
    </row>
    <row r="112" spans="1:18" ht="15" customHeight="1" x14ac:dyDescent="0.35">
      <c r="A112" t="s">
        <v>492</v>
      </c>
      <c r="B112">
        <v>2021</v>
      </c>
      <c r="C112" t="s">
        <v>493</v>
      </c>
      <c r="D112" t="s">
        <v>494</v>
      </c>
      <c r="E112" t="s">
        <v>15</v>
      </c>
      <c r="F112" t="s">
        <v>16</v>
      </c>
      <c r="G112" t="s">
        <v>15</v>
      </c>
      <c r="H112" t="s">
        <v>35</v>
      </c>
      <c r="I112" t="s">
        <v>15</v>
      </c>
      <c r="J112" t="s">
        <v>49</v>
      </c>
      <c r="K112" t="s">
        <v>15</v>
      </c>
      <c r="L112" t="s">
        <v>20</v>
      </c>
      <c r="M112" t="s">
        <v>15</v>
      </c>
      <c r="N112" t="s">
        <v>495</v>
      </c>
      <c r="O112" t="s">
        <v>15</v>
      </c>
      <c r="P112" t="s">
        <v>496</v>
      </c>
      <c r="Q112" t="s">
        <v>17</v>
      </c>
      <c r="R112" t="s">
        <v>30</v>
      </c>
    </row>
    <row r="113" spans="1:18" ht="15" customHeight="1" x14ac:dyDescent="0.35">
      <c r="A113" t="s">
        <v>497</v>
      </c>
      <c r="B113">
        <v>2021</v>
      </c>
      <c r="C113" t="s">
        <v>498</v>
      </c>
      <c r="D113" t="s">
        <v>499</v>
      </c>
      <c r="E113" t="s">
        <v>15</v>
      </c>
      <c r="F113" t="s">
        <v>16</v>
      </c>
      <c r="G113" t="s">
        <v>15</v>
      </c>
      <c r="H113" t="s">
        <v>39</v>
      </c>
      <c r="I113" t="s">
        <v>15</v>
      </c>
      <c r="J113" t="s">
        <v>348</v>
      </c>
      <c r="K113" t="s">
        <v>15</v>
      </c>
      <c r="L113" t="s">
        <v>20</v>
      </c>
      <c r="M113" t="s">
        <v>15</v>
      </c>
      <c r="N113" t="s">
        <v>21</v>
      </c>
      <c r="O113" t="s">
        <v>15</v>
      </c>
      <c r="P113" t="s">
        <v>496</v>
      </c>
      <c r="Q113" t="s">
        <v>17</v>
      </c>
      <c r="R113" t="s">
        <v>30</v>
      </c>
    </row>
    <row r="114" spans="1:18" ht="15" customHeight="1" x14ac:dyDescent="0.35">
      <c r="A114" t="s">
        <v>500</v>
      </c>
      <c r="B114">
        <v>2021</v>
      </c>
      <c r="C114" t="s">
        <v>501</v>
      </c>
      <c r="D114" t="s">
        <v>502</v>
      </c>
      <c r="E114" t="s">
        <v>15</v>
      </c>
      <c r="F114" t="s">
        <v>16</v>
      </c>
      <c r="G114" t="s">
        <v>15</v>
      </c>
      <c r="H114" t="s">
        <v>35</v>
      </c>
      <c r="I114" t="s">
        <v>15</v>
      </c>
      <c r="J114" t="s">
        <v>503</v>
      </c>
      <c r="K114" t="s">
        <v>15</v>
      </c>
      <c r="L114" t="s">
        <v>20</v>
      </c>
      <c r="M114" t="s">
        <v>17</v>
      </c>
      <c r="N114" t="s">
        <v>504</v>
      </c>
      <c r="O114" t="s">
        <v>15</v>
      </c>
      <c r="P114" t="s">
        <v>496</v>
      </c>
      <c r="Q114" t="s">
        <v>17</v>
      </c>
      <c r="R114" t="s">
        <v>30</v>
      </c>
    </row>
    <row r="115" spans="1:18" ht="15" customHeight="1" x14ac:dyDescent="0.35">
      <c r="A115" t="s">
        <v>505</v>
      </c>
      <c r="B115">
        <v>2021</v>
      </c>
      <c r="C115" t="s">
        <v>506</v>
      </c>
      <c r="D115" t="s">
        <v>507</v>
      </c>
      <c r="E115" t="s">
        <v>15</v>
      </c>
      <c r="F115" t="s">
        <v>16</v>
      </c>
      <c r="G115" t="s">
        <v>15</v>
      </c>
      <c r="H115" t="s">
        <v>34</v>
      </c>
      <c r="I115" t="s">
        <v>17</v>
      </c>
      <c r="J115" t="s">
        <v>508</v>
      </c>
      <c r="K115" t="s">
        <v>15</v>
      </c>
      <c r="L115" t="s">
        <v>20</v>
      </c>
      <c r="M115" t="s">
        <v>15</v>
      </c>
      <c r="N115" t="s">
        <v>509</v>
      </c>
      <c r="O115" t="s">
        <v>17</v>
      </c>
      <c r="P115" t="s">
        <v>29</v>
      </c>
      <c r="Q115" t="s">
        <v>17</v>
      </c>
      <c r="R115" t="s">
        <v>30</v>
      </c>
    </row>
    <row r="116" spans="1:18" ht="15" customHeight="1" x14ac:dyDescent="0.35">
      <c r="A116" t="s">
        <v>510</v>
      </c>
      <c r="B116">
        <v>2021</v>
      </c>
      <c r="C116" t="s">
        <v>511</v>
      </c>
      <c r="D116" t="s">
        <v>512</v>
      </c>
      <c r="E116" t="s">
        <v>15</v>
      </c>
      <c r="F116" t="s">
        <v>16</v>
      </c>
      <c r="G116" t="s">
        <v>15</v>
      </c>
      <c r="H116" t="s">
        <v>35</v>
      </c>
      <c r="I116" t="s">
        <v>15</v>
      </c>
      <c r="J116" t="s">
        <v>483</v>
      </c>
      <c r="K116" t="s">
        <v>15</v>
      </c>
      <c r="L116" t="s">
        <v>20</v>
      </c>
      <c r="M116" t="s">
        <v>15</v>
      </c>
      <c r="N116" t="s">
        <v>21</v>
      </c>
      <c r="O116" t="s">
        <v>17</v>
      </c>
      <c r="P116" t="s">
        <v>29</v>
      </c>
      <c r="Q116" t="s">
        <v>17</v>
      </c>
      <c r="R116" t="s">
        <v>30</v>
      </c>
    </row>
    <row r="117" spans="1:18" ht="15" customHeight="1" x14ac:dyDescent="0.35">
      <c r="A117" t="s">
        <v>513</v>
      </c>
      <c r="B117">
        <v>2021</v>
      </c>
      <c r="C117" t="s">
        <v>514</v>
      </c>
      <c r="D117" t="s">
        <v>515</v>
      </c>
      <c r="E117" t="s">
        <v>15</v>
      </c>
      <c r="F117" t="s">
        <v>16</v>
      </c>
      <c r="G117" t="s">
        <v>15</v>
      </c>
      <c r="H117" t="s">
        <v>34</v>
      </c>
      <c r="I117" t="s">
        <v>15</v>
      </c>
      <c r="J117" t="s">
        <v>483</v>
      </c>
      <c r="K117" t="s">
        <v>17</v>
      </c>
      <c r="L117" t="s">
        <v>162</v>
      </c>
      <c r="M117" t="s">
        <v>17</v>
      </c>
      <c r="N117" t="s">
        <v>204</v>
      </c>
      <c r="O117" t="s">
        <v>17</v>
      </c>
      <c r="P117" t="s">
        <v>29</v>
      </c>
      <c r="Q117" t="s">
        <v>17</v>
      </c>
      <c r="R117" t="s">
        <v>336</v>
      </c>
    </row>
    <row r="118" spans="1:18" ht="15" customHeight="1" x14ac:dyDescent="0.35">
      <c r="A118" t="s">
        <v>516</v>
      </c>
      <c r="B118">
        <v>2021</v>
      </c>
      <c r="C118" t="s">
        <v>517</v>
      </c>
      <c r="D118" t="s">
        <v>518</v>
      </c>
      <c r="E118" t="s">
        <v>15</v>
      </c>
      <c r="F118" t="s">
        <v>16</v>
      </c>
      <c r="G118" t="s">
        <v>15</v>
      </c>
      <c r="H118" t="s">
        <v>519</v>
      </c>
      <c r="I118" t="s">
        <v>15</v>
      </c>
      <c r="J118" t="s">
        <v>520</v>
      </c>
      <c r="K118" t="s">
        <v>15</v>
      </c>
      <c r="L118" t="s">
        <v>20</v>
      </c>
      <c r="M118" t="s">
        <v>17</v>
      </c>
      <c r="N118" t="s">
        <v>521</v>
      </c>
      <c r="O118" t="s">
        <v>17</v>
      </c>
      <c r="P118" t="s">
        <v>29</v>
      </c>
      <c r="Q118" t="s">
        <v>17</v>
      </c>
      <c r="R118" t="s">
        <v>30</v>
      </c>
    </row>
    <row r="119" spans="1:18" ht="15" customHeight="1" x14ac:dyDescent="0.35">
      <c r="A119" t="s">
        <v>522</v>
      </c>
      <c r="B119">
        <v>2021</v>
      </c>
      <c r="C119" t="s">
        <v>523</v>
      </c>
      <c r="D119" t="s">
        <v>524</v>
      </c>
      <c r="E119" t="s">
        <v>15</v>
      </c>
      <c r="F119" t="s">
        <v>16</v>
      </c>
      <c r="G119" t="s">
        <v>15</v>
      </c>
      <c r="H119" t="s">
        <v>34</v>
      </c>
      <c r="I119" t="s">
        <v>15</v>
      </c>
      <c r="J119" t="s">
        <v>91</v>
      </c>
      <c r="K119" t="s">
        <v>15</v>
      </c>
      <c r="L119" t="s">
        <v>20</v>
      </c>
      <c r="M119" t="s">
        <v>17</v>
      </c>
      <c r="N119" t="s">
        <v>525</v>
      </c>
      <c r="O119" t="s">
        <v>15</v>
      </c>
      <c r="P119" t="s">
        <v>91</v>
      </c>
      <c r="Q119" t="s">
        <v>17</v>
      </c>
      <c r="R119" t="s">
        <v>30</v>
      </c>
    </row>
    <row r="120" spans="1:18" ht="15" customHeight="1" x14ac:dyDescent="0.35">
      <c r="A120" t="s">
        <v>526</v>
      </c>
      <c r="B120">
        <v>2021</v>
      </c>
      <c r="C120" t="s">
        <v>527</v>
      </c>
      <c r="D120" t="s">
        <v>528</v>
      </c>
      <c r="E120" t="s">
        <v>15</v>
      </c>
      <c r="F120" t="s">
        <v>16</v>
      </c>
      <c r="G120" t="s">
        <v>15</v>
      </c>
      <c r="H120" t="s">
        <v>402</v>
      </c>
      <c r="I120" t="s">
        <v>15</v>
      </c>
      <c r="J120" t="s">
        <v>529</v>
      </c>
      <c r="K120" t="s">
        <v>15</v>
      </c>
      <c r="L120" t="s">
        <v>20</v>
      </c>
      <c r="M120" t="s">
        <v>15</v>
      </c>
      <c r="N120" t="s">
        <v>530</v>
      </c>
      <c r="O120" t="s">
        <v>17</v>
      </c>
      <c r="P120" t="s">
        <v>29</v>
      </c>
      <c r="Q120" t="s">
        <v>17</v>
      </c>
      <c r="R120" t="s">
        <v>531</v>
      </c>
    </row>
    <row r="121" spans="1:18" ht="15" customHeight="1" x14ac:dyDescent="0.35">
      <c r="A121" t="s">
        <v>532</v>
      </c>
      <c r="B121">
        <v>2021</v>
      </c>
      <c r="C121" t="s">
        <v>533</v>
      </c>
      <c r="D121" t="s">
        <v>534</v>
      </c>
      <c r="E121" t="s">
        <v>15</v>
      </c>
      <c r="F121" t="s">
        <v>16</v>
      </c>
      <c r="G121" t="s">
        <v>17</v>
      </c>
      <c r="H121" t="s">
        <v>535</v>
      </c>
      <c r="I121" t="s">
        <v>15</v>
      </c>
      <c r="J121" t="s">
        <v>27</v>
      </c>
      <c r="K121" t="s">
        <v>15</v>
      </c>
      <c r="L121" t="s">
        <v>20</v>
      </c>
      <c r="M121" t="s">
        <v>15</v>
      </c>
      <c r="N121" t="s">
        <v>536</v>
      </c>
      <c r="O121" t="s">
        <v>17</v>
      </c>
      <c r="P121" t="s">
        <v>29</v>
      </c>
      <c r="Q121" t="s">
        <v>17</v>
      </c>
      <c r="R121" t="s">
        <v>30</v>
      </c>
    </row>
    <row r="122" spans="1:18" ht="15" customHeight="1" x14ac:dyDescent="0.35">
      <c r="A122" t="s">
        <v>537</v>
      </c>
      <c r="B122">
        <v>2021</v>
      </c>
      <c r="C122" t="s">
        <v>538</v>
      </c>
      <c r="D122" s="1" t="s">
        <v>539</v>
      </c>
      <c r="E122" t="s">
        <v>15</v>
      </c>
      <c r="F122" t="s">
        <v>16</v>
      </c>
      <c r="G122" t="s">
        <v>15</v>
      </c>
      <c r="H122" t="s">
        <v>35</v>
      </c>
      <c r="I122" t="s">
        <v>15</v>
      </c>
      <c r="J122" t="s">
        <v>287</v>
      </c>
      <c r="K122" t="s">
        <v>15</v>
      </c>
      <c r="L122" t="s">
        <v>20</v>
      </c>
      <c r="M122" t="s">
        <v>15</v>
      </c>
      <c r="N122" t="s">
        <v>540</v>
      </c>
      <c r="O122" t="s">
        <v>17</v>
      </c>
      <c r="P122" t="s">
        <v>29</v>
      </c>
      <c r="Q122" t="s">
        <v>17</v>
      </c>
      <c r="R122" t="s">
        <v>30</v>
      </c>
    </row>
    <row r="123" spans="1:18" ht="15" customHeight="1" x14ac:dyDescent="0.35">
      <c r="A123" t="s">
        <v>541</v>
      </c>
      <c r="B123">
        <v>2021</v>
      </c>
      <c r="C123" t="s">
        <v>542</v>
      </c>
      <c r="D123" t="s">
        <v>543</v>
      </c>
      <c r="E123" t="s">
        <v>15</v>
      </c>
      <c r="F123" t="s">
        <v>16</v>
      </c>
      <c r="G123" t="s">
        <v>15</v>
      </c>
      <c r="H123" t="s">
        <v>544</v>
      </c>
      <c r="I123" t="s">
        <v>15</v>
      </c>
      <c r="J123" t="s">
        <v>545</v>
      </c>
      <c r="K123" t="s">
        <v>15</v>
      </c>
      <c r="L123" t="s">
        <v>20</v>
      </c>
      <c r="M123" t="s">
        <v>15</v>
      </c>
      <c r="N123" t="s">
        <v>21</v>
      </c>
      <c r="O123" t="s">
        <v>17</v>
      </c>
      <c r="P123" t="s">
        <v>29</v>
      </c>
      <c r="Q123" t="s">
        <v>17</v>
      </c>
      <c r="R123" t="s">
        <v>30</v>
      </c>
    </row>
    <row r="124" spans="1:18" s="7" customFormat="1" ht="15" customHeight="1" x14ac:dyDescent="0.35">
      <c r="A124" s="7" t="s">
        <v>546</v>
      </c>
      <c r="B124" s="7">
        <v>2021</v>
      </c>
      <c r="C124" s="7" t="s">
        <v>547</v>
      </c>
      <c r="D124" s="7" t="s">
        <v>548</v>
      </c>
      <c r="M124"/>
    </row>
    <row r="125" spans="1:18" ht="15" customHeight="1" x14ac:dyDescent="0.35">
      <c r="A125" t="s">
        <v>549</v>
      </c>
      <c r="B125">
        <v>2021</v>
      </c>
      <c r="C125" t="s">
        <v>550</v>
      </c>
      <c r="D125" t="s">
        <v>551</v>
      </c>
      <c r="E125" t="s">
        <v>15</v>
      </c>
      <c r="F125" t="s">
        <v>16</v>
      </c>
      <c r="G125" t="s">
        <v>15</v>
      </c>
      <c r="H125" t="s">
        <v>39</v>
      </c>
      <c r="I125" t="s">
        <v>15</v>
      </c>
      <c r="J125" t="s">
        <v>449</v>
      </c>
      <c r="K125" t="s">
        <v>15</v>
      </c>
      <c r="L125" t="s">
        <v>20</v>
      </c>
      <c r="M125" t="s">
        <v>17</v>
      </c>
      <c r="N125" t="s">
        <v>184</v>
      </c>
      <c r="O125" t="s">
        <v>17</v>
      </c>
      <c r="P125" t="s">
        <v>29</v>
      </c>
      <c r="Q125" t="s">
        <v>17</v>
      </c>
      <c r="R125" t="s">
        <v>30</v>
      </c>
    </row>
    <row r="126" spans="1:18" ht="15" customHeight="1" x14ac:dyDescent="0.35">
      <c r="A126" t="s">
        <v>552</v>
      </c>
      <c r="B126">
        <v>2021</v>
      </c>
      <c r="C126" t="s">
        <v>553</v>
      </c>
      <c r="D126" t="s">
        <v>554</v>
      </c>
      <c r="E126" t="s">
        <v>15</v>
      </c>
      <c r="F126" t="s">
        <v>16</v>
      </c>
      <c r="G126" t="s">
        <v>17</v>
      </c>
      <c r="H126" t="s">
        <v>535</v>
      </c>
      <c r="I126" t="s">
        <v>15</v>
      </c>
      <c r="J126" t="s">
        <v>348</v>
      </c>
      <c r="K126" t="s">
        <v>15</v>
      </c>
      <c r="L126" t="s">
        <v>20</v>
      </c>
      <c r="M126" t="s">
        <v>15</v>
      </c>
      <c r="N126" t="s">
        <v>555</v>
      </c>
      <c r="O126" t="s">
        <v>17</v>
      </c>
      <c r="P126" t="s">
        <v>29</v>
      </c>
      <c r="Q126" t="s">
        <v>17</v>
      </c>
      <c r="R126" t="s">
        <v>30</v>
      </c>
    </row>
    <row r="127" spans="1:18" ht="15" customHeight="1" x14ac:dyDescent="0.35">
      <c r="A127" t="s">
        <v>556</v>
      </c>
      <c r="B127">
        <v>2021</v>
      </c>
      <c r="C127" t="s">
        <v>557</v>
      </c>
      <c r="D127" t="s">
        <v>558</v>
      </c>
      <c r="E127" t="s">
        <v>15</v>
      </c>
      <c r="F127" t="s">
        <v>16</v>
      </c>
      <c r="G127" t="s">
        <v>15</v>
      </c>
      <c r="H127" t="s">
        <v>34</v>
      </c>
      <c r="I127" t="s">
        <v>15</v>
      </c>
      <c r="J127" t="s">
        <v>27</v>
      </c>
      <c r="K127" t="s">
        <v>15</v>
      </c>
      <c r="L127" t="s">
        <v>20</v>
      </c>
      <c r="M127" t="s">
        <v>15</v>
      </c>
      <c r="N127" t="s">
        <v>559</v>
      </c>
      <c r="O127" t="s">
        <v>17</v>
      </c>
      <c r="P127" t="s">
        <v>29</v>
      </c>
      <c r="Q127" t="s">
        <v>17</v>
      </c>
      <c r="R127" t="s">
        <v>560</v>
      </c>
    </row>
    <row r="128" spans="1:18" ht="15" customHeight="1" x14ac:dyDescent="0.35">
      <c r="A128" t="s">
        <v>561</v>
      </c>
      <c r="B128">
        <v>2021</v>
      </c>
      <c r="C128" t="s">
        <v>562</v>
      </c>
      <c r="D128" t="s">
        <v>563</v>
      </c>
      <c r="E128" t="s">
        <v>15</v>
      </c>
      <c r="F128" t="s">
        <v>16</v>
      </c>
      <c r="G128" t="s">
        <v>15</v>
      </c>
      <c r="H128" t="s">
        <v>34</v>
      </c>
      <c r="I128" t="s">
        <v>15</v>
      </c>
      <c r="J128" t="s">
        <v>483</v>
      </c>
      <c r="K128" t="s">
        <v>15</v>
      </c>
      <c r="L128" t="s">
        <v>20</v>
      </c>
      <c r="M128" t="s">
        <v>15</v>
      </c>
      <c r="N128" t="s">
        <v>21</v>
      </c>
      <c r="O128" t="s">
        <v>15</v>
      </c>
      <c r="P128" t="s">
        <v>564</v>
      </c>
      <c r="Q128" t="s">
        <v>15</v>
      </c>
      <c r="R128" t="s">
        <v>110</v>
      </c>
    </row>
    <row r="129" spans="1:18" ht="15" customHeight="1" x14ac:dyDescent="0.35">
      <c r="A129" t="s">
        <v>565</v>
      </c>
      <c r="B129">
        <v>2021</v>
      </c>
      <c r="C129" t="s">
        <v>566</v>
      </c>
      <c r="D129" t="s">
        <v>567</v>
      </c>
      <c r="E129" t="s">
        <v>15</v>
      </c>
      <c r="F129" t="s">
        <v>16</v>
      </c>
      <c r="G129" t="s">
        <v>15</v>
      </c>
      <c r="H129" t="s">
        <v>39</v>
      </c>
      <c r="I129" t="s">
        <v>15</v>
      </c>
      <c r="J129" t="s">
        <v>49</v>
      </c>
      <c r="K129" t="s">
        <v>15</v>
      </c>
      <c r="L129" t="s">
        <v>20</v>
      </c>
      <c r="M129" t="s">
        <v>15</v>
      </c>
      <c r="N129" t="s">
        <v>21</v>
      </c>
      <c r="O129" t="s">
        <v>15</v>
      </c>
      <c r="P129" t="s">
        <v>22</v>
      </c>
      <c r="Q129" t="s">
        <v>17</v>
      </c>
      <c r="R129" t="s">
        <v>30</v>
      </c>
    </row>
    <row r="130" spans="1:18" ht="15" customHeight="1" x14ac:dyDescent="0.35">
      <c r="A130" t="s">
        <v>568</v>
      </c>
      <c r="B130">
        <v>2021</v>
      </c>
      <c r="C130" t="s">
        <v>569</v>
      </c>
      <c r="D130" t="s">
        <v>570</v>
      </c>
      <c r="E130" t="s">
        <v>15</v>
      </c>
      <c r="F130" t="s">
        <v>16</v>
      </c>
      <c r="G130" t="s">
        <v>15</v>
      </c>
      <c r="H130" t="s">
        <v>39</v>
      </c>
      <c r="I130" t="s">
        <v>15</v>
      </c>
      <c r="J130" t="s">
        <v>483</v>
      </c>
      <c r="K130" t="s">
        <v>15</v>
      </c>
      <c r="L130" t="s">
        <v>20</v>
      </c>
      <c r="M130" t="s">
        <v>15</v>
      </c>
      <c r="N130" t="s">
        <v>21</v>
      </c>
      <c r="O130" t="s">
        <v>15</v>
      </c>
      <c r="P130" t="s">
        <v>22</v>
      </c>
      <c r="Q130" t="s">
        <v>17</v>
      </c>
      <c r="R130" t="s">
        <v>30</v>
      </c>
    </row>
    <row r="131" spans="1:18" ht="15" customHeight="1" x14ac:dyDescent="0.35">
      <c r="A131" t="s">
        <v>571</v>
      </c>
      <c r="B131">
        <v>2021</v>
      </c>
      <c r="C131" t="s">
        <v>572</v>
      </c>
      <c r="D131" t="s">
        <v>573</v>
      </c>
      <c r="E131" t="s">
        <v>15</v>
      </c>
      <c r="F131" t="s">
        <v>16</v>
      </c>
      <c r="G131" t="s">
        <v>17</v>
      </c>
      <c r="H131" t="s">
        <v>310</v>
      </c>
      <c r="I131" t="s">
        <v>15</v>
      </c>
      <c r="J131" t="s">
        <v>574</v>
      </c>
      <c r="K131" t="s">
        <v>15</v>
      </c>
      <c r="L131" t="s">
        <v>20</v>
      </c>
      <c r="M131" t="s">
        <v>15</v>
      </c>
      <c r="N131" t="s">
        <v>21</v>
      </c>
      <c r="O131" t="s">
        <v>15</v>
      </c>
      <c r="P131" t="s">
        <v>91</v>
      </c>
      <c r="Q131" t="s">
        <v>17</v>
      </c>
      <c r="R131" t="s">
        <v>30</v>
      </c>
    </row>
    <row r="132" spans="1:18" ht="15" customHeight="1" x14ac:dyDescent="0.35">
      <c r="A132" t="s">
        <v>575</v>
      </c>
      <c r="B132">
        <v>2021</v>
      </c>
      <c r="C132" t="s">
        <v>576</v>
      </c>
      <c r="D132" t="s">
        <v>577</v>
      </c>
      <c r="E132" t="s">
        <v>15</v>
      </c>
      <c r="F132" t="s">
        <v>16</v>
      </c>
      <c r="G132" t="s">
        <v>17</v>
      </c>
      <c r="H132" t="s">
        <v>310</v>
      </c>
      <c r="I132" t="s">
        <v>15</v>
      </c>
      <c r="J132" t="s">
        <v>574</v>
      </c>
      <c r="K132" t="s">
        <v>15</v>
      </c>
      <c r="L132" t="s">
        <v>20</v>
      </c>
      <c r="M132" t="s">
        <v>17</v>
      </c>
      <c r="N132" t="s">
        <v>578</v>
      </c>
      <c r="O132" t="s">
        <v>15</v>
      </c>
      <c r="P132" t="s">
        <v>91</v>
      </c>
      <c r="Q132" t="s">
        <v>17</v>
      </c>
      <c r="R132" t="s">
        <v>30</v>
      </c>
    </row>
    <row r="133" spans="1:18" ht="15" customHeight="1" x14ac:dyDescent="0.35">
      <c r="A133" t="s">
        <v>579</v>
      </c>
      <c r="B133">
        <v>2021</v>
      </c>
      <c r="C133" t="s">
        <v>580</v>
      </c>
      <c r="D133" t="s">
        <v>581</v>
      </c>
      <c r="E133" t="s">
        <v>15</v>
      </c>
      <c r="F133" t="s">
        <v>16</v>
      </c>
      <c r="G133" t="s">
        <v>15</v>
      </c>
      <c r="H133" t="s">
        <v>582</v>
      </c>
      <c r="I133" t="s">
        <v>15</v>
      </c>
      <c r="J133" t="s">
        <v>449</v>
      </c>
      <c r="K133" t="s">
        <v>15</v>
      </c>
      <c r="L133" t="s">
        <v>20</v>
      </c>
      <c r="M133" t="s">
        <v>15</v>
      </c>
      <c r="N133" t="s">
        <v>21</v>
      </c>
      <c r="O133" t="s">
        <v>15</v>
      </c>
      <c r="P133" t="s">
        <v>44</v>
      </c>
      <c r="Q133" t="s">
        <v>17</v>
      </c>
      <c r="R133" t="s">
        <v>30</v>
      </c>
    </row>
    <row r="134" spans="1:18" ht="15" customHeight="1" x14ac:dyDescent="0.35">
      <c r="A134" t="s">
        <v>583</v>
      </c>
      <c r="B134">
        <v>2021</v>
      </c>
      <c r="C134" t="s">
        <v>584</v>
      </c>
      <c r="D134" t="s">
        <v>585</v>
      </c>
      <c r="E134" t="s">
        <v>15</v>
      </c>
      <c r="F134" t="s">
        <v>16</v>
      </c>
      <c r="G134" t="s">
        <v>15</v>
      </c>
      <c r="H134" t="s">
        <v>327</v>
      </c>
      <c r="I134" t="s">
        <v>17</v>
      </c>
      <c r="J134" t="s">
        <v>352</v>
      </c>
      <c r="K134" t="s">
        <v>15</v>
      </c>
      <c r="L134" t="s">
        <v>20</v>
      </c>
      <c r="M134" t="s">
        <v>15</v>
      </c>
      <c r="N134" t="s">
        <v>540</v>
      </c>
      <c r="O134" t="s">
        <v>15</v>
      </c>
      <c r="P134" t="s">
        <v>22</v>
      </c>
      <c r="Q134" t="s">
        <v>17</v>
      </c>
      <c r="R134" t="s">
        <v>30</v>
      </c>
    </row>
    <row r="135" spans="1:18" ht="15" customHeight="1" x14ac:dyDescent="0.35">
      <c r="A135" t="s">
        <v>586</v>
      </c>
      <c r="B135">
        <v>2021</v>
      </c>
      <c r="C135" t="s">
        <v>587</v>
      </c>
      <c r="D135" s="1" t="s">
        <v>588</v>
      </c>
      <c r="E135" t="s">
        <v>15</v>
      </c>
      <c r="F135" t="s">
        <v>16</v>
      </c>
      <c r="G135" t="s">
        <v>15</v>
      </c>
      <c r="H135" t="s">
        <v>34</v>
      </c>
      <c r="I135" t="s">
        <v>15</v>
      </c>
      <c r="J135" t="s">
        <v>27</v>
      </c>
      <c r="K135" t="s">
        <v>15</v>
      </c>
      <c r="L135" t="s">
        <v>20</v>
      </c>
      <c r="M135" t="s">
        <v>15</v>
      </c>
      <c r="N135" t="s">
        <v>21</v>
      </c>
      <c r="O135" t="s">
        <v>17</v>
      </c>
      <c r="P135" t="s">
        <v>29</v>
      </c>
      <c r="Q135" t="s">
        <v>17</v>
      </c>
      <c r="R135" t="s">
        <v>589</v>
      </c>
    </row>
    <row r="136" spans="1:18" ht="15" customHeight="1" x14ac:dyDescent="0.35">
      <c r="A136" t="s">
        <v>590</v>
      </c>
      <c r="B136">
        <v>2021</v>
      </c>
      <c r="C136" t="s">
        <v>591</v>
      </c>
      <c r="D136" t="s">
        <v>592</v>
      </c>
      <c r="E136" t="s">
        <v>15</v>
      </c>
      <c r="F136" t="s">
        <v>16</v>
      </c>
      <c r="G136" t="s">
        <v>15</v>
      </c>
      <c r="H136" t="s">
        <v>34</v>
      </c>
      <c r="I136" t="s">
        <v>15</v>
      </c>
      <c r="J136" t="s">
        <v>574</v>
      </c>
      <c r="K136" t="s">
        <v>17</v>
      </c>
      <c r="L136" t="s">
        <v>162</v>
      </c>
      <c r="M136" t="s">
        <v>17</v>
      </c>
      <c r="N136" t="s">
        <v>204</v>
      </c>
      <c r="O136" t="s">
        <v>15</v>
      </c>
      <c r="P136" t="s">
        <v>91</v>
      </c>
      <c r="Q136" t="s">
        <v>17</v>
      </c>
      <c r="R136" t="s">
        <v>336</v>
      </c>
    </row>
    <row r="137" spans="1:18" ht="15" customHeight="1" x14ac:dyDescent="0.35">
      <c r="A137" t="s">
        <v>593</v>
      </c>
      <c r="B137">
        <v>2021</v>
      </c>
      <c r="C137" t="s">
        <v>594</v>
      </c>
      <c r="D137" t="s">
        <v>595</v>
      </c>
      <c r="E137" t="s">
        <v>15</v>
      </c>
      <c r="F137" t="s">
        <v>16</v>
      </c>
      <c r="G137" t="s">
        <v>17</v>
      </c>
      <c r="H137" t="s">
        <v>188</v>
      </c>
      <c r="I137" t="s">
        <v>15</v>
      </c>
      <c r="J137" t="s">
        <v>596</v>
      </c>
      <c r="K137" t="s">
        <v>15</v>
      </c>
      <c r="L137" t="s">
        <v>20</v>
      </c>
      <c r="M137" t="s">
        <v>15</v>
      </c>
      <c r="N137" t="s">
        <v>21</v>
      </c>
      <c r="O137" t="s">
        <v>17</v>
      </c>
      <c r="P137" t="s">
        <v>29</v>
      </c>
      <c r="Q137" t="s">
        <v>17</v>
      </c>
      <c r="R137" t="s">
        <v>30</v>
      </c>
    </row>
    <row r="138" spans="1:18" ht="15" customHeight="1" x14ac:dyDescent="0.35">
      <c r="A138" t="s">
        <v>597</v>
      </c>
      <c r="B138">
        <v>2021</v>
      </c>
      <c r="C138" t="s">
        <v>598</v>
      </c>
      <c r="D138" t="s">
        <v>599</v>
      </c>
      <c r="E138" t="s">
        <v>15</v>
      </c>
      <c r="F138" t="s">
        <v>16</v>
      </c>
      <c r="G138" t="s">
        <v>15</v>
      </c>
      <c r="H138" t="s">
        <v>34</v>
      </c>
      <c r="I138" t="s">
        <v>15</v>
      </c>
      <c r="J138" t="s">
        <v>600</v>
      </c>
      <c r="K138" t="s">
        <v>17</v>
      </c>
      <c r="L138" t="s">
        <v>162</v>
      </c>
      <c r="M138" t="s">
        <v>17</v>
      </c>
      <c r="N138" t="s">
        <v>204</v>
      </c>
      <c r="O138" t="s">
        <v>17</v>
      </c>
      <c r="P138" t="s">
        <v>29</v>
      </c>
      <c r="Q138" t="s">
        <v>17</v>
      </c>
      <c r="R138" t="s">
        <v>336</v>
      </c>
    </row>
    <row r="139" spans="1:18" ht="15" customHeight="1" x14ac:dyDescent="0.35">
      <c r="A139" t="s">
        <v>601</v>
      </c>
      <c r="B139">
        <v>2021</v>
      </c>
      <c r="C139" t="s">
        <v>602</v>
      </c>
      <c r="D139" t="s">
        <v>603</v>
      </c>
      <c r="E139" t="s">
        <v>15</v>
      </c>
      <c r="F139" t="s">
        <v>16</v>
      </c>
      <c r="G139" t="s">
        <v>17</v>
      </c>
      <c r="H139" t="s">
        <v>188</v>
      </c>
      <c r="I139" t="s">
        <v>15</v>
      </c>
      <c r="J139" t="s">
        <v>604</v>
      </c>
      <c r="K139" t="s">
        <v>15</v>
      </c>
      <c r="L139" t="s">
        <v>20</v>
      </c>
      <c r="M139" t="s">
        <v>17</v>
      </c>
      <c r="N139" t="s">
        <v>184</v>
      </c>
      <c r="O139" t="s">
        <v>17</v>
      </c>
      <c r="P139" t="s">
        <v>29</v>
      </c>
      <c r="Q139" t="s">
        <v>17</v>
      </c>
      <c r="R139" t="s">
        <v>30</v>
      </c>
    </row>
    <row r="140" spans="1:18" ht="15" customHeight="1" x14ac:dyDescent="0.35">
      <c r="A140" t="s">
        <v>605</v>
      </c>
      <c r="B140">
        <v>2021</v>
      </c>
      <c r="C140" t="s">
        <v>606</v>
      </c>
      <c r="D140" t="s">
        <v>607</v>
      </c>
      <c r="E140" t="s">
        <v>15</v>
      </c>
      <c r="F140" t="s">
        <v>16</v>
      </c>
      <c r="G140" t="s">
        <v>17</v>
      </c>
      <c r="H140" t="s">
        <v>188</v>
      </c>
      <c r="I140" t="s">
        <v>15</v>
      </c>
      <c r="J140" t="s">
        <v>608</v>
      </c>
      <c r="K140" t="s">
        <v>15</v>
      </c>
      <c r="L140" t="s">
        <v>20</v>
      </c>
      <c r="M140" t="s">
        <v>17</v>
      </c>
      <c r="N140" t="s">
        <v>184</v>
      </c>
      <c r="O140" t="s">
        <v>15</v>
      </c>
      <c r="P140" t="s">
        <v>91</v>
      </c>
      <c r="Q140" t="s">
        <v>17</v>
      </c>
      <c r="R140" t="s">
        <v>30</v>
      </c>
    </row>
    <row r="141" spans="1:18" ht="15" customHeight="1" x14ac:dyDescent="0.35">
      <c r="A141" t="s">
        <v>609</v>
      </c>
      <c r="B141">
        <v>2021</v>
      </c>
      <c r="C141" t="s">
        <v>610</v>
      </c>
      <c r="D141" t="s">
        <v>611</v>
      </c>
      <c r="E141" t="s">
        <v>15</v>
      </c>
      <c r="F141" t="s">
        <v>16</v>
      </c>
      <c r="G141" t="s">
        <v>15</v>
      </c>
      <c r="H141" t="s">
        <v>35</v>
      </c>
      <c r="I141" t="s">
        <v>15</v>
      </c>
      <c r="J141" t="s">
        <v>483</v>
      </c>
      <c r="K141" t="s">
        <v>15</v>
      </c>
      <c r="L141" t="s">
        <v>20</v>
      </c>
      <c r="M141" t="s">
        <v>15</v>
      </c>
      <c r="N141" t="s">
        <v>21</v>
      </c>
      <c r="O141" t="s">
        <v>15</v>
      </c>
      <c r="P141" t="s">
        <v>136</v>
      </c>
      <c r="Q141" t="s">
        <v>17</v>
      </c>
      <c r="R141" t="s">
        <v>30</v>
      </c>
    </row>
    <row r="142" spans="1:18" ht="15" customHeight="1" x14ac:dyDescent="0.35">
      <c r="A142" t="s">
        <v>612</v>
      </c>
      <c r="B142">
        <v>2021</v>
      </c>
      <c r="C142" t="s">
        <v>613</v>
      </c>
      <c r="D142" t="s">
        <v>614</v>
      </c>
      <c r="E142" t="s">
        <v>15</v>
      </c>
      <c r="F142" t="s">
        <v>16</v>
      </c>
      <c r="G142" t="s">
        <v>17</v>
      </c>
      <c r="H142" t="s">
        <v>188</v>
      </c>
      <c r="I142" t="s">
        <v>15</v>
      </c>
      <c r="J142" t="s">
        <v>27</v>
      </c>
      <c r="K142" t="s">
        <v>15</v>
      </c>
      <c r="L142" t="s">
        <v>20</v>
      </c>
      <c r="M142" t="s">
        <v>15</v>
      </c>
      <c r="N142" t="s">
        <v>122</v>
      </c>
      <c r="O142" t="s">
        <v>17</v>
      </c>
      <c r="P142" t="s">
        <v>29</v>
      </c>
      <c r="Q142" t="s">
        <v>17</v>
      </c>
      <c r="R142" t="s">
        <v>30</v>
      </c>
    </row>
    <row r="143" spans="1:18" ht="15" customHeight="1" x14ac:dyDescent="0.35">
      <c r="A143" t="s">
        <v>615</v>
      </c>
      <c r="B143">
        <v>2021</v>
      </c>
      <c r="C143" t="s">
        <v>616</v>
      </c>
      <c r="D143" t="s">
        <v>617</v>
      </c>
      <c r="E143" t="s">
        <v>15</v>
      </c>
      <c r="F143" t="s">
        <v>16</v>
      </c>
      <c r="G143" t="s">
        <v>17</v>
      </c>
      <c r="H143" t="s">
        <v>535</v>
      </c>
      <c r="I143" t="s">
        <v>15</v>
      </c>
      <c r="J143" t="s">
        <v>618</v>
      </c>
      <c r="K143" t="s">
        <v>15</v>
      </c>
      <c r="L143" t="s">
        <v>20</v>
      </c>
      <c r="M143" t="s">
        <v>15</v>
      </c>
      <c r="N143" t="s">
        <v>21</v>
      </c>
      <c r="O143" t="s">
        <v>17</v>
      </c>
      <c r="P143" t="s">
        <v>29</v>
      </c>
      <c r="Q143" t="s">
        <v>17</v>
      </c>
      <c r="R143" t="s">
        <v>30</v>
      </c>
    </row>
    <row r="144" spans="1:18" ht="15" customHeight="1" x14ac:dyDescent="0.35">
      <c r="A144" t="s">
        <v>619</v>
      </c>
      <c r="B144">
        <v>2021</v>
      </c>
      <c r="C144" t="s">
        <v>620</v>
      </c>
      <c r="D144" t="s">
        <v>621</v>
      </c>
      <c r="E144" t="s">
        <v>15</v>
      </c>
      <c r="F144" t="s">
        <v>16</v>
      </c>
      <c r="G144" t="s">
        <v>15</v>
      </c>
      <c r="H144" t="s">
        <v>65</v>
      </c>
      <c r="I144" t="s">
        <v>15</v>
      </c>
      <c r="J144" t="s">
        <v>618</v>
      </c>
      <c r="K144" t="s">
        <v>17</v>
      </c>
      <c r="L144" t="s">
        <v>162</v>
      </c>
      <c r="M144" t="s">
        <v>17</v>
      </c>
      <c r="N144" t="s">
        <v>204</v>
      </c>
      <c r="O144" t="s">
        <v>15</v>
      </c>
      <c r="P144" t="s">
        <v>22</v>
      </c>
      <c r="Q144" t="s">
        <v>17</v>
      </c>
      <c r="R144" t="s">
        <v>30</v>
      </c>
    </row>
    <row r="145" spans="1:18" ht="15" customHeight="1" x14ac:dyDescent="0.35">
      <c r="A145" t="s">
        <v>622</v>
      </c>
      <c r="B145">
        <v>2021</v>
      </c>
      <c r="C145" t="s">
        <v>623</v>
      </c>
      <c r="D145" t="s">
        <v>624</v>
      </c>
      <c r="E145" t="s">
        <v>15</v>
      </c>
      <c r="F145" t="s">
        <v>16</v>
      </c>
      <c r="G145" t="s">
        <v>15</v>
      </c>
      <c r="H145" t="s">
        <v>625</v>
      </c>
      <c r="I145" t="s">
        <v>15</v>
      </c>
      <c r="J145" t="s">
        <v>348</v>
      </c>
      <c r="K145" t="s">
        <v>17</v>
      </c>
      <c r="L145" t="s">
        <v>162</v>
      </c>
      <c r="M145" t="s">
        <v>17</v>
      </c>
      <c r="N145" t="s">
        <v>204</v>
      </c>
      <c r="O145" t="s">
        <v>17</v>
      </c>
      <c r="P145" t="s">
        <v>29</v>
      </c>
      <c r="Q145" t="s">
        <v>17</v>
      </c>
      <c r="R145" t="s">
        <v>336</v>
      </c>
    </row>
    <row r="146" spans="1:18" ht="15" customHeight="1" x14ac:dyDescent="0.35">
      <c r="A146" t="s">
        <v>626</v>
      </c>
      <c r="B146">
        <v>2021</v>
      </c>
      <c r="C146" t="s">
        <v>627</v>
      </c>
      <c r="D146" t="s">
        <v>628</v>
      </c>
      <c r="E146" t="s">
        <v>15</v>
      </c>
      <c r="F146" t="s">
        <v>16</v>
      </c>
      <c r="G146" t="s">
        <v>15</v>
      </c>
      <c r="H146" t="s">
        <v>625</v>
      </c>
      <c r="I146" t="s">
        <v>15</v>
      </c>
      <c r="J146" t="s">
        <v>348</v>
      </c>
      <c r="K146" t="s">
        <v>17</v>
      </c>
      <c r="L146" t="s">
        <v>162</v>
      </c>
      <c r="M146" t="s">
        <v>17</v>
      </c>
      <c r="N146" t="s">
        <v>204</v>
      </c>
      <c r="O146" t="s">
        <v>17</v>
      </c>
      <c r="P146" t="s">
        <v>29</v>
      </c>
      <c r="Q146" t="s">
        <v>17</v>
      </c>
      <c r="R146" t="s">
        <v>336</v>
      </c>
    </row>
    <row r="147" spans="1:18" ht="15" customHeight="1" x14ac:dyDescent="0.35">
      <c r="A147" t="s">
        <v>629</v>
      </c>
      <c r="B147">
        <v>2021</v>
      </c>
      <c r="C147" t="s">
        <v>630</v>
      </c>
      <c r="D147" t="s">
        <v>631</v>
      </c>
      <c r="E147" t="s">
        <v>15</v>
      </c>
      <c r="F147" t="s">
        <v>16</v>
      </c>
      <c r="G147" t="s">
        <v>17</v>
      </c>
      <c r="H147" t="s">
        <v>188</v>
      </c>
      <c r="I147" t="s">
        <v>15</v>
      </c>
      <c r="J147" t="s">
        <v>632</v>
      </c>
      <c r="K147" t="s">
        <v>15</v>
      </c>
      <c r="L147" t="s">
        <v>20</v>
      </c>
      <c r="M147" t="s">
        <v>15</v>
      </c>
      <c r="N147" t="s">
        <v>633</v>
      </c>
      <c r="O147" t="s">
        <v>15</v>
      </c>
      <c r="P147" t="s">
        <v>22</v>
      </c>
      <c r="Q147" t="s">
        <v>17</v>
      </c>
      <c r="R147" t="s">
        <v>30</v>
      </c>
    </row>
    <row r="148" spans="1:18" ht="15" customHeight="1" x14ac:dyDescent="0.35">
      <c r="A148" t="s">
        <v>634</v>
      </c>
      <c r="B148">
        <v>2021</v>
      </c>
      <c r="C148" t="s">
        <v>635</v>
      </c>
      <c r="D148" t="s">
        <v>636</v>
      </c>
      <c r="E148" t="s">
        <v>15</v>
      </c>
      <c r="F148" t="s">
        <v>16</v>
      </c>
      <c r="G148" t="s">
        <v>15</v>
      </c>
      <c r="H148" t="s">
        <v>65</v>
      </c>
      <c r="I148" t="s">
        <v>15</v>
      </c>
      <c r="J148" t="s">
        <v>483</v>
      </c>
      <c r="K148" t="s">
        <v>15</v>
      </c>
      <c r="L148" t="s">
        <v>20</v>
      </c>
      <c r="M148" t="s">
        <v>15</v>
      </c>
      <c r="N148" t="s">
        <v>21</v>
      </c>
      <c r="O148" t="s">
        <v>15</v>
      </c>
      <c r="P148" t="s">
        <v>22</v>
      </c>
      <c r="Q148" t="s">
        <v>17</v>
      </c>
      <c r="R148" t="s">
        <v>30</v>
      </c>
    </row>
    <row r="149" spans="1:18" ht="15" customHeight="1" x14ac:dyDescent="0.35">
      <c r="A149" t="s">
        <v>637</v>
      </c>
      <c r="B149">
        <v>2021</v>
      </c>
      <c r="C149" t="s">
        <v>638</v>
      </c>
      <c r="D149" t="s">
        <v>639</v>
      </c>
      <c r="E149" t="s">
        <v>15</v>
      </c>
      <c r="F149" t="s">
        <v>16</v>
      </c>
      <c r="G149" t="s">
        <v>15</v>
      </c>
      <c r="H149" t="s">
        <v>402</v>
      </c>
      <c r="I149" t="s">
        <v>15</v>
      </c>
      <c r="J149" t="s">
        <v>483</v>
      </c>
      <c r="K149" t="s">
        <v>15</v>
      </c>
      <c r="L149" t="s">
        <v>20</v>
      </c>
      <c r="M149" t="s">
        <v>17</v>
      </c>
      <c r="N149" t="s">
        <v>578</v>
      </c>
      <c r="O149" t="s">
        <v>17</v>
      </c>
      <c r="P149" t="s">
        <v>29</v>
      </c>
      <c r="Q149" t="s">
        <v>17</v>
      </c>
      <c r="R149" t="s">
        <v>30</v>
      </c>
    </row>
    <row r="150" spans="1:18" ht="15" customHeight="1" x14ac:dyDescent="0.35">
      <c r="A150" t="s">
        <v>640</v>
      </c>
      <c r="B150">
        <v>2021</v>
      </c>
      <c r="C150" t="s">
        <v>641</v>
      </c>
      <c r="D150" t="s">
        <v>642</v>
      </c>
      <c r="E150" t="s">
        <v>15</v>
      </c>
      <c r="F150" t="s">
        <v>16</v>
      </c>
      <c r="G150" t="s">
        <v>15</v>
      </c>
      <c r="H150" t="s">
        <v>39</v>
      </c>
      <c r="I150" t="s">
        <v>15</v>
      </c>
      <c r="J150" t="s">
        <v>574</v>
      </c>
      <c r="K150" t="s">
        <v>15</v>
      </c>
      <c r="L150" t="s">
        <v>20</v>
      </c>
      <c r="M150" t="s">
        <v>15</v>
      </c>
      <c r="N150" t="s">
        <v>21</v>
      </c>
      <c r="O150" t="s">
        <v>15</v>
      </c>
      <c r="P150" t="s">
        <v>91</v>
      </c>
      <c r="Q150" t="s">
        <v>17</v>
      </c>
      <c r="R150" t="s">
        <v>30</v>
      </c>
    </row>
    <row r="151" spans="1:18" ht="15" customHeight="1" x14ac:dyDescent="0.35">
      <c r="A151" t="s">
        <v>643</v>
      </c>
      <c r="B151">
        <v>2021</v>
      </c>
      <c r="C151" t="s">
        <v>644</v>
      </c>
      <c r="D151" t="s">
        <v>645</v>
      </c>
      <c r="E151" t="s">
        <v>15</v>
      </c>
      <c r="F151" t="s">
        <v>16</v>
      </c>
      <c r="G151" t="s">
        <v>15</v>
      </c>
      <c r="H151" t="s">
        <v>646</v>
      </c>
      <c r="I151" t="s">
        <v>15</v>
      </c>
      <c r="J151" t="s">
        <v>483</v>
      </c>
      <c r="K151" t="s">
        <v>15</v>
      </c>
      <c r="L151" t="s">
        <v>20</v>
      </c>
      <c r="M151" t="s">
        <v>15</v>
      </c>
      <c r="N151" t="s">
        <v>21</v>
      </c>
      <c r="O151" t="s">
        <v>17</v>
      </c>
      <c r="P151" t="s">
        <v>29</v>
      </c>
      <c r="Q151" t="s">
        <v>17</v>
      </c>
      <c r="R151" t="s">
        <v>30</v>
      </c>
    </row>
    <row r="152" spans="1:18" ht="15" customHeight="1" x14ac:dyDescent="0.35">
      <c r="A152" t="s">
        <v>647</v>
      </c>
      <c r="B152">
        <v>2021</v>
      </c>
      <c r="C152" t="s">
        <v>648</v>
      </c>
      <c r="D152" t="s">
        <v>624</v>
      </c>
      <c r="E152" t="s">
        <v>15</v>
      </c>
      <c r="F152" t="s">
        <v>16</v>
      </c>
      <c r="G152" t="s">
        <v>15</v>
      </c>
      <c r="H152" t="s">
        <v>34</v>
      </c>
      <c r="I152" t="s">
        <v>15</v>
      </c>
      <c r="J152" t="s">
        <v>649</v>
      </c>
      <c r="K152" t="s">
        <v>15</v>
      </c>
      <c r="L152" t="s">
        <v>20</v>
      </c>
      <c r="M152" t="s">
        <v>17</v>
      </c>
      <c r="N152" t="s">
        <v>282</v>
      </c>
      <c r="O152" t="s">
        <v>17</v>
      </c>
      <c r="P152" t="s">
        <v>650</v>
      </c>
      <c r="Q152" t="s">
        <v>17</v>
      </c>
      <c r="R152" t="s">
        <v>30</v>
      </c>
    </row>
    <row r="153" spans="1:18" ht="15" customHeight="1" x14ac:dyDescent="0.35">
      <c r="A153" t="s">
        <v>651</v>
      </c>
      <c r="B153">
        <v>2021</v>
      </c>
      <c r="C153" t="s">
        <v>652</v>
      </c>
      <c r="D153" t="s">
        <v>653</v>
      </c>
      <c r="E153" t="s">
        <v>15</v>
      </c>
      <c r="F153" t="s">
        <v>16</v>
      </c>
      <c r="G153" t="s">
        <v>15</v>
      </c>
      <c r="H153" t="s">
        <v>34</v>
      </c>
      <c r="I153" t="s">
        <v>15</v>
      </c>
      <c r="J153" t="s">
        <v>27</v>
      </c>
      <c r="K153" t="s">
        <v>15</v>
      </c>
      <c r="L153" t="s">
        <v>20</v>
      </c>
      <c r="M153" t="s">
        <v>17</v>
      </c>
      <c r="N153" t="s">
        <v>654</v>
      </c>
      <c r="O153" t="s">
        <v>15</v>
      </c>
      <c r="P153" t="s">
        <v>136</v>
      </c>
      <c r="Q153" t="s">
        <v>17</v>
      </c>
      <c r="R153" t="s">
        <v>30</v>
      </c>
    </row>
    <row r="154" spans="1:18" ht="15" customHeight="1" x14ac:dyDescent="0.35">
      <c r="A154" t="s">
        <v>655</v>
      </c>
      <c r="B154">
        <v>2021</v>
      </c>
      <c r="C154" t="s">
        <v>656</v>
      </c>
      <c r="D154" t="s">
        <v>657</v>
      </c>
      <c r="E154" t="s">
        <v>15</v>
      </c>
      <c r="F154" t="s">
        <v>16</v>
      </c>
      <c r="G154" t="s">
        <v>17</v>
      </c>
      <c r="H154" t="s">
        <v>188</v>
      </c>
      <c r="I154" t="s">
        <v>17</v>
      </c>
      <c r="J154" t="s">
        <v>189</v>
      </c>
      <c r="K154" t="s">
        <v>15</v>
      </c>
      <c r="L154" t="s">
        <v>20</v>
      </c>
      <c r="M154" t="s">
        <v>17</v>
      </c>
      <c r="N154" t="s">
        <v>184</v>
      </c>
      <c r="O154" t="s">
        <v>17</v>
      </c>
      <c r="P154" t="s">
        <v>658</v>
      </c>
      <c r="Q154" t="s">
        <v>17</v>
      </c>
      <c r="R154" t="s">
        <v>30</v>
      </c>
    </row>
    <row r="155" spans="1:18" ht="15" customHeight="1" x14ac:dyDescent="0.35">
      <c r="A155" t="s">
        <v>659</v>
      </c>
      <c r="B155">
        <v>2021</v>
      </c>
      <c r="C155" t="s">
        <v>660</v>
      </c>
      <c r="D155" t="s">
        <v>661</v>
      </c>
      <c r="E155" t="s">
        <v>15</v>
      </c>
      <c r="F155" t="s">
        <v>16</v>
      </c>
      <c r="G155" t="s">
        <v>15</v>
      </c>
      <c r="H155" t="s">
        <v>39</v>
      </c>
      <c r="I155" t="s">
        <v>15</v>
      </c>
      <c r="J155" t="s">
        <v>483</v>
      </c>
      <c r="K155" t="s">
        <v>15</v>
      </c>
      <c r="L155" t="s">
        <v>20</v>
      </c>
      <c r="M155" t="s">
        <v>15</v>
      </c>
      <c r="N155" t="s">
        <v>662</v>
      </c>
      <c r="O155" t="s">
        <v>17</v>
      </c>
      <c r="P155" t="s">
        <v>29</v>
      </c>
      <c r="Q155" t="s">
        <v>17</v>
      </c>
      <c r="R155" t="s">
        <v>30</v>
      </c>
    </row>
    <row r="156" spans="1:18" ht="15" customHeight="1" x14ac:dyDescent="0.35">
      <c r="A156" t="s">
        <v>663</v>
      </c>
      <c r="B156">
        <v>2021</v>
      </c>
      <c r="C156" t="s">
        <v>664</v>
      </c>
      <c r="D156" t="s">
        <v>665</v>
      </c>
      <c r="E156" t="s">
        <v>15</v>
      </c>
      <c r="F156" t="s">
        <v>16</v>
      </c>
      <c r="G156" t="s">
        <v>15</v>
      </c>
      <c r="H156" t="s">
        <v>34</v>
      </c>
      <c r="I156" t="s">
        <v>15</v>
      </c>
      <c r="J156" t="s">
        <v>348</v>
      </c>
      <c r="K156" t="s">
        <v>15</v>
      </c>
      <c r="L156" t="s">
        <v>20</v>
      </c>
      <c r="M156" t="s">
        <v>17</v>
      </c>
      <c r="N156" t="s">
        <v>666</v>
      </c>
      <c r="O156" t="s">
        <v>15</v>
      </c>
      <c r="P156" t="s">
        <v>22</v>
      </c>
      <c r="Q156" t="s">
        <v>17</v>
      </c>
      <c r="R156" t="s">
        <v>30</v>
      </c>
    </row>
    <row r="157" spans="1:18" ht="15" customHeight="1" x14ac:dyDescent="0.35">
      <c r="A157" t="s">
        <v>667</v>
      </c>
      <c r="B157">
        <v>2021</v>
      </c>
      <c r="C157" t="s">
        <v>668</v>
      </c>
      <c r="D157" t="s">
        <v>669</v>
      </c>
      <c r="E157" t="s">
        <v>15</v>
      </c>
      <c r="F157" t="s">
        <v>16</v>
      </c>
      <c r="G157" t="s">
        <v>15</v>
      </c>
      <c r="H157" t="s">
        <v>670</v>
      </c>
      <c r="I157" t="s">
        <v>15</v>
      </c>
      <c r="J157" t="s">
        <v>27</v>
      </c>
      <c r="K157" t="s">
        <v>15</v>
      </c>
      <c r="L157" t="s">
        <v>671</v>
      </c>
      <c r="M157" t="s">
        <v>17</v>
      </c>
      <c r="N157" t="s">
        <v>672</v>
      </c>
      <c r="O157" t="s">
        <v>17</v>
      </c>
      <c r="P157" t="s">
        <v>650</v>
      </c>
      <c r="Q157" t="s">
        <v>17</v>
      </c>
      <c r="R157" t="s">
        <v>30</v>
      </c>
    </row>
    <row r="158" spans="1:18" ht="15" customHeight="1" x14ac:dyDescent="0.35">
      <c r="A158" t="s">
        <v>673</v>
      </c>
      <c r="B158">
        <v>2021</v>
      </c>
      <c r="C158" t="s">
        <v>674</v>
      </c>
      <c r="D158" t="s">
        <v>675</v>
      </c>
      <c r="E158" t="s">
        <v>15</v>
      </c>
      <c r="F158" t="s">
        <v>16</v>
      </c>
      <c r="G158" t="s">
        <v>17</v>
      </c>
      <c r="H158" t="s">
        <v>535</v>
      </c>
      <c r="I158" t="s">
        <v>15</v>
      </c>
      <c r="J158" t="s">
        <v>676</v>
      </c>
      <c r="K158" t="s">
        <v>15</v>
      </c>
      <c r="L158" t="s">
        <v>20</v>
      </c>
      <c r="M158" t="s">
        <v>15</v>
      </c>
      <c r="N158" t="s">
        <v>677</v>
      </c>
      <c r="O158" t="s">
        <v>15</v>
      </c>
      <c r="P158" t="s">
        <v>22</v>
      </c>
      <c r="Q158" t="s">
        <v>17</v>
      </c>
      <c r="R158" t="s">
        <v>30</v>
      </c>
    </row>
    <row r="159" spans="1:18" ht="15" customHeight="1" x14ac:dyDescent="0.35">
      <c r="A159" t="s">
        <v>678</v>
      </c>
      <c r="B159">
        <v>2021</v>
      </c>
      <c r="C159" t="s">
        <v>679</v>
      </c>
      <c r="D159" t="s">
        <v>680</v>
      </c>
      <c r="E159" t="s">
        <v>15</v>
      </c>
      <c r="F159" t="s">
        <v>16</v>
      </c>
      <c r="G159" t="s">
        <v>17</v>
      </c>
      <c r="H159" t="s">
        <v>535</v>
      </c>
      <c r="I159" t="s">
        <v>15</v>
      </c>
      <c r="J159" t="s">
        <v>483</v>
      </c>
      <c r="K159" t="s">
        <v>15</v>
      </c>
      <c r="L159" t="s">
        <v>20</v>
      </c>
      <c r="M159" t="s">
        <v>15</v>
      </c>
      <c r="N159" t="s">
        <v>21</v>
      </c>
      <c r="O159" t="s">
        <v>17</v>
      </c>
      <c r="P159" t="s">
        <v>650</v>
      </c>
      <c r="Q159" t="s">
        <v>17</v>
      </c>
      <c r="R159" t="s">
        <v>30</v>
      </c>
    </row>
    <row r="160" spans="1:18" ht="15" customHeight="1" x14ac:dyDescent="0.35">
      <c r="A160" t="s">
        <v>681</v>
      </c>
      <c r="B160">
        <v>2021</v>
      </c>
      <c r="C160" t="s">
        <v>682</v>
      </c>
      <c r="D160" t="s">
        <v>683</v>
      </c>
      <c r="E160" t="s">
        <v>15</v>
      </c>
      <c r="F160" t="s">
        <v>16</v>
      </c>
      <c r="G160" t="s">
        <v>15</v>
      </c>
      <c r="H160" t="s">
        <v>39</v>
      </c>
      <c r="I160" t="s">
        <v>15</v>
      </c>
      <c r="J160" t="s">
        <v>483</v>
      </c>
      <c r="K160" t="s">
        <v>15</v>
      </c>
      <c r="L160" t="s">
        <v>20</v>
      </c>
      <c r="M160" t="s">
        <v>15</v>
      </c>
      <c r="N160" t="s">
        <v>21</v>
      </c>
      <c r="O160" t="s">
        <v>17</v>
      </c>
      <c r="P160" t="s">
        <v>650</v>
      </c>
      <c r="Q160" t="s">
        <v>17</v>
      </c>
      <c r="R160" t="s">
        <v>30</v>
      </c>
    </row>
    <row r="161" spans="1:18" ht="15" customHeight="1" x14ac:dyDescent="0.35">
      <c r="A161" t="s">
        <v>684</v>
      </c>
      <c r="B161">
        <v>2021</v>
      </c>
      <c r="C161" t="s">
        <v>685</v>
      </c>
      <c r="D161" t="s">
        <v>686</v>
      </c>
      <c r="E161" t="s">
        <v>15</v>
      </c>
      <c r="F161" t="s">
        <v>16</v>
      </c>
      <c r="G161" t="s">
        <v>15</v>
      </c>
      <c r="H161" t="s">
        <v>402</v>
      </c>
      <c r="I161" t="s">
        <v>15</v>
      </c>
      <c r="J161" t="s">
        <v>483</v>
      </c>
      <c r="K161" t="s">
        <v>15</v>
      </c>
      <c r="L161" t="s">
        <v>20</v>
      </c>
      <c r="M161" t="s">
        <v>15</v>
      </c>
      <c r="N161" t="s">
        <v>21</v>
      </c>
      <c r="O161" t="s">
        <v>17</v>
      </c>
      <c r="P161" t="s">
        <v>687</v>
      </c>
      <c r="Q161" t="s">
        <v>17</v>
      </c>
      <c r="R161" t="s">
        <v>30</v>
      </c>
    </row>
    <row r="162" spans="1:18" ht="15" customHeight="1" x14ac:dyDescent="0.35">
      <c r="A162" t="s">
        <v>688</v>
      </c>
      <c r="B162">
        <v>2021</v>
      </c>
      <c r="C162" t="s">
        <v>689</v>
      </c>
      <c r="D162" s="1" t="s">
        <v>690</v>
      </c>
      <c r="E162" t="s">
        <v>15</v>
      </c>
      <c r="F162" t="s">
        <v>16</v>
      </c>
      <c r="G162" t="s">
        <v>17</v>
      </c>
      <c r="H162" t="s">
        <v>691</v>
      </c>
      <c r="I162" t="s">
        <v>15</v>
      </c>
      <c r="J162" t="s">
        <v>483</v>
      </c>
      <c r="K162" t="s">
        <v>15</v>
      </c>
      <c r="L162" t="s">
        <v>20</v>
      </c>
      <c r="M162" t="s">
        <v>15</v>
      </c>
      <c r="N162" t="s">
        <v>21</v>
      </c>
      <c r="O162" t="s">
        <v>17</v>
      </c>
      <c r="P162" t="s">
        <v>650</v>
      </c>
      <c r="Q162" t="s">
        <v>17</v>
      </c>
      <c r="R162" t="s">
        <v>30</v>
      </c>
    </row>
    <row r="163" spans="1:18" ht="15" customHeight="1" x14ac:dyDescent="0.35">
      <c r="A163" t="s">
        <v>692</v>
      </c>
      <c r="B163">
        <v>2021</v>
      </c>
      <c r="C163" t="s">
        <v>693</v>
      </c>
      <c r="D163" t="s">
        <v>694</v>
      </c>
      <c r="E163" t="s">
        <v>15</v>
      </c>
      <c r="F163" t="s">
        <v>16</v>
      </c>
      <c r="G163" t="s">
        <v>15</v>
      </c>
      <c r="H163" t="s">
        <v>695</v>
      </c>
      <c r="I163" t="s">
        <v>15</v>
      </c>
      <c r="J163" t="s">
        <v>27</v>
      </c>
      <c r="K163" t="s">
        <v>17</v>
      </c>
      <c r="L163" t="s">
        <v>162</v>
      </c>
      <c r="M163" t="s">
        <v>17</v>
      </c>
      <c r="N163" t="s">
        <v>204</v>
      </c>
      <c r="O163" t="s">
        <v>17</v>
      </c>
      <c r="P163" t="s">
        <v>650</v>
      </c>
      <c r="Q163" t="s">
        <v>17</v>
      </c>
      <c r="R163" t="s">
        <v>336</v>
      </c>
    </row>
    <row r="164" spans="1:18" ht="15" customHeight="1" x14ac:dyDescent="0.35">
      <c r="A164" t="s">
        <v>696</v>
      </c>
      <c r="B164">
        <v>2021</v>
      </c>
      <c r="C164" t="s">
        <v>697</v>
      </c>
      <c r="D164" t="s">
        <v>698</v>
      </c>
      <c r="E164" t="s">
        <v>15</v>
      </c>
      <c r="F164" t="s">
        <v>16</v>
      </c>
      <c r="G164" t="s">
        <v>17</v>
      </c>
      <c r="H164" t="s">
        <v>188</v>
      </c>
      <c r="I164" t="s">
        <v>15</v>
      </c>
      <c r="J164" t="s">
        <v>676</v>
      </c>
      <c r="K164" t="s">
        <v>15</v>
      </c>
      <c r="L164" t="s">
        <v>20</v>
      </c>
      <c r="M164" t="s">
        <v>15</v>
      </c>
      <c r="N164" t="s">
        <v>21</v>
      </c>
      <c r="O164" t="s">
        <v>15</v>
      </c>
      <c r="P164" t="s">
        <v>699</v>
      </c>
      <c r="Q164" t="s">
        <v>17</v>
      </c>
      <c r="R164" t="s">
        <v>30</v>
      </c>
    </row>
    <row r="165" spans="1:18" ht="15" customHeight="1" x14ac:dyDescent="0.35">
      <c r="A165" t="s">
        <v>700</v>
      </c>
      <c r="B165">
        <v>2021</v>
      </c>
      <c r="C165" t="s">
        <v>701</v>
      </c>
      <c r="D165" t="s">
        <v>702</v>
      </c>
      <c r="E165" t="s">
        <v>15</v>
      </c>
      <c r="F165" t="s">
        <v>16</v>
      </c>
      <c r="G165" t="s">
        <v>15</v>
      </c>
      <c r="H165" t="s">
        <v>35</v>
      </c>
      <c r="I165" t="s">
        <v>15</v>
      </c>
      <c r="J165" t="s">
        <v>703</v>
      </c>
      <c r="K165" t="s">
        <v>15</v>
      </c>
      <c r="L165" t="s">
        <v>20</v>
      </c>
      <c r="M165" t="s">
        <v>15</v>
      </c>
      <c r="N165" t="s">
        <v>21</v>
      </c>
      <c r="O165" t="s">
        <v>15</v>
      </c>
      <c r="P165" t="s">
        <v>704</v>
      </c>
      <c r="Q165" t="s">
        <v>15</v>
      </c>
      <c r="R165" t="s">
        <v>110</v>
      </c>
    </row>
    <row r="166" spans="1:18" ht="15" customHeight="1" x14ac:dyDescent="0.35">
      <c r="A166" t="s">
        <v>705</v>
      </c>
      <c r="B166">
        <v>2021</v>
      </c>
      <c r="C166" t="s">
        <v>706</v>
      </c>
      <c r="D166" t="s">
        <v>707</v>
      </c>
      <c r="E166" t="s">
        <v>15</v>
      </c>
      <c r="F166" t="s">
        <v>16</v>
      </c>
      <c r="G166" t="s">
        <v>17</v>
      </c>
      <c r="H166" t="s">
        <v>188</v>
      </c>
      <c r="I166" t="s">
        <v>15</v>
      </c>
      <c r="J166" t="s">
        <v>49</v>
      </c>
      <c r="K166" t="s">
        <v>15</v>
      </c>
      <c r="L166" t="s">
        <v>20</v>
      </c>
      <c r="M166" t="s">
        <v>15</v>
      </c>
      <c r="N166" t="s">
        <v>21</v>
      </c>
      <c r="O166" t="s">
        <v>17</v>
      </c>
      <c r="P166" t="s">
        <v>650</v>
      </c>
      <c r="Q166" t="s">
        <v>17</v>
      </c>
      <c r="R166" t="s">
        <v>30</v>
      </c>
    </row>
    <row r="167" spans="1:18" ht="15" customHeight="1" x14ac:dyDescent="0.35">
      <c r="A167" t="s">
        <v>708</v>
      </c>
      <c r="B167">
        <v>2021</v>
      </c>
      <c r="C167" t="s">
        <v>709</v>
      </c>
      <c r="D167" t="s">
        <v>710</v>
      </c>
      <c r="E167" t="s">
        <v>15</v>
      </c>
      <c r="F167" t="s">
        <v>16</v>
      </c>
      <c r="G167" t="s">
        <v>15</v>
      </c>
      <c r="H167" t="s">
        <v>711</v>
      </c>
      <c r="I167" t="s">
        <v>15</v>
      </c>
      <c r="J167" t="s">
        <v>712</v>
      </c>
      <c r="K167" t="s">
        <v>15</v>
      </c>
      <c r="L167" t="s">
        <v>20</v>
      </c>
      <c r="M167" t="s">
        <v>15</v>
      </c>
      <c r="N167" t="s">
        <v>21</v>
      </c>
      <c r="O167" t="s">
        <v>15</v>
      </c>
      <c r="P167" t="s">
        <v>22</v>
      </c>
      <c r="Q167" t="s">
        <v>15</v>
      </c>
      <c r="R167" t="s">
        <v>713</v>
      </c>
    </row>
    <row r="168" spans="1:18" ht="15" customHeight="1" x14ac:dyDescent="0.35">
      <c r="A168" t="s">
        <v>714</v>
      </c>
      <c r="B168">
        <v>2021</v>
      </c>
      <c r="C168" t="s">
        <v>715</v>
      </c>
      <c r="D168" t="s">
        <v>716</v>
      </c>
      <c r="E168" t="s">
        <v>15</v>
      </c>
      <c r="F168" t="s">
        <v>16</v>
      </c>
      <c r="G168" t="s">
        <v>15</v>
      </c>
      <c r="H168" t="s">
        <v>711</v>
      </c>
      <c r="I168" t="s">
        <v>15</v>
      </c>
      <c r="J168" t="s">
        <v>717</v>
      </c>
      <c r="K168" t="s">
        <v>15</v>
      </c>
      <c r="L168" t="s">
        <v>718</v>
      </c>
      <c r="M168" t="s">
        <v>15</v>
      </c>
      <c r="N168" t="s">
        <v>21</v>
      </c>
      <c r="O168" t="s">
        <v>15</v>
      </c>
      <c r="P168" t="s">
        <v>22</v>
      </c>
      <c r="Q168" t="s">
        <v>15</v>
      </c>
      <c r="R168" t="s">
        <v>713</v>
      </c>
    </row>
    <row r="169" spans="1:18" ht="15" customHeight="1" x14ac:dyDescent="0.35">
      <c r="A169" t="s">
        <v>719</v>
      </c>
      <c r="B169">
        <v>2021</v>
      </c>
      <c r="C169" t="s">
        <v>720</v>
      </c>
      <c r="D169" t="s">
        <v>721</v>
      </c>
      <c r="E169" t="s">
        <v>15</v>
      </c>
      <c r="F169" t="s">
        <v>16</v>
      </c>
      <c r="G169" t="s">
        <v>15</v>
      </c>
      <c r="H169" t="s">
        <v>39</v>
      </c>
      <c r="I169" t="s">
        <v>15</v>
      </c>
      <c r="J169" t="s">
        <v>722</v>
      </c>
      <c r="K169" t="s">
        <v>15</v>
      </c>
      <c r="L169" t="s">
        <v>20</v>
      </c>
      <c r="M169" t="s">
        <v>15</v>
      </c>
      <c r="N169" t="s">
        <v>21</v>
      </c>
      <c r="O169" t="s">
        <v>15</v>
      </c>
      <c r="P169" t="s">
        <v>22</v>
      </c>
      <c r="Q169" t="s">
        <v>17</v>
      </c>
      <c r="R169" t="s">
        <v>30</v>
      </c>
    </row>
    <row r="170" spans="1:18" ht="15" customHeight="1" x14ac:dyDescent="0.35">
      <c r="A170" t="s">
        <v>723</v>
      </c>
      <c r="B170">
        <v>2021</v>
      </c>
      <c r="C170" t="s">
        <v>724</v>
      </c>
      <c r="D170" s="1" t="s">
        <v>725</v>
      </c>
      <c r="E170" t="s">
        <v>15</v>
      </c>
      <c r="F170" t="s">
        <v>16</v>
      </c>
      <c r="G170" t="s">
        <v>15</v>
      </c>
      <c r="H170" t="s">
        <v>35</v>
      </c>
      <c r="I170" t="s">
        <v>15</v>
      </c>
      <c r="J170" t="s">
        <v>483</v>
      </c>
      <c r="K170" t="s">
        <v>15</v>
      </c>
      <c r="L170" t="s">
        <v>20</v>
      </c>
      <c r="M170" t="s">
        <v>17</v>
      </c>
      <c r="N170" t="s">
        <v>282</v>
      </c>
      <c r="O170" t="s">
        <v>15</v>
      </c>
      <c r="P170" t="s">
        <v>44</v>
      </c>
      <c r="Q170" t="s">
        <v>17</v>
      </c>
      <c r="R170" t="s">
        <v>30</v>
      </c>
    </row>
    <row r="171" spans="1:18" ht="15" customHeight="1" x14ac:dyDescent="0.35">
      <c r="A171" t="s">
        <v>726</v>
      </c>
      <c r="B171">
        <v>2021</v>
      </c>
      <c r="C171" t="s">
        <v>727</v>
      </c>
      <c r="D171" t="s">
        <v>728</v>
      </c>
      <c r="E171" t="s">
        <v>15</v>
      </c>
      <c r="F171" t="s">
        <v>16</v>
      </c>
      <c r="G171" t="s">
        <v>15</v>
      </c>
      <c r="H171" t="s">
        <v>39</v>
      </c>
      <c r="I171" t="s">
        <v>15</v>
      </c>
      <c r="J171" t="s">
        <v>729</v>
      </c>
      <c r="K171" t="s">
        <v>15</v>
      </c>
      <c r="L171" t="s">
        <v>20</v>
      </c>
      <c r="M171" t="s">
        <v>15</v>
      </c>
      <c r="N171" t="s">
        <v>21</v>
      </c>
      <c r="O171" t="s">
        <v>15</v>
      </c>
      <c r="P171" t="s">
        <v>22</v>
      </c>
      <c r="Q171" t="s">
        <v>17</v>
      </c>
      <c r="R171" t="s">
        <v>30</v>
      </c>
    </row>
    <row r="172" spans="1:18" ht="15" customHeight="1" x14ac:dyDescent="0.35">
      <c r="A172" t="s">
        <v>730</v>
      </c>
      <c r="B172">
        <v>2021</v>
      </c>
      <c r="C172" t="s">
        <v>731</v>
      </c>
      <c r="D172" t="s">
        <v>732</v>
      </c>
      <c r="E172" t="s">
        <v>15</v>
      </c>
      <c r="F172" t="s">
        <v>16</v>
      </c>
      <c r="G172" t="s">
        <v>17</v>
      </c>
      <c r="H172" t="s">
        <v>188</v>
      </c>
      <c r="I172" t="s">
        <v>15</v>
      </c>
      <c r="J172" t="s">
        <v>733</v>
      </c>
      <c r="K172" t="s">
        <v>15</v>
      </c>
      <c r="L172" t="s">
        <v>20</v>
      </c>
      <c r="M172" t="s">
        <v>15</v>
      </c>
      <c r="N172" t="s">
        <v>734</v>
      </c>
      <c r="O172" t="s">
        <v>17</v>
      </c>
      <c r="P172" t="s">
        <v>650</v>
      </c>
      <c r="Q172" t="s">
        <v>17</v>
      </c>
      <c r="R172" t="s">
        <v>30</v>
      </c>
    </row>
    <row r="173" spans="1:18" ht="15" customHeight="1" x14ac:dyDescent="0.35">
      <c r="A173" t="s">
        <v>735</v>
      </c>
      <c r="B173">
        <v>2021</v>
      </c>
      <c r="C173" t="s">
        <v>736</v>
      </c>
      <c r="D173" t="s">
        <v>737</v>
      </c>
      <c r="E173" t="s">
        <v>15</v>
      </c>
      <c r="F173" t="s">
        <v>16</v>
      </c>
      <c r="G173" t="s">
        <v>17</v>
      </c>
      <c r="H173" t="s">
        <v>99</v>
      </c>
      <c r="I173" t="s">
        <v>15</v>
      </c>
      <c r="J173" t="s">
        <v>722</v>
      </c>
      <c r="K173" t="s">
        <v>15</v>
      </c>
      <c r="L173" t="s">
        <v>20</v>
      </c>
      <c r="M173" t="s">
        <v>17</v>
      </c>
      <c r="N173" t="s">
        <v>282</v>
      </c>
      <c r="O173" t="s">
        <v>17</v>
      </c>
      <c r="P173" t="s">
        <v>650</v>
      </c>
      <c r="Q173" t="s">
        <v>17</v>
      </c>
      <c r="R173" t="s">
        <v>30</v>
      </c>
    </row>
    <row r="174" spans="1:18" ht="15" customHeight="1" x14ac:dyDescent="0.35">
      <c r="A174" t="s">
        <v>738</v>
      </c>
      <c r="B174">
        <v>2021</v>
      </c>
      <c r="C174" t="s">
        <v>739</v>
      </c>
      <c r="D174" t="s">
        <v>740</v>
      </c>
      <c r="E174" t="s">
        <v>15</v>
      </c>
      <c r="F174" t="s">
        <v>16</v>
      </c>
      <c r="G174" t="s">
        <v>15</v>
      </c>
      <c r="H174" t="s">
        <v>34</v>
      </c>
      <c r="I174" t="s">
        <v>15</v>
      </c>
      <c r="J174" t="s">
        <v>414</v>
      </c>
      <c r="K174" t="s">
        <v>15</v>
      </c>
      <c r="L174" t="s">
        <v>741</v>
      </c>
      <c r="M174" t="s">
        <v>17</v>
      </c>
      <c r="N174" t="s">
        <v>742</v>
      </c>
      <c r="O174" t="s">
        <v>17</v>
      </c>
      <c r="P174" t="s">
        <v>650</v>
      </c>
      <c r="Q174" t="s">
        <v>17</v>
      </c>
      <c r="R174" t="s">
        <v>30</v>
      </c>
    </row>
    <row r="175" spans="1:18" ht="15" customHeight="1" x14ac:dyDescent="0.35">
      <c r="A175" t="s">
        <v>743</v>
      </c>
      <c r="B175">
        <v>2021</v>
      </c>
      <c r="C175" t="s">
        <v>744</v>
      </c>
      <c r="D175" t="s">
        <v>624</v>
      </c>
      <c r="E175" t="s">
        <v>15</v>
      </c>
      <c r="F175" t="s">
        <v>16</v>
      </c>
      <c r="G175" t="s">
        <v>17</v>
      </c>
      <c r="H175" t="s">
        <v>310</v>
      </c>
      <c r="I175" t="s">
        <v>15</v>
      </c>
      <c r="J175" t="s">
        <v>91</v>
      </c>
      <c r="K175" t="s">
        <v>15</v>
      </c>
      <c r="L175" t="s">
        <v>20</v>
      </c>
      <c r="M175" t="s">
        <v>15</v>
      </c>
      <c r="N175" t="s">
        <v>21</v>
      </c>
      <c r="O175" t="s">
        <v>15</v>
      </c>
      <c r="P175" t="s">
        <v>745</v>
      </c>
      <c r="Q175" t="s">
        <v>17</v>
      </c>
      <c r="R175" t="s">
        <v>30</v>
      </c>
    </row>
    <row r="176" spans="1:18" ht="15" customHeight="1" x14ac:dyDescent="0.35">
      <c r="A176" t="s">
        <v>746</v>
      </c>
      <c r="B176">
        <v>2021</v>
      </c>
      <c r="C176" t="s">
        <v>747</v>
      </c>
      <c r="D176" t="s">
        <v>748</v>
      </c>
      <c r="E176" t="s">
        <v>15</v>
      </c>
      <c r="F176" t="s">
        <v>16</v>
      </c>
      <c r="G176" t="s">
        <v>17</v>
      </c>
      <c r="H176" t="s">
        <v>188</v>
      </c>
      <c r="I176" t="s">
        <v>15</v>
      </c>
      <c r="J176" t="s">
        <v>91</v>
      </c>
      <c r="K176" t="s">
        <v>15</v>
      </c>
      <c r="L176" t="s">
        <v>20</v>
      </c>
      <c r="M176" t="s">
        <v>17</v>
      </c>
      <c r="N176" t="s">
        <v>184</v>
      </c>
      <c r="O176" t="s">
        <v>17</v>
      </c>
      <c r="P176" t="s">
        <v>650</v>
      </c>
      <c r="Q176" t="s">
        <v>17</v>
      </c>
      <c r="R176" t="s">
        <v>30</v>
      </c>
    </row>
    <row r="177" spans="1:18" ht="15" customHeight="1" x14ac:dyDescent="0.35">
      <c r="A177" t="s">
        <v>749</v>
      </c>
      <c r="B177">
        <v>2021</v>
      </c>
      <c r="C177" t="s">
        <v>750</v>
      </c>
      <c r="D177" t="s">
        <v>751</v>
      </c>
      <c r="E177" t="s">
        <v>15</v>
      </c>
      <c r="F177" t="s">
        <v>16</v>
      </c>
      <c r="G177" t="s">
        <v>17</v>
      </c>
      <c r="H177" t="s">
        <v>188</v>
      </c>
      <c r="I177" t="s">
        <v>15</v>
      </c>
      <c r="J177" t="s">
        <v>483</v>
      </c>
      <c r="K177" t="s">
        <v>15</v>
      </c>
      <c r="L177" t="s">
        <v>20</v>
      </c>
      <c r="M177" t="s">
        <v>15</v>
      </c>
      <c r="N177" t="s">
        <v>21</v>
      </c>
      <c r="O177" t="s">
        <v>17</v>
      </c>
      <c r="P177" t="s">
        <v>650</v>
      </c>
      <c r="Q177" t="s">
        <v>17</v>
      </c>
      <c r="R177" t="s">
        <v>30</v>
      </c>
    </row>
    <row r="178" spans="1:18" ht="15" customHeight="1" x14ac:dyDescent="0.35">
      <c r="A178" t="s">
        <v>752</v>
      </c>
      <c r="B178">
        <v>2021</v>
      </c>
      <c r="C178" t="s">
        <v>753</v>
      </c>
      <c r="D178" t="s">
        <v>754</v>
      </c>
      <c r="E178" t="s">
        <v>15</v>
      </c>
      <c r="F178" t="s">
        <v>16</v>
      </c>
      <c r="G178" t="s">
        <v>17</v>
      </c>
      <c r="H178" t="s">
        <v>535</v>
      </c>
      <c r="I178" t="s">
        <v>15</v>
      </c>
      <c r="J178" t="s">
        <v>483</v>
      </c>
      <c r="K178" t="s">
        <v>15</v>
      </c>
      <c r="L178" t="s">
        <v>20</v>
      </c>
      <c r="M178" t="s">
        <v>15</v>
      </c>
      <c r="N178" t="s">
        <v>21</v>
      </c>
      <c r="O178" t="s">
        <v>17</v>
      </c>
      <c r="P178" t="s">
        <v>650</v>
      </c>
      <c r="Q178" t="s">
        <v>17</v>
      </c>
      <c r="R178" t="s">
        <v>30</v>
      </c>
    </row>
    <row r="179" spans="1:18" ht="15" customHeight="1" x14ac:dyDescent="0.35">
      <c r="A179" t="s">
        <v>755</v>
      </c>
      <c r="B179">
        <v>2021</v>
      </c>
      <c r="C179" t="s">
        <v>756</v>
      </c>
      <c r="D179" t="s">
        <v>757</v>
      </c>
      <c r="E179" t="s">
        <v>15</v>
      </c>
      <c r="F179" t="s">
        <v>16</v>
      </c>
      <c r="G179" t="s">
        <v>15</v>
      </c>
      <c r="H179" t="s">
        <v>402</v>
      </c>
      <c r="I179" t="s">
        <v>15</v>
      </c>
      <c r="J179" t="s">
        <v>483</v>
      </c>
      <c r="K179" t="s">
        <v>15</v>
      </c>
      <c r="L179" t="s">
        <v>20</v>
      </c>
      <c r="M179" t="s">
        <v>15</v>
      </c>
      <c r="N179" t="s">
        <v>21</v>
      </c>
      <c r="O179" t="s">
        <v>17</v>
      </c>
      <c r="P179" t="s">
        <v>650</v>
      </c>
      <c r="Q179" t="s">
        <v>17</v>
      </c>
      <c r="R179" t="s">
        <v>30</v>
      </c>
    </row>
    <row r="180" spans="1:18" ht="15" customHeight="1" x14ac:dyDescent="0.35">
      <c r="A180" t="s">
        <v>758</v>
      </c>
      <c r="B180">
        <v>2021</v>
      </c>
      <c r="C180" t="s">
        <v>759</v>
      </c>
      <c r="D180" t="s">
        <v>760</v>
      </c>
      <c r="E180" t="s">
        <v>15</v>
      </c>
      <c r="F180" t="s">
        <v>16</v>
      </c>
      <c r="G180" t="s">
        <v>15</v>
      </c>
      <c r="H180" t="s">
        <v>34</v>
      </c>
      <c r="I180" t="s">
        <v>15</v>
      </c>
      <c r="J180" t="s">
        <v>483</v>
      </c>
      <c r="K180" t="s">
        <v>15</v>
      </c>
      <c r="L180" t="s">
        <v>20</v>
      </c>
      <c r="M180" t="s">
        <v>15</v>
      </c>
      <c r="N180" t="s">
        <v>21</v>
      </c>
      <c r="O180" t="s">
        <v>15</v>
      </c>
      <c r="P180" t="s">
        <v>22</v>
      </c>
      <c r="Q180" t="s">
        <v>17</v>
      </c>
      <c r="R180" t="s">
        <v>30</v>
      </c>
    </row>
    <row r="181" spans="1:18" s="7" customFormat="1" ht="15" customHeight="1" x14ac:dyDescent="0.35">
      <c r="A181" s="7" t="s">
        <v>761</v>
      </c>
      <c r="B181" s="7">
        <v>2021</v>
      </c>
      <c r="C181" s="7" t="s">
        <v>759</v>
      </c>
      <c r="D181" s="10" t="s">
        <v>762</v>
      </c>
    </row>
    <row r="182" spans="1:18" ht="15" customHeight="1" x14ac:dyDescent="0.35">
      <c r="A182" t="s">
        <v>763</v>
      </c>
      <c r="B182">
        <v>2021</v>
      </c>
      <c r="C182" t="s">
        <v>764</v>
      </c>
      <c r="D182" t="s">
        <v>765</v>
      </c>
      <c r="E182" t="s">
        <v>15</v>
      </c>
      <c r="F182" t="s">
        <v>16</v>
      </c>
      <c r="G182" t="s">
        <v>15</v>
      </c>
      <c r="H182" t="s">
        <v>34</v>
      </c>
      <c r="I182" t="s">
        <v>15</v>
      </c>
      <c r="J182" t="s">
        <v>766</v>
      </c>
      <c r="K182" t="s">
        <v>15</v>
      </c>
      <c r="L182" t="s">
        <v>20</v>
      </c>
      <c r="M182" t="s">
        <v>15</v>
      </c>
      <c r="N182" t="s">
        <v>21</v>
      </c>
      <c r="O182" t="s">
        <v>15</v>
      </c>
      <c r="P182" t="s">
        <v>283</v>
      </c>
      <c r="Q182" t="s">
        <v>15</v>
      </c>
      <c r="R182" t="s">
        <v>767</v>
      </c>
    </row>
    <row r="183" spans="1:18" ht="15" customHeight="1" x14ac:dyDescent="0.35">
      <c r="A183" t="s">
        <v>768</v>
      </c>
      <c r="B183">
        <v>2025</v>
      </c>
      <c r="C183" t="s">
        <v>769</v>
      </c>
      <c r="D183" s="1" t="s">
        <v>770</v>
      </c>
      <c r="E183" t="s">
        <v>15</v>
      </c>
      <c r="F183" t="s">
        <v>16</v>
      </c>
      <c r="G183" t="s">
        <v>15</v>
      </c>
      <c r="H183" t="s">
        <v>402</v>
      </c>
      <c r="I183" t="s">
        <v>15</v>
      </c>
      <c r="J183" t="s">
        <v>483</v>
      </c>
      <c r="K183" t="s">
        <v>15</v>
      </c>
      <c r="L183" t="s">
        <v>20</v>
      </c>
      <c r="M183" t="s">
        <v>15</v>
      </c>
      <c r="N183" t="s">
        <v>21</v>
      </c>
      <c r="O183" t="s">
        <v>17</v>
      </c>
      <c r="P183" t="s">
        <v>650</v>
      </c>
      <c r="Q183" t="s">
        <v>17</v>
      </c>
      <c r="R183" t="s">
        <v>30</v>
      </c>
    </row>
    <row r="184" spans="1:18" s="7" customFormat="1" ht="15" customHeight="1" x14ac:dyDescent="0.35">
      <c r="A184" s="7" t="s">
        <v>771</v>
      </c>
      <c r="B184" s="7">
        <v>2025</v>
      </c>
      <c r="C184" s="7" t="s">
        <v>769</v>
      </c>
      <c r="D184" s="7" t="s">
        <v>772</v>
      </c>
    </row>
    <row r="185" spans="1:18" ht="15" customHeight="1" x14ac:dyDescent="0.35">
      <c r="A185" t="s">
        <v>773</v>
      </c>
      <c r="B185">
        <v>2025</v>
      </c>
      <c r="C185" t="s">
        <v>774</v>
      </c>
      <c r="D185" t="s">
        <v>775</v>
      </c>
      <c r="E185" t="s">
        <v>15</v>
      </c>
      <c r="F185" t="s">
        <v>16</v>
      </c>
      <c r="G185" t="s">
        <v>17</v>
      </c>
      <c r="H185" t="s">
        <v>535</v>
      </c>
      <c r="I185" t="s">
        <v>15</v>
      </c>
      <c r="J185" t="s">
        <v>483</v>
      </c>
      <c r="K185" t="s">
        <v>15</v>
      </c>
      <c r="L185" t="s">
        <v>20</v>
      </c>
      <c r="M185" t="s">
        <v>15</v>
      </c>
      <c r="N185" t="s">
        <v>21</v>
      </c>
      <c r="O185" t="s">
        <v>15</v>
      </c>
      <c r="P185" t="s">
        <v>776</v>
      </c>
      <c r="Q185" t="s">
        <v>17</v>
      </c>
      <c r="R185" t="s">
        <v>30</v>
      </c>
    </row>
    <row r="186" spans="1:18" ht="15" customHeight="1" x14ac:dyDescent="0.35">
      <c r="A186" t="s">
        <v>777</v>
      </c>
      <c r="B186">
        <v>2025</v>
      </c>
      <c r="C186" t="s">
        <v>778</v>
      </c>
      <c r="D186" t="s">
        <v>779</v>
      </c>
      <c r="E186" t="s">
        <v>15</v>
      </c>
      <c r="F186" t="s">
        <v>16</v>
      </c>
      <c r="G186" t="s">
        <v>15</v>
      </c>
      <c r="H186" t="s">
        <v>39</v>
      </c>
      <c r="I186" t="s">
        <v>15</v>
      </c>
      <c r="J186" t="s">
        <v>780</v>
      </c>
      <c r="K186" t="s">
        <v>15</v>
      </c>
      <c r="L186" t="s">
        <v>20</v>
      </c>
      <c r="M186" t="s">
        <v>17</v>
      </c>
      <c r="N186" t="s">
        <v>184</v>
      </c>
      <c r="O186" t="s">
        <v>17</v>
      </c>
      <c r="P186" t="s">
        <v>650</v>
      </c>
      <c r="Q186" t="s">
        <v>17</v>
      </c>
      <c r="R186" t="s">
        <v>30</v>
      </c>
    </row>
    <row r="187" spans="1:18" ht="15" customHeight="1" x14ac:dyDescent="0.35">
      <c r="A187" t="s">
        <v>781</v>
      </c>
      <c r="B187">
        <v>2025</v>
      </c>
      <c r="C187" t="s">
        <v>782</v>
      </c>
      <c r="D187" t="s">
        <v>783</v>
      </c>
      <c r="E187" t="s">
        <v>15</v>
      </c>
      <c r="F187" t="s">
        <v>16</v>
      </c>
      <c r="G187" t="s">
        <v>15</v>
      </c>
      <c r="H187" t="s">
        <v>39</v>
      </c>
      <c r="I187" t="s">
        <v>15</v>
      </c>
      <c r="J187" t="s">
        <v>784</v>
      </c>
      <c r="K187" t="s">
        <v>15</v>
      </c>
      <c r="L187" t="s">
        <v>20</v>
      </c>
      <c r="M187" t="s">
        <v>17</v>
      </c>
      <c r="N187" t="s">
        <v>282</v>
      </c>
      <c r="O187" t="s">
        <v>17</v>
      </c>
      <c r="P187" t="s">
        <v>650</v>
      </c>
      <c r="Q187" t="s">
        <v>17</v>
      </c>
      <c r="R187" t="s">
        <v>30</v>
      </c>
    </row>
    <row r="188" spans="1:18" ht="15" customHeight="1" x14ac:dyDescent="0.35">
      <c r="A188" t="s">
        <v>785</v>
      </c>
      <c r="B188">
        <v>2025</v>
      </c>
      <c r="C188" t="s">
        <v>786</v>
      </c>
      <c r="D188" t="s">
        <v>787</v>
      </c>
      <c r="E188" t="s">
        <v>15</v>
      </c>
      <c r="F188" t="s">
        <v>16</v>
      </c>
      <c r="G188" t="s">
        <v>17</v>
      </c>
      <c r="H188" t="s">
        <v>535</v>
      </c>
      <c r="I188" t="s">
        <v>15</v>
      </c>
      <c r="J188" t="s">
        <v>788</v>
      </c>
      <c r="K188" t="s">
        <v>15</v>
      </c>
      <c r="L188" t="s">
        <v>20</v>
      </c>
      <c r="M188" t="s">
        <v>15</v>
      </c>
      <c r="N188" t="s">
        <v>21</v>
      </c>
      <c r="O188" t="s">
        <v>15</v>
      </c>
      <c r="P188" t="s">
        <v>22</v>
      </c>
      <c r="Q188" t="s">
        <v>17</v>
      </c>
      <c r="R188" t="s">
        <v>30</v>
      </c>
    </row>
    <row r="189" spans="1:18" ht="15" customHeight="1" x14ac:dyDescent="0.35">
      <c r="A189" t="s">
        <v>789</v>
      </c>
      <c r="B189">
        <v>2025</v>
      </c>
      <c r="C189" t="s">
        <v>790</v>
      </c>
      <c r="D189" t="s">
        <v>791</v>
      </c>
      <c r="E189" t="s">
        <v>15</v>
      </c>
      <c r="F189" t="s">
        <v>16</v>
      </c>
      <c r="G189" t="s">
        <v>17</v>
      </c>
      <c r="H189" t="s">
        <v>535</v>
      </c>
      <c r="I189" t="s">
        <v>15</v>
      </c>
      <c r="J189" t="s">
        <v>729</v>
      </c>
      <c r="K189" t="s">
        <v>15</v>
      </c>
      <c r="L189" t="s">
        <v>20</v>
      </c>
      <c r="M189" t="s">
        <v>15</v>
      </c>
      <c r="N189" t="s">
        <v>21</v>
      </c>
      <c r="O189" t="s">
        <v>17</v>
      </c>
      <c r="P189" t="s">
        <v>650</v>
      </c>
      <c r="Q189" t="s">
        <v>17</v>
      </c>
      <c r="R189" t="s">
        <v>30</v>
      </c>
    </row>
    <row r="190" spans="1:18" ht="15" customHeight="1" x14ac:dyDescent="0.35">
      <c r="A190" t="s">
        <v>792</v>
      </c>
      <c r="B190">
        <v>2025</v>
      </c>
      <c r="C190" t="s">
        <v>793</v>
      </c>
      <c r="D190" t="s">
        <v>794</v>
      </c>
      <c r="E190" t="s">
        <v>15</v>
      </c>
      <c r="F190" t="s">
        <v>16</v>
      </c>
      <c r="G190" t="s">
        <v>15</v>
      </c>
      <c r="H190" t="s">
        <v>65</v>
      </c>
      <c r="I190" t="s">
        <v>15</v>
      </c>
      <c r="J190" t="s">
        <v>27</v>
      </c>
      <c r="K190" t="s">
        <v>15</v>
      </c>
      <c r="L190" t="s">
        <v>20</v>
      </c>
      <c r="M190" t="s">
        <v>15</v>
      </c>
      <c r="N190" t="s">
        <v>21</v>
      </c>
      <c r="O190" t="s">
        <v>15</v>
      </c>
      <c r="P190" t="s">
        <v>22</v>
      </c>
      <c r="Q190" t="s">
        <v>15</v>
      </c>
      <c r="R190" t="s">
        <v>110</v>
      </c>
    </row>
    <row r="191" spans="1:18" ht="15" customHeight="1" x14ac:dyDescent="0.35">
      <c r="A191" t="s">
        <v>795</v>
      </c>
      <c r="B191">
        <v>2025</v>
      </c>
      <c r="C191" t="s">
        <v>796</v>
      </c>
      <c r="D191" t="s">
        <v>797</v>
      </c>
      <c r="E191" t="s">
        <v>15</v>
      </c>
      <c r="F191" t="s">
        <v>16</v>
      </c>
      <c r="G191" t="s">
        <v>17</v>
      </c>
      <c r="H191" t="s">
        <v>535</v>
      </c>
      <c r="I191" t="s">
        <v>15</v>
      </c>
      <c r="J191" t="s">
        <v>618</v>
      </c>
      <c r="K191" t="s">
        <v>15</v>
      </c>
      <c r="L191" t="s">
        <v>20</v>
      </c>
      <c r="M191" t="s">
        <v>15</v>
      </c>
      <c r="N191" t="s">
        <v>21</v>
      </c>
      <c r="O191" t="s">
        <v>17</v>
      </c>
      <c r="P191" t="s">
        <v>650</v>
      </c>
      <c r="Q191" t="s">
        <v>15</v>
      </c>
      <c r="R191" t="s">
        <v>110</v>
      </c>
    </row>
    <row r="192" spans="1:18" ht="15" customHeight="1" x14ac:dyDescent="0.35">
      <c r="A192" t="s">
        <v>798</v>
      </c>
      <c r="B192">
        <v>2025</v>
      </c>
      <c r="C192" t="s">
        <v>799</v>
      </c>
      <c r="D192" t="s">
        <v>800</v>
      </c>
      <c r="E192" t="s">
        <v>15</v>
      </c>
      <c r="F192" t="s">
        <v>16</v>
      </c>
      <c r="G192" t="s">
        <v>15</v>
      </c>
      <c r="H192" t="s">
        <v>801</v>
      </c>
      <c r="I192" t="s">
        <v>15</v>
      </c>
      <c r="J192" t="s">
        <v>483</v>
      </c>
      <c r="K192" t="s">
        <v>15</v>
      </c>
      <c r="L192" t="s">
        <v>20</v>
      </c>
      <c r="M192" t="s">
        <v>15</v>
      </c>
      <c r="N192" t="s">
        <v>802</v>
      </c>
      <c r="O192" t="s">
        <v>15</v>
      </c>
      <c r="P192" t="s">
        <v>22</v>
      </c>
      <c r="Q192" t="s">
        <v>17</v>
      </c>
      <c r="R192" t="s">
        <v>30</v>
      </c>
    </row>
    <row r="193" spans="1:18" ht="15" customHeight="1" x14ac:dyDescent="0.35">
      <c r="A193" t="s">
        <v>803</v>
      </c>
      <c r="B193">
        <v>2025</v>
      </c>
      <c r="C193" t="s">
        <v>804</v>
      </c>
      <c r="D193" t="s">
        <v>805</v>
      </c>
      <c r="E193" t="s">
        <v>15</v>
      </c>
      <c r="F193" t="s">
        <v>16</v>
      </c>
      <c r="G193" t="s">
        <v>15</v>
      </c>
      <c r="H193" t="s">
        <v>34</v>
      </c>
      <c r="I193" t="s">
        <v>15</v>
      </c>
      <c r="J193" t="s">
        <v>806</v>
      </c>
      <c r="K193" t="s">
        <v>15</v>
      </c>
      <c r="L193" t="s">
        <v>20</v>
      </c>
      <c r="M193" t="s">
        <v>17</v>
      </c>
      <c r="N193" t="s">
        <v>282</v>
      </c>
      <c r="O193" t="s">
        <v>15</v>
      </c>
      <c r="P193" t="s">
        <v>22</v>
      </c>
      <c r="Q193" t="s">
        <v>17</v>
      </c>
      <c r="R193" t="s">
        <v>30</v>
      </c>
    </row>
    <row r="194" spans="1:18" ht="15" customHeight="1" x14ac:dyDescent="0.35">
      <c r="A194" t="s">
        <v>807</v>
      </c>
      <c r="B194">
        <v>2025</v>
      </c>
      <c r="C194" t="s">
        <v>808</v>
      </c>
      <c r="D194" t="s">
        <v>809</v>
      </c>
      <c r="E194" t="s">
        <v>15</v>
      </c>
      <c r="F194" t="s">
        <v>16</v>
      </c>
      <c r="G194" t="s">
        <v>15</v>
      </c>
      <c r="H194" t="s">
        <v>39</v>
      </c>
      <c r="I194" t="s">
        <v>15</v>
      </c>
      <c r="J194" t="s">
        <v>483</v>
      </c>
      <c r="K194" t="s">
        <v>15</v>
      </c>
      <c r="L194" t="s">
        <v>20</v>
      </c>
      <c r="M194" t="s">
        <v>15</v>
      </c>
      <c r="N194" t="s">
        <v>21</v>
      </c>
      <c r="O194" t="s">
        <v>17</v>
      </c>
      <c r="P194" t="s">
        <v>650</v>
      </c>
      <c r="Q194" t="s">
        <v>15</v>
      </c>
      <c r="R194" t="s">
        <v>810</v>
      </c>
    </row>
    <row r="195" spans="1:18" ht="15" customHeight="1" x14ac:dyDescent="0.35">
      <c r="A195" t="s">
        <v>811</v>
      </c>
      <c r="B195">
        <v>2025</v>
      </c>
      <c r="C195" t="s">
        <v>812</v>
      </c>
      <c r="D195" t="s">
        <v>813</v>
      </c>
      <c r="E195" t="s">
        <v>15</v>
      </c>
      <c r="F195" t="s">
        <v>16</v>
      </c>
      <c r="G195" t="s">
        <v>15</v>
      </c>
      <c r="H195" t="s">
        <v>34</v>
      </c>
      <c r="I195" t="s">
        <v>15</v>
      </c>
      <c r="J195" t="s">
        <v>676</v>
      </c>
      <c r="K195" t="s">
        <v>15</v>
      </c>
      <c r="L195" t="s">
        <v>20</v>
      </c>
      <c r="M195" t="s">
        <v>15</v>
      </c>
      <c r="N195" t="s">
        <v>21</v>
      </c>
      <c r="O195" t="s">
        <v>15</v>
      </c>
      <c r="P195" t="s">
        <v>136</v>
      </c>
      <c r="Q195" t="s">
        <v>15</v>
      </c>
      <c r="R195" t="s">
        <v>110</v>
      </c>
    </row>
    <row r="196" spans="1:18" ht="15" customHeight="1" x14ac:dyDescent="0.35">
      <c r="A196" t="s">
        <v>814</v>
      </c>
      <c r="B196">
        <v>2025</v>
      </c>
      <c r="C196" t="s">
        <v>815</v>
      </c>
      <c r="D196" t="s">
        <v>816</v>
      </c>
      <c r="E196" t="s">
        <v>15</v>
      </c>
      <c r="F196" t="s">
        <v>16</v>
      </c>
      <c r="G196" t="s">
        <v>15</v>
      </c>
      <c r="H196" t="s">
        <v>402</v>
      </c>
      <c r="I196" t="s">
        <v>15</v>
      </c>
      <c r="J196" t="s">
        <v>574</v>
      </c>
      <c r="K196" t="s">
        <v>15</v>
      </c>
      <c r="L196" t="s">
        <v>20</v>
      </c>
      <c r="M196" t="s">
        <v>15</v>
      </c>
      <c r="N196" t="s">
        <v>817</v>
      </c>
      <c r="O196" t="s">
        <v>15</v>
      </c>
      <c r="P196" t="s">
        <v>91</v>
      </c>
      <c r="Q196" t="s">
        <v>17</v>
      </c>
      <c r="R196" t="s">
        <v>30</v>
      </c>
    </row>
    <row r="197" spans="1:18" ht="15" customHeight="1" x14ac:dyDescent="0.35">
      <c r="A197" t="s">
        <v>818</v>
      </c>
      <c r="B197">
        <v>2025</v>
      </c>
      <c r="C197" t="s">
        <v>819</v>
      </c>
      <c r="D197" t="s">
        <v>820</v>
      </c>
      <c r="E197" t="s">
        <v>15</v>
      </c>
      <c r="F197" t="s">
        <v>16</v>
      </c>
      <c r="G197" t="s">
        <v>17</v>
      </c>
      <c r="H197" t="s">
        <v>821</v>
      </c>
      <c r="I197" t="s">
        <v>15</v>
      </c>
      <c r="J197" t="s">
        <v>822</v>
      </c>
      <c r="K197" t="s">
        <v>15</v>
      </c>
      <c r="L197" t="s">
        <v>20</v>
      </c>
      <c r="M197" t="s">
        <v>17</v>
      </c>
      <c r="N197" t="s">
        <v>282</v>
      </c>
      <c r="O197" t="s">
        <v>17</v>
      </c>
      <c r="P197" t="s">
        <v>650</v>
      </c>
      <c r="Q197" t="s">
        <v>17</v>
      </c>
      <c r="R197" t="s">
        <v>30</v>
      </c>
    </row>
    <row r="198" spans="1:18" s="7" customFormat="1" ht="15" customHeight="1" x14ac:dyDescent="0.35">
      <c r="A198" s="7" t="s">
        <v>823</v>
      </c>
      <c r="B198" s="7">
        <v>2025</v>
      </c>
      <c r="C198" s="7" t="s">
        <v>824</v>
      </c>
      <c r="D198" s="10" t="s">
        <v>825</v>
      </c>
    </row>
    <row r="199" spans="1:18" ht="15" customHeight="1" x14ac:dyDescent="0.35">
      <c r="A199" t="s">
        <v>826</v>
      </c>
      <c r="B199">
        <v>2025</v>
      </c>
      <c r="C199" t="s">
        <v>827</v>
      </c>
      <c r="D199" t="s">
        <v>828</v>
      </c>
      <c r="E199" t="s">
        <v>15</v>
      </c>
      <c r="F199" t="s">
        <v>16</v>
      </c>
      <c r="G199" t="s">
        <v>17</v>
      </c>
      <c r="H199" t="s">
        <v>188</v>
      </c>
      <c r="I199" t="s">
        <v>15</v>
      </c>
      <c r="J199" t="s">
        <v>574</v>
      </c>
      <c r="K199" t="s">
        <v>15</v>
      </c>
      <c r="L199" t="s">
        <v>20</v>
      </c>
      <c r="M199" t="s">
        <v>15</v>
      </c>
      <c r="N199" t="s">
        <v>829</v>
      </c>
      <c r="O199" t="s">
        <v>15</v>
      </c>
      <c r="P199" t="s">
        <v>91</v>
      </c>
      <c r="Q199" t="s">
        <v>17</v>
      </c>
      <c r="R199" t="s">
        <v>830</v>
      </c>
    </row>
    <row r="200" spans="1:18" ht="15" customHeight="1" x14ac:dyDescent="0.35">
      <c r="A200" t="s">
        <v>831</v>
      </c>
      <c r="B200">
        <v>2025</v>
      </c>
      <c r="C200" t="s">
        <v>832</v>
      </c>
      <c r="D200" t="s">
        <v>833</v>
      </c>
      <c r="E200" t="s">
        <v>15</v>
      </c>
      <c r="F200" t="s">
        <v>16</v>
      </c>
      <c r="G200" t="s">
        <v>15</v>
      </c>
      <c r="H200" t="s">
        <v>39</v>
      </c>
      <c r="I200" t="s">
        <v>15</v>
      </c>
      <c r="J200" t="s">
        <v>834</v>
      </c>
      <c r="K200" t="s">
        <v>15</v>
      </c>
      <c r="L200" t="s">
        <v>20</v>
      </c>
      <c r="M200" t="s">
        <v>17</v>
      </c>
      <c r="N200" t="s">
        <v>282</v>
      </c>
      <c r="O200" t="s">
        <v>17</v>
      </c>
      <c r="P200" t="s">
        <v>650</v>
      </c>
      <c r="Q200" t="s">
        <v>17</v>
      </c>
      <c r="R200" t="s">
        <v>30</v>
      </c>
    </row>
    <row r="201" spans="1:18" ht="15" customHeight="1" x14ac:dyDescent="0.35">
      <c r="A201" t="s">
        <v>835</v>
      </c>
      <c r="B201">
        <v>2025</v>
      </c>
      <c r="C201" t="s">
        <v>836</v>
      </c>
      <c r="D201" t="s">
        <v>837</v>
      </c>
      <c r="E201" t="s">
        <v>15</v>
      </c>
      <c r="F201" t="s">
        <v>16</v>
      </c>
      <c r="G201" t="s">
        <v>15</v>
      </c>
      <c r="H201" t="s">
        <v>39</v>
      </c>
      <c r="I201" t="s">
        <v>15</v>
      </c>
      <c r="J201" t="s">
        <v>838</v>
      </c>
      <c r="K201" t="s">
        <v>15</v>
      </c>
      <c r="L201" t="s">
        <v>20</v>
      </c>
      <c r="M201" t="s">
        <v>15</v>
      </c>
      <c r="N201" t="s">
        <v>21</v>
      </c>
      <c r="O201" t="s">
        <v>15</v>
      </c>
      <c r="P201" t="s">
        <v>22</v>
      </c>
      <c r="Q201" t="s">
        <v>17</v>
      </c>
      <c r="R201" t="s">
        <v>839</v>
      </c>
    </row>
    <row r="202" spans="1:18" ht="15" customHeight="1" x14ac:dyDescent="0.35">
      <c r="A202" t="s">
        <v>840</v>
      </c>
      <c r="B202">
        <v>2025</v>
      </c>
      <c r="C202" t="s">
        <v>841</v>
      </c>
      <c r="D202" t="s">
        <v>842</v>
      </c>
      <c r="E202" t="s">
        <v>15</v>
      </c>
      <c r="F202" t="s">
        <v>16</v>
      </c>
      <c r="G202" t="s">
        <v>17</v>
      </c>
      <c r="H202" t="s">
        <v>482</v>
      </c>
      <c r="I202" t="s">
        <v>15</v>
      </c>
      <c r="J202" t="s">
        <v>27</v>
      </c>
      <c r="K202" t="s">
        <v>17</v>
      </c>
      <c r="L202" t="s">
        <v>162</v>
      </c>
      <c r="M202" t="s">
        <v>17</v>
      </c>
      <c r="N202" t="s">
        <v>204</v>
      </c>
      <c r="O202" t="s">
        <v>15</v>
      </c>
      <c r="P202" t="s">
        <v>136</v>
      </c>
      <c r="Q202" t="s">
        <v>17</v>
      </c>
      <c r="R202" t="s">
        <v>336</v>
      </c>
    </row>
    <row r="203" spans="1:18" ht="15" customHeight="1" x14ac:dyDescent="0.35">
      <c r="A203" t="s">
        <v>843</v>
      </c>
      <c r="B203">
        <v>2025</v>
      </c>
      <c r="C203" t="s">
        <v>844</v>
      </c>
      <c r="D203" s="1" t="s">
        <v>845</v>
      </c>
      <c r="E203" t="s">
        <v>15</v>
      </c>
      <c r="F203" t="s">
        <v>16</v>
      </c>
      <c r="G203" t="s">
        <v>15</v>
      </c>
      <c r="H203" t="s">
        <v>34</v>
      </c>
      <c r="I203" t="s">
        <v>15</v>
      </c>
      <c r="J203" t="s">
        <v>846</v>
      </c>
      <c r="K203" t="s">
        <v>15</v>
      </c>
      <c r="L203" t="s">
        <v>20</v>
      </c>
      <c r="M203" t="s">
        <v>15</v>
      </c>
      <c r="N203" t="s">
        <v>21</v>
      </c>
      <c r="O203" t="s">
        <v>17</v>
      </c>
      <c r="P203" t="s">
        <v>650</v>
      </c>
      <c r="Q203" t="s">
        <v>17</v>
      </c>
      <c r="R203" t="s">
        <v>30</v>
      </c>
    </row>
    <row r="204" spans="1:18" s="7" customFormat="1" ht="15" customHeight="1" x14ac:dyDescent="0.35">
      <c r="A204" s="7" t="s">
        <v>847</v>
      </c>
      <c r="B204" s="7">
        <v>2025</v>
      </c>
      <c r="C204" s="7" t="s">
        <v>844</v>
      </c>
      <c r="D204" s="7" t="s">
        <v>848</v>
      </c>
    </row>
    <row r="205" spans="1:18" ht="15" customHeight="1" x14ac:dyDescent="0.35">
      <c r="A205" t="s">
        <v>849</v>
      </c>
      <c r="B205">
        <v>2025</v>
      </c>
      <c r="C205" t="s">
        <v>850</v>
      </c>
      <c r="D205" t="s">
        <v>851</v>
      </c>
      <c r="E205" t="s">
        <v>15</v>
      </c>
      <c r="F205" t="s">
        <v>16</v>
      </c>
      <c r="G205" t="s">
        <v>15</v>
      </c>
      <c r="H205" t="s">
        <v>396</v>
      </c>
      <c r="I205" t="s">
        <v>15</v>
      </c>
      <c r="J205" t="s">
        <v>852</v>
      </c>
      <c r="K205" t="s">
        <v>15</v>
      </c>
      <c r="L205" t="s">
        <v>20</v>
      </c>
      <c r="M205" t="s">
        <v>15</v>
      </c>
      <c r="N205" t="s">
        <v>853</v>
      </c>
      <c r="O205" t="s">
        <v>15</v>
      </c>
      <c r="P205" t="s">
        <v>91</v>
      </c>
      <c r="Q205" t="s">
        <v>17</v>
      </c>
      <c r="R205" t="s">
        <v>30</v>
      </c>
    </row>
    <row r="206" spans="1:18" ht="15" customHeight="1" x14ac:dyDescent="0.35">
      <c r="A206" t="s">
        <v>854</v>
      </c>
      <c r="B206">
        <v>2025</v>
      </c>
      <c r="C206" t="s">
        <v>855</v>
      </c>
      <c r="D206" s="1" t="s">
        <v>856</v>
      </c>
      <c r="E206" t="s">
        <v>15</v>
      </c>
      <c r="F206" t="s">
        <v>16</v>
      </c>
      <c r="G206" t="s">
        <v>17</v>
      </c>
      <c r="H206" t="s">
        <v>535</v>
      </c>
      <c r="I206" t="s">
        <v>15</v>
      </c>
      <c r="J206" t="s">
        <v>722</v>
      </c>
      <c r="K206" t="s">
        <v>15</v>
      </c>
      <c r="L206" t="s">
        <v>20</v>
      </c>
      <c r="M206" t="s">
        <v>15</v>
      </c>
      <c r="N206" t="s">
        <v>21</v>
      </c>
      <c r="O206" t="s">
        <v>17</v>
      </c>
      <c r="P206" t="s">
        <v>650</v>
      </c>
      <c r="Q206" t="s">
        <v>17</v>
      </c>
      <c r="R206" t="s">
        <v>30</v>
      </c>
    </row>
    <row r="207" spans="1:18" ht="15" customHeight="1" x14ac:dyDescent="0.35">
      <c r="A207" t="s">
        <v>857</v>
      </c>
      <c r="B207">
        <v>2025</v>
      </c>
      <c r="C207" t="s">
        <v>858</v>
      </c>
      <c r="D207" t="s">
        <v>859</v>
      </c>
      <c r="E207" t="s">
        <v>15</v>
      </c>
      <c r="F207" t="s">
        <v>16</v>
      </c>
      <c r="G207" t="s">
        <v>15</v>
      </c>
      <c r="H207" t="s">
        <v>34</v>
      </c>
      <c r="I207" t="s">
        <v>15</v>
      </c>
      <c r="J207" t="s">
        <v>676</v>
      </c>
      <c r="K207" t="s">
        <v>15</v>
      </c>
      <c r="L207" t="s">
        <v>20</v>
      </c>
      <c r="M207" t="s">
        <v>15</v>
      </c>
      <c r="N207" t="s">
        <v>21</v>
      </c>
      <c r="O207" t="s">
        <v>15</v>
      </c>
      <c r="P207" t="s">
        <v>298</v>
      </c>
      <c r="Q207" t="s">
        <v>17</v>
      </c>
      <c r="R207" t="s">
        <v>30</v>
      </c>
    </row>
    <row r="208" spans="1:18" ht="15" customHeight="1" x14ac:dyDescent="0.35">
      <c r="A208" t="s">
        <v>860</v>
      </c>
      <c r="B208">
        <v>2025</v>
      </c>
      <c r="C208" t="s">
        <v>861</v>
      </c>
      <c r="D208" t="s">
        <v>862</v>
      </c>
      <c r="E208" t="s">
        <v>15</v>
      </c>
      <c r="F208" t="s">
        <v>16</v>
      </c>
      <c r="G208" t="s">
        <v>15</v>
      </c>
      <c r="H208" t="s">
        <v>34</v>
      </c>
      <c r="I208" t="s">
        <v>15</v>
      </c>
      <c r="J208" t="s">
        <v>483</v>
      </c>
      <c r="K208" t="s">
        <v>15</v>
      </c>
      <c r="L208" t="s">
        <v>20</v>
      </c>
      <c r="M208" t="s">
        <v>17</v>
      </c>
      <c r="N208" t="s">
        <v>578</v>
      </c>
      <c r="O208" t="s">
        <v>17</v>
      </c>
      <c r="P208" t="s">
        <v>650</v>
      </c>
      <c r="Q208" t="s">
        <v>17</v>
      </c>
      <c r="R208" t="s">
        <v>30</v>
      </c>
    </row>
    <row r="209" spans="1:18" ht="15" customHeight="1" x14ac:dyDescent="0.35">
      <c r="A209" t="s">
        <v>863</v>
      </c>
      <c r="B209">
        <v>2025</v>
      </c>
      <c r="C209" t="s">
        <v>864</v>
      </c>
      <c r="D209" t="s">
        <v>865</v>
      </c>
      <c r="E209" t="s">
        <v>15</v>
      </c>
      <c r="F209" t="s">
        <v>16</v>
      </c>
      <c r="G209" t="s">
        <v>15</v>
      </c>
      <c r="H209" t="s">
        <v>35</v>
      </c>
      <c r="I209" t="s">
        <v>15</v>
      </c>
      <c r="J209" t="s">
        <v>788</v>
      </c>
      <c r="K209" t="s">
        <v>15</v>
      </c>
      <c r="L209" t="s">
        <v>20</v>
      </c>
      <c r="M209" t="s">
        <v>17</v>
      </c>
      <c r="N209" t="s">
        <v>866</v>
      </c>
      <c r="O209" t="s">
        <v>15</v>
      </c>
      <c r="P209" t="s">
        <v>136</v>
      </c>
      <c r="Q209" t="s">
        <v>17</v>
      </c>
      <c r="R209" t="s">
        <v>30</v>
      </c>
    </row>
    <row r="210" spans="1:18" ht="15" customHeight="1" x14ac:dyDescent="0.35">
      <c r="A210" t="s">
        <v>867</v>
      </c>
      <c r="B210">
        <v>2025</v>
      </c>
      <c r="C210" t="s">
        <v>868</v>
      </c>
      <c r="D210" t="s">
        <v>869</v>
      </c>
      <c r="E210" t="s">
        <v>15</v>
      </c>
      <c r="F210" t="s">
        <v>16</v>
      </c>
      <c r="G210" t="s">
        <v>17</v>
      </c>
      <c r="H210" t="s">
        <v>821</v>
      </c>
      <c r="I210" t="s">
        <v>15</v>
      </c>
      <c r="J210" t="s">
        <v>27</v>
      </c>
      <c r="K210" t="s">
        <v>15</v>
      </c>
      <c r="L210" t="s">
        <v>20</v>
      </c>
      <c r="M210" t="s">
        <v>15</v>
      </c>
      <c r="N210" t="s">
        <v>21</v>
      </c>
      <c r="O210" t="s">
        <v>15</v>
      </c>
      <c r="P210" t="s">
        <v>136</v>
      </c>
      <c r="Q210" t="s">
        <v>17</v>
      </c>
      <c r="R210" t="s">
        <v>30</v>
      </c>
    </row>
    <row r="211" spans="1:18" ht="15" customHeight="1" x14ac:dyDescent="0.35">
      <c r="A211" t="s">
        <v>870</v>
      </c>
      <c r="B211">
        <v>2025</v>
      </c>
      <c r="C211" t="s">
        <v>871</v>
      </c>
      <c r="D211" t="s">
        <v>872</v>
      </c>
      <c r="E211" t="s">
        <v>15</v>
      </c>
      <c r="F211" t="s">
        <v>16</v>
      </c>
      <c r="G211" t="s">
        <v>17</v>
      </c>
      <c r="H211" t="s">
        <v>18</v>
      </c>
      <c r="I211" t="s">
        <v>15</v>
      </c>
      <c r="J211" t="s">
        <v>729</v>
      </c>
      <c r="K211" t="s">
        <v>15</v>
      </c>
      <c r="L211" t="s">
        <v>20</v>
      </c>
      <c r="M211" t="s">
        <v>15</v>
      </c>
      <c r="N211" t="s">
        <v>21</v>
      </c>
      <c r="O211" t="s">
        <v>15</v>
      </c>
      <c r="P211" t="s">
        <v>22</v>
      </c>
      <c r="Q211" t="s">
        <v>17</v>
      </c>
      <c r="R211" t="s">
        <v>30</v>
      </c>
    </row>
    <row r="212" spans="1:18" ht="15" customHeight="1" x14ac:dyDescent="0.35">
      <c r="A212" t="s">
        <v>873</v>
      </c>
      <c r="B212">
        <v>2025</v>
      </c>
      <c r="C212" t="s">
        <v>874</v>
      </c>
      <c r="D212" s="1" t="s">
        <v>875</v>
      </c>
      <c r="E212" t="s">
        <v>15</v>
      </c>
      <c r="F212" t="s">
        <v>16</v>
      </c>
      <c r="G212" t="s">
        <v>17</v>
      </c>
      <c r="H212" t="s">
        <v>876</v>
      </c>
      <c r="I212" t="s">
        <v>15</v>
      </c>
      <c r="J212" t="s">
        <v>483</v>
      </c>
      <c r="K212" t="s">
        <v>15</v>
      </c>
      <c r="L212" t="s">
        <v>20</v>
      </c>
      <c r="M212" t="s">
        <v>15</v>
      </c>
      <c r="N212" t="s">
        <v>21</v>
      </c>
      <c r="O212" t="s">
        <v>15</v>
      </c>
      <c r="P212" t="s">
        <v>776</v>
      </c>
      <c r="Q212" t="s">
        <v>17</v>
      </c>
      <c r="R212" t="s">
        <v>30</v>
      </c>
    </row>
    <row r="213" spans="1:18" ht="15" customHeight="1" x14ac:dyDescent="0.35">
      <c r="A213" t="s">
        <v>877</v>
      </c>
      <c r="B213">
        <v>2025</v>
      </c>
      <c r="C213" t="s">
        <v>878</v>
      </c>
      <c r="D213" t="s">
        <v>879</v>
      </c>
      <c r="E213" t="s">
        <v>15</v>
      </c>
      <c r="F213" t="s">
        <v>16</v>
      </c>
      <c r="G213" t="s">
        <v>17</v>
      </c>
      <c r="H213" t="s">
        <v>535</v>
      </c>
      <c r="I213" t="s">
        <v>15</v>
      </c>
      <c r="J213" t="s">
        <v>880</v>
      </c>
      <c r="K213" t="s">
        <v>15</v>
      </c>
      <c r="L213" t="s">
        <v>20</v>
      </c>
      <c r="M213" t="s">
        <v>15</v>
      </c>
      <c r="N213" t="s">
        <v>21</v>
      </c>
      <c r="O213" t="s">
        <v>17</v>
      </c>
      <c r="P213" t="s">
        <v>650</v>
      </c>
      <c r="Q213" t="s">
        <v>17</v>
      </c>
      <c r="R213" t="s">
        <v>30</v>
      </c>
    </row>
    <row r="214" spans="1:18" ht="15" customHeight="1" x14ac:dyDescent="0.35">
      <c r="A214" t="s">
        <v>881</v>
      </c>
      <c r="B214">
        <v>2025</v>
      </c>
      <c r="C214" t="s">
        <v>882</v>
      </c>
      <c r="D214" s="1" t="s">
        <v>883</v>
      </c>
      <c r="E214" t="s">
        <v>15</v>
      </c>
      <c r="F214" t="s">
        <v>16</v>
      </c>
      <c r="G214" t="s">
        <v>17</v>
      </c>
      <c r="H214" t="s">
        <v>884</v>
      </c>
      <c r="I214" t="s">
        <v>15</v>
      </c>
      <c r="J214" t="s">
        <v>58</v>
      </c>
      <c r="K214" t="s">
        <v>15</v>
      </c>
      <c r="L214" t="s">
        <v>20</v>
      </c>
      <c r="M214" t="s">
        <v>17</v>
      </c>
      <c r="N214" t="s">
        <v>525</v>
      </c>
      <c r="O214" t="s">
        <v>17</v>
      </c>
      <c r="P214" t="s">
        <v>650</v>
      </c>
      <c r="Q214" t="s">
        <v>17</v>
      </c>
      <c r="R214" t="s">
        <v>30</v>
      </c>
    </row>
    <row r="215" spans="1:18" ht="15" customHeight="1" x14ac:dyDescent="0.35">
      <c r="A215" t="s">
        <v>885</v>
      </c>
      <c r="B215">
        <v>2025</v>
      </c>
      <c r="C215" t="s">
        <v>886</v>
      </c>
      <c r="D215" t="s">
        <v>887</v>
      </c>
      <c r="E215" t="s">
        <v>15</v>
      </c>
      <c r="F215" t="s">
        <v>16</v>
      </c>
      <c r="G215" t="s">
        <v>15</v>
      </c>
      <c r="H215" t="s">
        <v>65</v>
      </c>
      <c r="I215" t="s">
        <v>17</v>
      </c>
      <c r="J215" t="s">
        <v>888</v>
      </c>
      <c r="K215" t="s">
        <v>15</v>
      </c>
      <c r="L215" t="s">
        <v>20</v>
      </c>
      <c r="M215" t="s">
        <v>15</v>
      </c>
      <c r="N215" t="s">
        <v>21</v>
      </c>
      <c r="O215" t="s">
        <v>15</v>
      </c>
      <c r="P215" t="s">
        <v>22</v>
      </c>
      <c r="Q215" t="s">
        <v>17</v>
      </c>
      <c r="R215" t="s">
        <v>30</v>
      </c>
    </row>
    <row r="216" spans="1:18" ht="15" customHeight="1" x14ac:dyDescent="0.35">
      <c r="A216" t="s">
        <v>889</v>
      </c>
      <c r="B216">
        <v>2025</v>
      </c>
      <c r="C216" t="s">
        <v>890</v>
      </c>
      <c r="D216" t="s">
        <v>891</v>
      </c>
      <c r="E216" t="s">
        <v>15</v>
      </c>
      <c r="F216" t="s">
        <v>16</v>
      </c>
      <c r="G216" t="s">
        <v>15</v>
      </c>
      <c r="H216" t="s">
        <v>39</v>
      </c>
      <c r="I216" t="s">
        <v>15</v>
      </c>
      <c r="J216" t="s">
        <v>483</v>
      </c>
      <c r="K216" t="s">
        <v>15</v>
      </c>
      <c r="L216" t="s">
        <v>20</v>
      </c>
      <c r="M216" t="s">
        <v>15</v>
      </c>
      <c r="N216" t="s">
        <v>21</v>
      </c>
      <c r="O216" t="s">
        <v>17</v>
      </c>
      <c r="P216" t="s">
        <v>650</v>
      </c>
      <c r="Q216" t="s">
        <v>15</v>
      </c>
      <c r="R216" t="s">
        <v>767</v>
      </c>
    </row>
    <row r="217" spans="1:18" ht="15" customHeight="1" x14ac:dyDescent="0.35">
      <c r="A217" t="s">
        <v>892</v>
      </c>
      <c r="B217">
        <v>2025</v>
      </c>
      <c r="C217" t="s">
        <v>893</v>
      </c>
      <c r="D217" t="s">
        <v>894</v>
      </c>
      <c r="E217" t="s">
        <v>15</v>
      </c>
      <c r="F217" t="s">
        <v>16</v>
      </c>
      <c r="G217" t="s">
        <v>15</v>
      </c>
      <c r="H217" t="s">
        <v>34</v>
      </c>
      <c r="I217" t="s">
        <v>15</v>
      </c>
      <c r="J217" t="s">
        <v>676</v>
      </c>
      <c r="K217" t="s">
        <v>17</v>
      </c>
      <c r="L217" t="s">
        <v>162</v>
      </c>
      <c r="M217" t="s">
        <v>17</v>
      </c>
      <c r="N217" t="s">
        <v>204</v>
      </c>
      <c r="O217" t="s">
        <v>15</v>
      </c>
      <c r="P217" t="s">
        <v>91</v>
      </c>
      <c r="Q217" t="s">
        <v>17</v>
      </c>
      <c r="R217" t="s">
        <v>336</v>
      </c>
    </row>
    <row r="218" spans="1:18" ht="15" customHeight="1" x14ac:dyDescent="0.35">
      <c r="A218" t="s">
        <v>895</v>
      </c>
      <c r="B218">
        <v>2025</v>
      </c>
      <c r="C218" t="s">
        <v>896</v>
      </c>
      <c r="D218" t="s">
        <v>897</v>
      </c>
      <c r="E218" t="s">
        <v>15</v>
      </c>
      <c r="F218" t="s">
        <v>16</v>
      </c>
      <c r="G218" t="s">
        <v>15</v>
      </c>
      <c r="H218" t="s">
        <v>175</v>
      </c>
      <c r="I218" t="s">
        <v>15</v>
      </c>
      <c r="J218" t="s">
        <v>898</v>
      </c>
      <c r="K218" t="s">
        <v>17</v>
      </c>
      <c r="L218" t="s">
        <v>162</v>
      </c>
      <c r="M218" t="s">
        <v>17</v>
      </c>
      <c r="N218" t="s">
        <v>204</v>
      </c>
      <c r="O218" t="s">
        <v>17</v>
      </c>
      <c r="P218" t="s">
        <v>650</v>
      </c>
      <c r="Q218" t="s">
        <v>17</v>
      </c>
      <c r="R218" t="s">
        <v>336</v>
      </c>
    </row>
    <row r="219" spans="1:18" ht="15" customHeight="1" x14ac:dyDescent="0.35">
      <c r="A219" t="s">
        <v>899</v>
      </c>
      <c r="B219">
        <v>2025</v>
      </c>
      <c r="C219" t="s">
        <v>900</v>
      </c>
      <c r="D219" t="s">
        <v>901</v>
      </c>
      <c r="E219" t="s">
        <v>15</v>
      </c>
      <c r="F219" t="s">
        <v>16</v>
      </c>
      <c r="G219" t="s">
        <v>15</v>
      </c>
      <c r="H219" t="s">
        <v>34</v>
      </c>
      <c r="I219" t="s">
        <v>15</v>
      </c>
      <c r="J219" t="s">
        <v>902</v>
      </c>
      <c r="K219" t="s">
        <v>17</v>
      </c>
      <c r="L219" t="s">
        <v>20</v>
      </c>
      <c r="M219" t="s">
        <v>15</v>
      </c>
      <c r="N219" t="s">
        <v>21</v>
      </c>
      <c r="O219" t="s">
        <v>17</v>
      </c>
      <c r="P219" t="s">
        <v>650</v>
      </c>
      <c r="Q219" t="s">
        <v>17</v>
      </c>
      <c r="R219" t="s">
        <v>30</v>
      </c>
    </row>
    <row r="220" spans="1:18" ht="15" customHeight="1" x14ac:dyDescent="0.35">
      <c r="A220" t="s">
        <v>903</v>
      </c>
      <c r="B220">
        <v>2025</v>
      </c>
      <c r="C220" t="s">
        <v>904</v>
      </c>
      <c r="D220" s="1" t="s">
        <v>905</v>
      </c>
      <c r="E220" t="s">
        <v>15</v>
      </c>
      <c r="F220" t="s">
        <v>16</v>
      </c>
      <c r="G220" t="s">
        <v>15</v>
      </c>
      <c r="H220" t="s">
        <v>65</v>
      </c>
      <c r="I220" t="s">
        <v>15</v>
      </c>
      <c r="J220" t="s">
        <v>58</v>
      </c>
      <c r="K220" t="s">
        <v>15</v>
      </c>
      <c r="L220" t="s">
        <v>20</v>
      </c>
      <c r="M220" t="s">
        <v>17</v>
      </c>
      <c r="N220" t="s">
        <v>906</v>
      </c>
      <c r="O220" t="s">
        <v>15</v>
      </c>
      <c r="P220" t="s">
        <v>44</v>
      </c>
      <c r="Q220" t="s">
        <v>17</v>
      </c>
      <c r="R220" t="s">
        <v>30</v>
      </c>
    </row>
    <row r="221" spans="1:18" ht="15" customHeight="1" x14ac:dyDescent="0.35">
      <c r="A221" t="s">
        <v>907</v>
      </c>
      <c r="B221">
        <v>2025</v>
      </c>
      <c r="C221" t="s">
        <v>908</v>
      </c>
      <c r="D221" s="1" t="s">
        <v>909</v>
      </c>
      <c r="E221" t="s">
        <v>15</v>
      </c>
      <c r="F221" t="s">
        <v>16</v>
      </c>
      <c r="G221" t="s">
        <v>17</v>
      </c>
      <c r="H221" t="s">
        <v>910</v>
      </c>
      <c r="I221" t="s">
        <v>15</v>
      </c>
      <c r="J221" t="s">
        <v>911</v>
      </c>
      <c r="K221" t="s">
        <v>15</v>
      </c>
      <c r="L221" t="s">
        <v>20</v>
      </c>
      <c r="M221" t="s">
        <v>17</v>
      </c>
      <c r="N221" t="s">
        <v>912</v>
      </c>
      <c r="O221" t="s">
        <v>17</v>
      </c>
      <c r="P221" t="s">
        <v>913</v>
      </c>
      <c r="Q221" t="s">
        <v>17</v>
      </c>
      <c r="R221" t="s">
        <v>30</v>
      </c>
    </row>
    <row r="222" spans="1:18" ht="15" customHeight="1" x14ac:dyDescent="0.35">
      <c r="A222" t="s">
        <v>914</v>
      </c>
      <c r="B222">
        <v>2025</v>
      </c>
      <c r="C222" t="s">
        <v>915</v>
      </c>
      <c r="D222" t="s">
        <v>916</v>
      </c>
      <c r="E222" t="s">
        <v>15</v>
      </c>
      <c r="F222" t="s">
        <v>16</v>
      </c>
      <c r="G222" t="s">
        <v>15</v>
      </c>
      <c r="H222" t="s">
        <v>34</v>
      </c>
      <c r="I222" t="s">
        <v>15</v>
      </c>
      <c r="J222" t="s">
        <v>722</v>
      </c>
      <c r="K222" t="s">
        <v>15</v>
      </c>
      <c r="L222" t="s">
        <v>20</v>
      </c>
      <c r="M222" t="s">
        <v>15</v>
      </c>
      <c r="N222" t="s">
        <v>21</v>
      </c>
      <c r="O222" t="s">
        <v>15</v>
      </c>
      <c r="P222" t="s">
        <v>136</v>
      </c>
      <c r="Q222" t="s">
        <v>17</v>
      </c>
      <c r="R222" t="s">
        <v>30</v>
      </c>
    </row>
    <row r="223" spans="1:18" ht="15" customHeight="1" x14ac:dyDescent="0.35">
      <c r="A223" t="s">
        <v>917</v>
      </c>
      <c r="B223">
        <v>2025</v>
      </c>
      <c r="C223" t="s">
        <v>918</v>
      </c>
      <c r="D223" t="s">
        <v>919</v>
      </c>
      <c r="E223" t="s">
        <v>15</v>
      </c>
      <c r="F223" t="s">
        <v>16</v>
      </c>
      <c r="G223" t="s">
        <v>17</v>
      </c>
      <c r="H223" t="s">
        <v>188</v>
      </c>
      <c r="I223" t="s">
        <v>15</v>
      </c>
      <c r="J223" t="s">
        <v>49</v>
      </c>
      <c r="K223" t="s">
        <v>15</v>
      </c>
      <c r="L223" t="s">
        <v>20</v>
      </c>
      <c r="M223" t="s">
        <v>15</v>
      </c>
      <c r="N223" t="s">
        <v>21</v>
      </c>
      <c r="O223" t="s">
        <v>17</v>
      </c>
      <c r="P223" t="s">
        <v>650</v>
      </c>
      <c r="Q223" t="s">
        <v>17</v>
      </c>
      <c r="R223" t="s">
        <v>30</v>
      </c>
    </row>
    <row r="224" spans="1:18" ht="15" customHeight="1" x14ac:dyDescent="0.35">
      <c r="A224" t="s">
        <v>920</v>
      </c>
      <c r="B224">
        <v>2025</v>
      </c>
      <c r="C224" t="s">
        <v>921</v>
      </c>
      <c r="D224" t="s">
        <v>922</v>
      </c>
      <c r="E224" t="s">
        <v>15</v>
      </c>
      <c r="F224" t="s">
        <v>16</v>
      </c>
      <c r="G224" t="s">
        <v>17</v>
      </c>
      <c r="H224" t="s">
        <v>535</v>
      </c>
      <c r="I224" t="s">
        <v>15</v>
      </c>
      <c r="J224" t="s">
        <v>729</v>
      </c>
      <c r="K224" t="s">
        <v>15</v>
      </c>
      <c r="L224" t="s">
        <v>20</v>
      </c>
      <c r="M224" t="s">
        <v>15</v>
      </c>
      <c r="N224" t="s">
        <v>21</v>
      </c>
      <c r="O224" t="s">
        <v>15</v>
      </c>
      <c r="P224" t="s">
        <v>44</v>
      </c>
      <c r="Q224" t="s">
        <v>17</v>
      </c>
      <c r="R224" t="s">
        <v>30</v>
      </c>
    </row>
    <row r="225" spans="1:18" ht="15" customHeight="1" x14ac:dyDescent="0.35">
      <c r="A225" t="s">
        <v>923</v>
      </c>
      <c r="B225">
        <v>2025</v>
      </c>
      <c r="C225" t="s">
        <v>924</v>
      </c>
      <c r="D225" t="s">
        <v>925</v>
      </c>
      <c r="E225" t="s">
        <v>15</v>
      </c>
      <c r="F225" t="s">
        <v>16</v>
      </c>
      <c r="G225" t="s">
        <v>15</v>
      </c>
      <c r="H225" t="s">
        <v>34</v>
      </c>
      <c r="I225" t="s">
        <v>15</v>
      </c>
      <c r="J225" t="s">
        <v>926</v>
      </c>
      <c r="K225" t="s">
        <v>15</v>
      </c>
      <c r="L225" t="s">
        <v>20</v>
      </c>
      <c r="M225" t="s">
        <v>15</v>
      </c>
      <c r="N225" t="s">
        <v>21</v>
      </c>
      <c r="O225" t="s">
        <v>15</v>
      </c>
      <c r="P225" t="s">
        <v>745</v>
      </c>
      <c r="Q225" t="s">
        <v>17</v>
      </c>
      <c r="R225" t="s">
        <v>927</v>
      </c>
    </row>
    <row r="226" spans="1:18" ht="15" customHeight="1" x14ac:dyDescent="0.35">
      <c r="A226" t="s">
        <v>928</v>
      </c>
      <c r="B226">
        <v>2025</v>
      </c>
      <c r="C226" t="s">
        <v>929</v>
      </c>
      <c r="D226" t="s">
        <v>930</v>
      </c>
      <c r="E226" t="s">
        <v>15</v>
      </c>
      <c r="F226" t="s">
        <v>16</v>
      </c>
      <c r="G226" t="s">
        <v>15</v>
      </c>
      <c r="H226" t="s">
        <v>34</v>
      </c>
      <c r="I226" t="s">
        <v>15</v>
      </c>
      <c r="J226" t="s">
        <v>27</v>
      </c>
      <c r="K226" t="s">
        <v>15</v>
      </c>
      <c r="L226" t="s">
        <v>20</v>
      </c>
      <c r="M226" t="s">
        <v>15</v>
      </c>
      <c r="N226" t="s">
        <v>21</v>
      </c>
      <c r="O226" t="s">
        <v>17</v>
      </c>
      <c r="P226" t="s">
        <v>361</v>
      </c>
      <c r="Q226" t="s">
        <v>17</v>
      </c>
      <c r="R226" t="s">
        <v>30</v>
      </c>
    </row>
    <row r="227" spans="1:18" ht="15" customHeight="1" x14ac:dyDescent="0.35">
      <c r="A227" t="s">
        <v>931</v>
      </c>
      <c r="B227">
        <v>2025</v>
      </c>
      <c r="C227" t="s">
        <v>932</v>
      </c>
      <c r="D227" t="s">
        <v>933</v>
      </c>
      <c r="E227" t="s">
        <v>15</v>
      </c>
      <c r="F227" t="s">
        <v>16</v>
      </c>
      <c r="G227" t="s">
        <v>15</v>
      </c>
      <c r="H227" t="s">
        <v>65</v>
      </c>
      <c r="I227" t="s">
        <v>15</v>
      </c>
      <c r="J227" t="s">
        <v>483</v>
      </c>
      <c r="K227" t="s">
        <v>15</v>
      </c>
      <c r="L227" t="s">
        <v>20</v>
      </c>
      <c r="M227" t="s">
        <v>15</v>
      </c>
      <c r="N227" t="s">
        <v>21</v>
      </c>
      <c r="O227" t="s">
        <v>17</v>
      </c>
      <c r="P227" t="s">
        <v>29</v>
      </c>
      <c r="Q227" t="s">
        <v>17</v>
      </c>
      <c r="R227" t="s">
        <v>30</v>
      </c>
    </row>
    <row r="228" spans="1:18" ht="15" customHeight="1" x14ac:dyDescent="0.35">
      <c r="A228" t="s">
        <v>934</v>
      </c>
      <c r="B228">
        <v>2025</v>
      </c>
      <c r="C228" t="s">
        <v>935</v>
      </c>
      <c r="D228" t="s">
        <v>936</v>
      </c>
      <c r="E228" t="s">
        <v>15</v>
      </c>
      <c r="F228" t="s">
        <v>16</v>
      </c>
      <c r="G228" t="s">
        <v>15</v>
      </c>
      <c r="H228" t="s">
        <v>34</v>
      </c>
      <c r="I228" t="s">
        <v>15</v>
      </c>
      <c r="J228" t="s">
        <v>937</v>
      </c>
      <c r="K228" t="s">
        <v>15</v>
      </c>
      <c r="L228" t="s">
        <v>20</v>
      </c>
      <c r="M228" t="s">
        <v>17</v>
      </c>
      <c r="N228" t="s">
        <v>525</v>
      </c>
      <c r="O228" t="s">
        <v>15</v>
      </c>
      <c r="P228" t="s">
        <v>136</v>
      </c>
      <c r="Q228" t="s">
        <v>17</v>
      </c>
      <c r="R228" t="s">
        <v>30</v>
      </c>
    </row>
    <row r="229" spans="1:18" ht="15" customHeight="1" x14ac:dyDescent="0.35">
      <c r="A229" t="s">
        <v>938</v>
      </c>
      <c r="B229">
        <v>2025</v>
      </c>
      <c r="C229" t="s">
        <v>939</v>
      </c>
      <c r="D229" t="s">
        <v>940</v>
      </c>
      <c r="E229" t="s">
        <v>15</v>
      </c>
      <c r="F229" t="s">
        <v>16</v>
      </c>
      <c r="G229" t="s">
        <v>15</v>
      </c>
      <c r="H229" t="s">
        <v>39</v>
      </c>
      <c r="I229" t="s">
        <v>15</v>
      </c>
      <c r="J229" t="s">
        <v>729</v>
      </c>
      <c r="K229" t="s">
        <v>15</v>
      </c>
      <c r="L229" t="s">
        <v>20</v>
      </c>
      <c r="M229" t="s">
        <v>17</v>
      </c>
      <c r="N229" t="s">
        <v>525</v>
      </c>
      <c r="O229" t="s">
        <v>15</v>
      </c>
      <c r="P229" t="s">
        <v>22</v>
      </c>
      <c r="Q229" t="s">
        <v>17</v>
      </c>
      <c r="R229" t="s">
        <v>30</v>
      </c>
    </row>
    <row r="230" spans="1:18" ht="15" customHeight="1" x14ac:dyDescent="0.35">
      <c r="A230" t="s">
        <v>941</v>
      </c>
      <c r="B230">
        <v>2025</v>
      </c>
      <c r="C230" t="s">
        <v>942</v>
      </c>
      <c r="D230" t="s">
        <v>624</v>
      </c>
      <c r="E230" t="s">
        <v>15</v>
      </c>
      <c r="F230" t="s">
        <v>16</v>
      </c>
      <c r="G230" t="s">
        <v>15</v>
      </c>
      <c r="H230" t="s">
        <v>34</v>
      </c>
      <c r="I230" t="s">
        <v>15</v>
      </c>
      <c r="J230" t="s">
        <v>943</v>
      </c>
      <c r="K230" t="s">
        <v>15</v>
      </c>
      <c r="L230" t="s">
        <v>20</v>
      </c>
      <c r="M230" t="s">
        <v>15</v>
      </c>
      <c r="N230" t="s">
        <v>21</v>
      </c>
      <c r="O230" t="s">
        <v>15</v>
      </c>
      <c r="P230" t="s">
        <v>22</v>
      </c>
      <c r="Q230" t="s">
        <v>15</v>
      </c>
      <c r="R230" t="s">
        <v>110</v>
      </c>
    </row>
    <row r="231" spans="1:18" ht="15" customHeight="1" x14ac:dyDescent="0.35">
      <c r="A231" t="s">
        <v>944</v>
      </c>
      <c r="B231">
        <v>2025</v>
      </c>
      <c r="C231" t="s">
        <v>945</v>
      </c>
      <c r="D231" t="s">
        <v>946</v>
      </c>
      <c r="E231" t="s">
        <v>15</v>
      </c>
      <c r="F231" t="s">
        <v>16</v>
      </c>
      <c r="G231" t="s">
        <v>15</v>
      </c>
      <c r="H231" t="s">
        <v>34</v>
      </c>
      <c r="I231" t="s">
        <v>15</v>
      </c>
      <c r="J231" t="s">
        <v>947</v>
      </c>
      <c r="K231" t="s">
        <v>15</v>
      </c>
      <c r="L231" t="s">
        <v>20</v>
      </c>
      <c r="M231" t="s">
        <v>17</v>
      </c>
      <c r="N231" t="s">
        <v>578</v>
      </c>
      <c r="O231" t="s">
        <v>17</v>
      </c>
      <c r="P231" t="s">
        <v>650</v>
      </c>
      <c r="Q231" t="s">
        <v>17</v>
      </c>
      <c r="R231" t="s">
        <v>30</v>
      </c>
    </row>
    <row r="232" spans="1:18" ht="15" customHeight="1" x14ac:dyDescent="0.35">
      <c r="A232" t="s">
        <v>948</v>
      </c>
      <c r="B232">
        <v>2025</v>
      </c>
      <c r="C232" t="s">
        <v>949</v>
      </c>
      <c r="D232" t="s">
        <v>950</v>
      </c>
      <c r="E232" t="s">
        <v>15</v>
      </c>
      <c r="F232" t="s">
        <v>16</v>
      </c>
      <c r="G232" t="s">
        <v>15</v>
      </c>
      <c r="H232" t="s">
        <v>951</v>
      </c>
      <c r="I232" t="s">
        <v>15</v>
      </c>
      <c r="J232" t="s">
        <v>722</v>
      </c>
      <c r="K232" t="s">
        <v>15</v>
      </c>
      <c r="L232" t="s">
        <v>20</v>
      </c>
      <c r="M232" t="s">
        <v>15</v>
      </c>
      <c r="N232" t="s">
        <v>21</v>
      </c>
      <c r="O232" t="s">
        <v>17</v>
      </c>
      <c r="P232" t="s">
        <v>650</v>
      </c>
      <c r="Q232" t="s">
        <v>17</v>
      </c>
      <c r="R232" t="s">
        <v>30</v>
      </c>
    </row>
    <row r="233" spans="1:18" ht="15" customHeight="1" x14ac:dyDescent="0.35">
      <c r="A233" t="s">
        <v>952</v>
      </c>
      <c r="B233">
        <v>2025</v>
      </c>
      <c r="C233" t="s">
        <v>953</v>
      </c>
      <c r="D233" t="s">
        <v>954</v>
      </c>
      <c r="E233" t="s">
        <v>15</v>
      </c>
      <c r="F233" t="s">
        <v>16</v>
      </c>
      <c r="G233" t="s">
        <v>15</v>
      </c>
      <c r="H233" t="s">
        <v>34</v>
      </c>
      <c r="I233" t="s">
        <v>15</v>
      </c>
      <c r="J233" t="s">
        <v>955</v>
      </c>
      <c r="K233" t="s">
        <v>15</v>
      </c>
      <c r="L233" t="s">
        <v>20</v>
      </c>
      <c r="M233" t="s">
        <v>17</v>
      </c>
      <c r="N233" t="s">
        <v>956</v>
      </c>
      <c r="O233" t="s">
        <v>17</v>
      </c>
      <c r="P233" t="s">
        <v>650</v>
      </c>
      <c r="Q233" t="s">
        <v>17</v>
      </c>
      <c r="R233" t="s">
        <v>30</v>
      </c>
    </row>
    <row r="234" spans="1:18" ht="15" customHeight="1" x14ac:dyDescent="0.35">
      <c r="A234" t="s">
        <v>957</v>
      </c>
      <c r="B234">
        <v>2025</v>
      </c>
      <c r="C234" t="s">
        <v>958</v>
      </c>
      <c r="D234" t="s">
        <v>959</v>
      </c>
      <c r="E234" t="s">
        <v>15</v>
      </c>
      <c r="F234" t="s">
        <v>16</v>
      </c>
      <c r="G234" t="s">
        <v>17</v>
      </c>
      <c r="H234" t="s">
        <v>188</v>
      </c>
      <c r="I234" t="s">
        <v>15</v>
      </c>
      <c r="J234" t="s">
        <v>838</v>
      </c>
      <c r="K234" t="s">
        <v>15</v>
      </c>
      <c r="L234" t="s">
        <v>20</v>
      </c>
      <c r="M234" t="s">
        <v>15</v>
      </c>
      <c r="N234" t="s">
        <v>960</v>
      </c>
      <c r="O234" t="s">
        <v>17</v>
      </c>
      <c r="P234" t="s">
        <v>650</v>
      </c>
      <c r="Q234" t="s">
        <v>17</v>
      </c>
      <c r="R234" t="s">
        <v>30</v>
      </c>
    </row>
    <row r="235" spans="1:18" ht="15" customHeight="1" x14ac:dyDescent="0.35">
      <c r="A235" t="s">
        <v>961</v>
      </c>
      <c r="B235">
        <v>2025</v>
      </c>
      <c r="C235" t="s">
        <v>962</v>
      </c>
      <c r="D235" s="1" t="s">
        <v>963</v>
      </c>
      <c r="E235" t="s">
        <v>15</v>
      </c>
      <c r="F235" t="s">
        <v>16</v>
      </c>
      <c r="G235" t="s">
        <v>15</v>
      </c>
      <c r="H235" t="s">
        <v>34</v>
      </c>
      <c r="I235" t="s">
        <v>15</v>
      </c>
      <c r="J235" t="s">
        <v>483</v>
      </c>
      <c r="K235" t="s">
        <v>17</v>
      </c>
      <c r="L235" t="s">
        <v>162</v>
      </c>
      <c r="M235" t="s">
        <v>17</v>
      </c>
      <c r="N235" t="s">
        <v>204</v>
      </c>
      <c r="O235" t="s">
        <v>17</v>
      </c>
      <c r="P235" t="s">
        <v>650</v>
      </c>
      <c r="Q235" t="s">
        <v>17</v>
      </c>
      <c r="R235" t="s">
        <v>204</v>
      </c>
    </row>
    <row r="236" spans="1:18" ht="15" customHeight="1" x14ac:dyDescent="0.35">
      <c r="A236" t="s">
        <v>964</v>
      </c>
      <c r="B236">
        <v>2025</v>
      </c>
      <c r="C236" t="s">
        <v>965</v>
      </c>
      <c r="D236" t="s">
        <v>966</v>
      </c>
      <c r="E236" t="s">
        <v>15</v>
      </c>
      <c r="F236" t="s">
        <v>16</v>
      </c>
      <c r="G236" t="s">
        <v>17</v>
      </c>
      <c r="H236" t="s">
        <v>188</v>
      </c>
      <c r="I236" t="s">
        <v>15</v>
      </c>
      <c r="J236" t="s">
        <v>483</v>
      </c>
      <c r="K236" t="s">
        <v>15</v>
      </c>
      <c r="L236" t="s">
        <v>20</v>
      </c>
      <c r="M236" t="s">
        <v>15</v>
      </c>
      <c r="N236" t="s">
        <v>21</v>
      </c>
      <c r="O236" t="s">
        <v>17</v>
      </c>
      <c r="P236" t="s">
        <v>650</v>
      </c>
      <c r="Q236" t="s">
        <v>17</v>
      </c>
      <c r="R236" t="s">
        <v>30</v>
      </c>
    </row>
    <row r="237" spans="1:18" ht="15" customHeight="1" x14ac:dyDescent="0.35">
      <c r="A237" t="s">
        <v>967</v>
      </c>
      <c r="B237">
        <v>2025</v>
      </c>
      <c r="C237" t="s">
        <v>968</v>
      </c>
      <c r="D237" t="s">
        <v>969</v>
      </c>
      <c r="E237" t="s">
        <v>15</v>
      </c>
      <c r="F237" t="s">
        <v>16</v>
      </c>
      <c r="G237" t="s">
        <v>15</v>
      </c>
      <c r="H237" t="s">
        <v>39</v>
      </c>
      <c r="I237" t="s">
        <v>15</v>
      </c>
      <c r="J237" t="s">
        <v>729</v>
      </c>
      <c r="K237" t="s">
        <v>15</v>
      </c>
      <c r="L237" t="s">
        <v>20</v>
      </c>
      <c r="M237" t="s">
        <v>15</v>
      </c>
      <c r="N237" t="s">
        <v>21</v>
      </c>
      <c r="O237" t="s">
        <v>15</v>
      </c>
      <c r="P237" t="s">
        <v>22</v>
      </c>
      <c r="Q237" t="s">
        <v>17</v>
      </c>
      <c r="R237" t="s">
        <v>30</v>
      </c>
    </row>
    <row r="238" spans="1:18" ht="15" customHeight="1" x14ac:dyDescent="0.35">
      <c r="A238" t="s">
        <v>970</v>
      </c>
      <c r="B238">
        <v>2025</v>
      </c>
      <c r="C238" t="s">
        <v>971</v>
      </c>
      <c r="D238" t="s">
        <v>972</v>
      </c>
      <c r="E238" t="s">
        <v>15</v>
      </c>
      <c r="F238" t="s">
        <v>16</v>
      </c>
      <c r="G238" t="s">
        <v>17</v>
      </c>
      <c r="H238" t="s">
        <v>535</v>
      </c>
      <c r="I238" t="s">
        <v>15</v>
      </c>
      <c r="J238" t="s">
        <v>483</v>
      </c>
      <c r="K238" t="s">
        <v>15</v>
      </c>
      <c r="L238" t="s">
        <v>20</v>
      </c>
      <c r="M238" t="s">
        <v>15</v>
      </c>
      <c r="N238" t="s">
        <v>21</v>
      </c>
      <c r="O238" t="s">
        <v>17</v>
      </c>
      <c r="P238" t="s">
        <v>650</v>
      </c>
      <c r="Q238" t="s">
        <v>17</v>
      </c>
      <c r="R238" t="s">
        <v>973</v>
      </c>
    </row>
    <row r="239" spans="1:18" ht="15" customHeight="1" x14ac:dyDescent="0.35">
      <c r="A239" t="s">
        <v>974</v>
      </c>
      <c r="B239">
        <v>2025</v>
      </c>
      <c r="C239" t="s">
        <v>975</v>
      </c>
      <c r="D239" t="s">
        <v>976</v>
      </c>
      <c r="E239" t="s">
        <v>15</v>
      </c>
      <c r="F239" t="s">
        <v>16</v>
      </c>
      <c r="G239" t="s">
        <v>15</v>
      </c>
      <c r="H239" t="s">
        <v>34</v>
      </c>
      <c r="I239" t="s">
        <v>15</v>
      </c>
      <c r="J239" t="s">
        <v>483</v>
      </c>
      <c r="K239" t="s">
        <v>15</v>
      </c>
      <c r="L239" t="s">
        <v>20</v>
      </c>
      <c r="M239" t="s">
        <v>15</v>
      </c>
      <c r="N239" t="s">
        <v>21</v>
      </c>
      <c r="O239" t="s">
        <v>17</v>
      </c>
      <c r="P239" t="s">
        <v>650</v>
      </c>
      <c r="Q239" t="s">
        <v>17</v>
      </c>
      <c r="R239" t="s">
        <v>30</v>
      </c>
    </row>
    <row r="240" spans="1:18" ht="15" customHeight="1" x14ac:dyDescent="0.35">
      <c r="A240" t="s">
        <v>977</v>
      </c>
      <c r="B240">
        <v>2025</v>
      </c>
      <c r="C240" t="s">
        <v>978</v>
      </c>
      <c r="D240" t="s">
        <v>979</v>
      </c>
      <c r="E240" t="s">
        <v>15</v>
      </c>
      <c r="F240" t="s">
        <v>16</v>
      </c>
      <c r="G240" t="s">
        <v>15</v>
      </c>
      <c r="H240" t="s">
        <v>39</v>
      </c>
      <c r="I240" t="s">
        <v>15</v>
      </c>
      <c r="J240" t="s">
        <v>980</v>
      </c>
      <c r="K240" t="s">
        <v>15</v>
      </c>
      <c r="L240" t="s">
        <v>20</v>
      </c>
      <c r="M240" t="s">
        <v>17</v>
      </c>
      <c r="N240" t="s">
        <v>184</v>
      </c>
      <c r="O240" t="s">
        <v>15</v>
      </c>
      <c r="P240" t="s">
        <v>91</v>
      </c>
      <c r="Q240" t="s">
        <v>17</v>
      </c>
      <c r="R240" t="s">
        <v>30</v>
      </c>
    </row>
    <row r="241" spans="1:18" ht="15" customHeight="1" x14ac:dyDescent="0.35">
      <c r="A241" t="s">
        <v>981</v>
      </c>
      <c r="B241">
        <v>2025</v>
      </c>
      <c r="C241" t="s">
        <v>982</v>
      </c>
      <c r="D241" t="s">
        <v>983</v>
      </c>
      <c r="E241" t="s">
        <v>15</v>
      </c>
      <c r="F241" t="s">
        <v>16</v>
      </c>
      <c r="G241" t="s">
        <v>15</v>
      </c>
      <c r="H241" t="s">
        <v>39</v>
      </c>
      <c r="I241" t="s">
        <v>15</v>
      </c>
      <c r="J241" t="s">
        <v>729</v>
      </c>
      <c r="K241" t="s">
        <v>15</v>
      </c>
      <c r="L241" t="s">
        <v>20</v>
      </c>
      <c r="M241" t="s">
        <v>15</v>
      </c>
      <c r="N241" t="s">
        <v>984</v>
      </c>
      <c r="O241" t="s">
        <v>15</v>
      </c>
      <c r="P241" t="s">
        <v>22</v>
      </c>
      <c r="Q241" t="s">
        <v>17</v>
      </c>
      <c r="R241" t="s">
        <v>30</v>
      </c>
    </row>
    <row r="242" spans="1:18" ht="15" customHeight="1" x14ac:dyDescent="0.35">
      <c r="A242" t="s">
        <v>985</v>
      </c>
      <c r="B242">
        <v>2025</v>
      </c>
      <c r="C242" t="s">
        <v>986</v>
      </c>
      <c r="D242" t="s">
        <v>987</v>
      </c>
      <c r="E242" t="s">
        <v>15</v>
      </c>
      <c r="F242" t="s">
        <v>16</v>
      </c>
      <c r="G242" t="s">
        <v>15</v>
      </c>
      <c r="H242" t="s">
        <v>34</v>
      </c>
      <c r="I242" t="s">
        <v>15</v>
      </c>
      <c r="J242" t="s">
        <v>988</v>
      </c>
      <c r="K242" t="s">
        <v>15</v>
      </c>
      <c r="L242" t="s">
        <v>20</v>
      </c>
      <c r="M242" t="s">
        <v>17</v>
      </c>
      <c r="N242" t="s">
        <v>989</v>
      </c>
      <c r="O242" t="s">
        <v>17</v>
      </c>
      <c r="P242" t="s">
        <v>650</v>
      </c>
      <c r="Q242" t="s">
        <v>17</v>
      </c>
      <c r="R242" t="s">
        <v>30</v>
      </c>
    </row>
    <row r="243" spans="1:18" ht="15" customHeight="1" x14ac:dyDescent="0.35">
      <c r="A243" t="s">
        <v>990</v>
      </c>
      <c r="B243">
        <v>2025</v>
      </c>
      <c r="C243" t="s">
        <v>991</v>
      </c>
      <c r="D243" t="s">
        <v>992</v>
      </c>
      <c r="E243" t="s">
        <v>15</v>
      </c>
      <c r="F243" t="s">
        <v>16</v>
      </c>
      <c r="G243" t="s">
        <v>17</v>
      </c>
      <c r="H243" t="s">
        <v>535</v>
      </c>
      <c r="I243" t="s">
        <v>15</v>
      </c>
      <c r="J243" t="s">
        <v>574</v>
      </c>
      <c r="K243" t="s">
        <v>15</v>
      </c>
      <c r="L243" t="s">
        <v>20</v>
      </c>
      <c r="M243" t="s">
        <v>17</v>
      </c>
      <c r="N243" t="s">
        <v>282</v>
      </c>
      <c r="O243" t="s">
        <v>17</v>
      </c>
      <c r="P243" t="s">
        <v>650</v>
      </c>
      <c r="Q243" t="s">
        <v>17</v>
      </c>
      <c r="R243" t="s">
        <v>30</v>
      </c>
    </row>
    <row r="244" spans="1:18" ht="15" customHeight="1" x14ac:dyDescent="0.35">
      <c r="A244" t="s">
        <v>993</v>
      </c>
      <c r="B244">
        <v>2025</v>
      </c>
      <c r="C244" t="s">
        <v>994</v>
      </c>
      <c r="D244" t="s">
        <v>995</v>
      </c>
      <c r="E244" t="s">
        <v>15</v>
      </c>
      <c r="F244" t="s">
        <v>16</v>
      </c>
      <c r="G244" t="s">
        <v>15</v>
      </c>
      <c r="H244" t="s">
        <v>39</v>
      </c>
      <c r="I244" t="s">
        <v>15</v>
      </c>
      <c r="J244" t="s">
        <v>729</v>
      </c>
      <c r="K244" t="s">
        <v>15</v>
      </c>
      <c r="L244" t="s">
        <v>20</v>
      </c>
      <c r="M244" t="s">
        <v>15</v>
      </c>
      <c r="N244" t="s">
        <v>21</v>
      </c>
      <c r="O244" t="s">
        <v>17</v>
      </c>
      <c r="P244" t="s">
        <v>29</v>
      </c>
      <c r="Q244" t="s">
        <v>17</v>
      </c>
      <c r="R244" t="s">
        <v>30</v>
      </c>
    </row>
    <row r="245" spans="1:18" ht="15" customHeight="1" x14ac:dyDescent="0.35">
      <c r="A245" t="s">
        <v>996</v>
      </c>
      <c r="B245">
        <v>2025</v>
      </c>
      <c r="C245" t="s">
        <v>997</v>
      </c>
      <c r="D245" t="s">
        <v>998</v>
      </c>
      <c r="E245" t="s">
        <v>15</v>
      </c>
      <c r="F245" t="s">
        <v>16</v>
      </c>
      <c r="G245" t="s">
        <v>15</v>
      </c>
      <c r="H245" t="s">
        <v>999</v>
      </c>
      <c r="I245" t="s">
        <v>15</v>
      </c>
      <c r="J245" t="s">
        <v>766</v>
      </c>
      <c r="K245" t="s">
        <v>15</v>
      </c>
      <c r="L245" t="s">
        <v>20</v>
      </c>
      <c r="M245" t="s">
        <v>17</v>
      </c>
      <c r="N245" t="s">
        <v>282</v>
      </c>
      <c r="O245" t="s">
        <v>17</v>
      </c>
      <c r="P245" t="s">
        <v>650</v>
      </c>
      <c r="Q245" t="s">
        <v>17</v>
      </c>
      <c r="R245" t="s">
        <v>30</v>
      </c>
    </row>
    <row r="246" spans="1:18" ht="15" customHeight="1" x14ac:dyDescent="0.35">
      <c r="A246" t="s">
        <v>1000</v>
      </c>
      <c r="B246">
        <v>2025</v>
      </c>
      <c r="C246" t="s">
        <v>1001</v>
      </c>
      <c r="D246" t="s">
        <v>1002</v>
      </c>
      <c r="E246" t="s">
        <v>15</v>
      </c>
      <c r="F246" t="s">
        <v>16</v>
      </c>
      <c r="G246" t="s">
        <v>15</v>
      </c>
      <c r="H246" t="s">
        <v>39</v>
      </c>
      <c r="I246" t="s">
        <v>15</v>
      </c>
      <c r="J246" t="s">
        <v>729</v>
      </c>
      <c r="K246" t="s">
        <v>15</v>
      </c>
      <c r="L246" t="s">
        <v>20</v>
      </c>
      <c r="M246" t="s">
        <v>15</v>
      </c>
      <c r="N246" t="s">
        <v>21</v>
      </c>
      <c r="O246" t="s">
        <v>17</v>
      </c>
      <c r="P246" t="s">
        <v>650</v>
      </c>
      <c r="Q246" t="s">
        <v>17</v>
      </c>
      <c r="R246" t="s">
        <v>1003</v>
      </c>
    </row>
    <row r="247" spans="1:18" ht="15" customHeight="1" x14ac:dyDescent="0.35">
      <c r="A247" t="s">
        <v>1004</v>
      </c>
      <c r="B247">
        <v>2025</v>
      </c>
      <c r="C247" t="s">
        <v>1005</v>
      </c>
      <c r="D247" t="s">
        <v>1006</v>
      </c>
      <c r="E247" t="s">
        <v>15</v>
      </c>
      <c r="F247" t="s">
        <v>16</v>
      </c>
      <c r="G247" t="s">
        <v>15</v>
      </c>
      <c r="H247" t="s">
        <v>34</v>
      </c>
      <c r="I247" t="s">
        <v>15</v>
      </c>
      <c r="J247" t="s">
        <v>1007</v>
      </c>
      <c r="K247" t="s">
        <v>15</v>
      </c>
      <c r="L247" t="s">
        <v>20</v>
      </c>
      <c r="M247" t="s">
        <v>17</v>
      </c>
      <c r="N247" t="s">
        <v>282</v>
      </c>
      <c r="O247" t="s">
        <v>17</v>
      </c>
      <c r="P247" t="s">
        <v>1008</v>
      </c>
      <c r="Q247" t="s">
        <v>17</v>
      </c>
      <c r="R247" t="s">
        <v>30</v>
      </c>
    </row>
    <row r="248" spans="1:18" ht="15" customHeight="1" x14ac:dyDescent="0.35">
      <c r="A248" t="s">
        <v>1009</v>
      </c>
      <c r="B248">
        <v>2025</v>
      </c>
      <c r="C248" t="s">
        <v>1010</v>
      </c>
      <c r="D248" t="s">
        <v>1011</v>
      </c>
      <c r="E248" t="s">
        <v>15</v>
      </c>
      <c r="F248" t="s">
        <v>16</v>
      </c>
      <c r="G248" t="s">
        <v>15</v>
      </c>
      <c r="H248" t="s">
        <v>396</v>
      </c>
      <c r="I248" t="s">
        <v>15</v>
      </c>
      <c r="J248" t="s">
        <v>483</v>
      </c>
      <c r="K248" t="s">
        <v>15</v>
      </c>
      <c r="L248" t="s">
        <v>20</v>
      </c>
      <c r="M248" t="s">
        <v>15</v>
      </c>
      <c r="N248" t="s">
        <v>21</v>
      </c>
      <c r="O248" t="s">
        <v>17</v>
      </c>
      <c r="P248" t="s">
        <v>650</v>
      </c>
      <c r="Q248" t="s">
        <v>17</v>
      </c>
      <c r="R248" t="s">
        <v>30</v>
      </c>
    </row>
    <row r="249" spans="1:18" ht="15" customHeight="1" x14ac:dyDescent="0.35">
      <c r="A249" t="s">
        <v>1012</v>
      </c>
      <c r="B249">
        <v>2025</v>
      </c>
      <c r="C249" t="s">
        <v>1013</v>
      </c>
      <c r="D249" t="s">
        <v>1014</v>
      </c>
      <c r="E249" t="s">
        <v>15</v>
      </c>
      <c r="F249" t="s">
        <v>16</v>
      </c>
      <c r="G249" t="s">
        <v>17</v>
      </c>
      <c r="H249" t="s">
        <v>884</v>
      </c>
      <c r="I249" t="s">
        <v>15</v>
      </c>
      <c r="J249" t="s">
        <v>1015</v>
      </c>
      <c r="K249" t="s">
        <v>15</v>
      </c>
      <c r="L249" t="s">
        <v>20</v>
      </c>
      <c r="M249" t="s">
        <v>17</v>
      </c>
      <c r="N249" t="s">
        <v>282</v>
      </c>
      <c r="O249" t="s">
        <v>17</v>
      </c>
      <c r="P249" t="s">
        <v>658</v>
      </c>
      <c r="Q249" t="s">
        <v>17</v>
      </c>
      <c r="R249" t="s">
        <v>30</v>
      </c>
    </row>
    <row r="250" spans="1:18" ht="15" customHeight="1" x14ac:dyDescent="0.35">
      <c r="A250" t="s">
        <v>1016</v>
      </c>
      <c r="B250">
        <v>2025</v>
      </c>
      <c r="C250" t="s">
        <v>1017</v>
      </c>
      <c r="D250" t="s">
        <v>1018</v>
      </c>
      <c r="E250" t="s">
        <v>15</v>
      </c>
      <c r="F250" t="s">
        <v>16</v>
      </c>
      <c r="G250" t="s">
        <v>15</v>
      </c>
      <c r="H250" t="s">
        <v>35</v>
      </c>
      <c r="I250" t="s">
        <v>15</v>
      </c>
      <c r="J250" t="s">
        <v>1019</v>
      </c>
      <c r="K250" t="s">
        <v>15</v>
      </c>
      <c r="L250" t="s">
        <v>20</v>
      </c>
      <c r="M250" t="s">
        <v>17</v>
      </c>
      <c r="N250" t="s">
        <v>1020</v>
      </c>
      <c r="O250" t="s">
        <v>17</v>
      </c>
      <c r="P250" t="s">
        <v>650</v>
      </c>
      <c r="Q250" t="s">
        <v>17</v>
      </c>
      <c r="R250" t="s">
        <v>30</v>
      </c>
    </row>
    <row r="251" spans="1:18" ht="15" customHeight="1" x14ac:dyDescent="0.35">
      <c r="A251" t="s">
        <v>1021</v>
      </c>
      <c r="B251">
        <v>2025</v>
      </c>
      <c r="C251" t="s">
        <v>1022</v>
      </c>
      <c r="D251" t="s">
        <v>1023</v>
      </c>
      <c r="E251" t="s">
        <v>15</v>
      </c>
      <c r="F251" t="s">
        <v>16</v>
      </c>
      <c r="G251" t="s">
        <v>15</v>
      </c>
      <c r="H251" t="s">
        <v>34</v>
      </c>
      <c r="I251" t="s">
        <v>15</v>
      </c>
      <c r="J251" t="s">
        <v>703</v>
      </c>
      <c r="K251" t="s">
        <v>15</v>
      </c>
      <c r="L251" t="s">
        <v>20</v>
      </c>
      <c r="M251" t="s">
        <v>15</v>
      </c>
      <c r="N251" t="s">
        <v>21</v>
      </c>
      <c r="O251" t="s">
        <v>15</v>
      </c>
      <c r="P251" t="s">
        <v>283</v>
      </c>
      <c r="Q251" t="s">
        <v>17</v>
      </c>
      <c r="R251" t="s">
        <v>30</v>
      </c>
    </row>
    <row r="252" spans="1:18" ht="15" customHeight="1" x14ac:dyDescent="0.35">
      <c r="A252" t="s">
        <v>1024</v>
      </c>
      <c r="B252">
        <v>2025</v>
      </c>
      <c r="C252" t="s">
        <v>1025</v>
      </c>
      <c r="D252" s="1" t="s">
        <v>1026</v>
      </c>
      <c r="E252" t="s">
        <v>15</v>
      </c>
      <c r="F252" t="s">
        <v>16</v>
      </c>
      <c r="G252" t="s">
        <v>17</v>
      </c>
      <c r="H252" t="s">
        <v>821</v>
      </c>
      <c r="I252" t="s">
        <v>15</v>
      </c>
      <c r="J252" t="s">
        <v>838</v>
      </c>
      <c r="K252" t="s">
        <v>15</v>
      </c>
      <c r="L252" t="s">
        <v>20</v>
      </c>
      <c r="M252" t="s">
        <v>17</v>
      </c>
      <c r="N252" t="s">
        <v>282</v>
      </c>
      <c r="O252" t="s">
        <v>17</v>
      </c>
      <c r="P252" t="s">
        <v>650</v>
      </c>
      <c r="Q252" t="s">
        <v>17</v>
      </c>
      <c r="R252" t="s">
        <v>30</v>
      </c>
    </row>
    <row r="253" spans="1:18" ht="15" customHeight="1" x14ac:dyDescent="0.35">
      <c r="A253" t="s">
        <v>1027</v>
      </c>
      <c r="B253">
        <v>2025</v>
      </c>
      <c r="C253" t="s">
        <v>1028</v>
      </c>
      <c r="D253" t="s">
        <v>1029</v>
      </c>
      <c r="E253" t="s">
        <v>15</v>
      </c>
      <c r="F253" t="s">
        <v>16</v>
      </c>
      <c r="G253" t="s">
        <v>17</v>
      </c>
      <c r="H253" t="s">
        <v>482</v>
      </c>
      <c r="I253" t="s">
        <v>15</v>
      </c>
      <c r="J253" t="s">
        <v>483</v>
      </c>
      <c r="K253" t="s">
        <v>15</v>
      </c>
      <c r="L253" t="s">
        <v>20</v>
      </c>
      <c r="M253" t="s">
        <v>15</v>
      </c>
      <c r="N253" t="s">
        <v>21</v>
      </c>
      <c r="O253" t="s">
        <v>17</v>
      </c>
      <c r="P253" t="s">
        <v>650</v>
      </c>
      <c r="Q253" t="s">
        <v>15</v>
      </c>
      <c r="R253" t="s">
        <v>1030</v>
      </c>
    </row>
    <row r="254" spans="1:18" ht="15" customHeight="1" x14ac:dyDescent="0.35">
      <c r="A254" t="s">
        <v>1031</v>
      </c>
      <c r="B254">
        <v>2025</v>
      </c>
      <c r="C254" t="s">
        <v>1032</v>
      </c>
      <c r="D254" t="s">
        <v>1033</v>
      </c>
      <c r="E254" t="s">
        <v>15</v>
      </c>
      <c r="F254" t="s">
        <v>16</v>
      </c>
      <c r="G254" t="s">
        <v>15</v>
      </c>
      <c r="H254" t="s">
        <v>39</v>
      </c>
      <c r="I254" t="s">
        <v>15</v>
      </c>
      <c r="J254" t="s">
        <v>729</v>
      </c>
      <c r="K254" t="s">
        <v>15</v>
      </c>
      <c r="L254" t="s">
        <v>20</v>
      </c>
      <c r="M254" t="s">
        <v>15</v>
      </c>
      <c r="N254" t="s">
        <v>28</v>
      </c>
      <c r="O254" t="s">
        <v>15</v>
      </c>
      <c r="P254" t="s">
        <v>22</v>
      </c>
      <c r="Q254" t="s">
        <v>17</v>
      </c>
      <c r="R254" t="s">
        <v>30</v>
      </c>
    </row>
    <row r="255" spans="1:18" ht="15" customHeight="1" x14ac:dyDescent="0.35">
      <c r="A255" t="s">
        <v>1034</v>
      </c>
      <c r="B255">
        <v>2025</v>
      </c>
      <c r="C255" t="s">
        <v>1035</v>
      </c>
      <c r="D255" t="s">
        <v>1036</v>
      </c>
      <c r="E255" t="s">
        <v>15</v>
      </c>
      <c r="F255" t="s">
        <v>16</v>
      </c>
      <c r="G255" t="s">
        <v>17</v>
      </c>
      <c r="H255" t="s">
        <v>188</v>
      </c>
      <c r="I255" t="s">
        <v>15</v>
      </c>
      <c r="J255" t="s">
        <v>27</v>
      </c>
      <c r="K255" t="s">
        <v>15</v>
      </c>
      <c r="L255" t="s">
        <v>20</v>
      </c>
      <c r="M255" t="s">
        <v>17</v>
      </c>
      <c r="N255" t="s">
        <v>184</v>
      </c>
      <c r="O255" t="s">
        <v>17</v>
      </c>
      <c r="P255" t="s">
        <v>650</v>
      </c>
      <c r="Q255" t="s">
        <v>17</v>
      </c>
      <c r="R255" t="s">
        <v>30</v>
      </c>
    </row>
    <row r="256" spans="1:18" ht="15" customHeight="1" x14ac:dyDescent="0.35">
      <c r="A256" t="s">
        <v>1037</v>
      </c>
      <c r="B256">
        <v>2025</v>
      </c>
      <c r="C256" t="s">
        <v>1038</v>
      </c>
      <c r="D256" t="s">
        <v>1039</v>
      </c>
      <c r="E256" t="s">
        <v>15</v>
      </c>
      <c r="F256" t="s">
        <v>16</v>
      </c>
      <c r="G256" t="s">
        <v>15</v>
      </c>
      <c r="H256" t="s">
        <v>39</v>
      </c>
      <c r="I256" t="s">
        <v>15</v>
      </c>
      <c r="J256" t="s">
        <v>676</v>
      </c>
      <c r="K256" t="s">
        <v>15</v>
      </c>
      <c r="L256" t="s">
        <v>20</v>
      </c>
      <c r="M256" t="s">
        <v>15</v>
      </c>
      <c r="N256" t="s">
        <v>53</v>
      </c>
      <c r="O256" t="s">
        <v>17</v>
      </c>
      <c r="P256" t="s">
        <v>650</v>
      </c>
      <c r="Q256" t="s">
        <v>17</v>
      </c>
      <c r="R256" t="s">
        <v>30</v>
      </c>
    </row>
    <row r="257" spans="1:18" ht="15" customHeight="1" x14ac:dyDescent="0.35">
      <c r="A257" t="s">
        <v>1040</v>
      </c>
      <c r="B257">
        <v>2025</v>
      </c>
      <c r="C257" t="s">
        <v>1041</v>
      </c>
      <c r="D257" t="s">
        <v>1042</v>
      </c>
      <c r="E257" t="s">
        <v>15</v>
      </c>
      <c r="F257" t="s">
        <v>16</v>
      </c>
      <c r="G257" t="s">
        <v>15</v>
      </c>
      <c r="H257" t="s">
        <v>39</v>
      </c>
      <c r="I257" t="s">
        <v>15</v>
      </c>
      <c r="J257" t="s">
        <v>49</v>
      </c>
      <c r="K257" t="s">
        <v>15</v>
      </c>
      <c r="L257" t="s">
        <v>20</v>
      </c>
      <c r="M257" t="s">
        <v>15</v>
      </c>
      <c r="N257" t="s">
        <v>21</v>
      </c>
      <c r="O257" t="s">
        <v>15</v>
      </c>
      <c r="P257" t="s">
        <v>22</v>
      </c>
      <c r="Q257" t="s">
        <v>17</v>
      </c>
      <c r="R257" t="s">
        <v>30</v>
      </c>
    </row>
    <row r="258" spans="1:18" ht="15" customHeight="1" x14ac:dyDescent="0.35">
      <c r="A258" t="s">
        <v>1043</v>
      </c>
      <c r="B258">
        <v>2025</v>
      </c>
      <c r="C258" t="s">
        <v>1044</v>
      </c>
      <c r="D258" s="1" t="s">
        <v>1045</v>
      </c>
      <c r="E258" t="s">
        <v>15</v>
      </c>
      <c r="F258" t="s">
        <v>16</v>
      </c>
      <c r="G258" t="s">
        <v>15</v>
      </c>
      <c r="H258" t="s">
        <v>65</v>
      </c>
      <c r="I258" t="s">
        <v>15</v>
      </c>
      <c r="J258" t="s">
        <v>838</v>
      </c>
      <c r="K258" t="s">
        <v>15</v>
      </c>
      <c r="L258" t="s">
        <v>20</v>
      </c>
      <c r="M258" t="s">
        <v>15</v>
      </c>
      <c r="N258" t="s">
        <v>21</v>
      </c>
      <c r="O258" t="s">
        <v>15</v>
      </c>
      <c r="P258" t="s">
        <v>44</v>
      </c>
      <c r="Q258" t="s">
        <v>17</v>
      </c>
      <c r="R258" t="s">
        <v>1046</v>
      </c>
    </row>
    <row r="259" spans="1:18" ht="15" customHeight="1" x14ac:dyDescent="0.35">
      <c r="A259" t="s">
        <v>1047</v>
      </c>
      <c r="B259">
        <v>2025</v>
      </c>
      <c r="C259" t="s">
        <v>1048</v>
      </c>
      <c r="D259" t="s">
        <v>1049</v>
      </c>
      <c r="E259" t="s">
        <v>15</v>
      </c>
      <c r="F259" t="s">
        <v>16</v>
      </c>
      <c r="G259" t="s">
        <v>15</v>
      </c>
      <c r="H259" t="s">
        <v>39</v>
      </c>
      <c r="I259" t="s">
        <v>15</v>
      </c>
      <c r="J259" t="s">
        <v>729</v>
      </c>
      <c r="K259" t="s">
        <v>15</v>
      </c>
      <c r="L259" t="s">
        <v>20</v>
      </c>
      <c r="M259" t="s">
        <v>15</v>
      </c>
      <c r="N259" t="s">
        <v>21</v>
      </c>
      <c r="O259" t="s">
        <v>15</v>
      </c>
      <c r="P259" t="s">
        <v>22</v>
      </c>
      <c r="Q259" t="s">
        <v>17</v>
      </c>
      <c r="R259" t="s">
        <v>30</v>
      </c>
    </row>
    <row r="260" spans="1:18" ht="15" customHeight="1" x14ac:dyDescent="0.35">
      <c r="A260" t="s">
        <v>1050</v>
      </c>
      <c r="B260">
        <v>2025</v>
      </c>
      <c r="C260" t="s">
        <v>1051</v>
      </c>
      <c r="D260" t="s">
        <v>1052</v>
      </c>
      <c r="E260" t="s">
        <v>15</v>
      </c>
      <c r="F260" t="s">
        <v>16</v>
      </c>
      <c r="G260" t="s">
        <v>15</v>
      </c>
      <c r="H260" t="s">
        <v>396</v>
      </c>
      <c r="I260" t="s">
        <v>15</v>
      </c>
      <c r="J260" t="s">
        <v>722</v>
      </c>
      <c r="K260" t="s">
        <v>15</v>
      </c>
      <c r="L260" t="s">
        <v>20</v>
      </c>
      <c r="M260" t="s">
        <v>17</v>
      </c>
      <c r="N260" t="s">
        <v>578</v>
      </c>
      <c r="O260" t="s">
        <v>15</v>
      </c>
      <c r="P260" t="s">
        <v>44</v>
      </c>
      <c r="Q260" t="s">
        <v>17</v>
      </c>
      <c r="R260" t="s">
        <v>1053</v>
      </c>
    </row>
    <row r="261" spans="1:18" ht="15" customHeight="1" x14ac:dyDescent="0.35">
      <c r="A261" t="s">
        <v>1054</v>
      </c>
      <c r="B261">
        <v>2025</v>
      </c>
      <c r="C261" t="s">
        <v>1055</v>
      </c>
      <c r="D261" t="s">
        <v>1056</v>
      </c>
      <c r="E261" t="s">
        <v>15</v>
      </c>
      <c r="F261" t="s">
        <v>16</v>
      </c>
      <c r="G261" t="s">
        <v>15</v>
      </c>
      <c r="H261" t="s">
        <v>34</v>
      </c>
      <c r="I261" t="s">
        <v>15</v>
      </c>
      <c r="J261" t="s">
        <v>838</v>
      </c>
      <c r="K261" t="s">
        <v>15</v>
      </c>
      <c r="L261" t="s">
        <v>20</v>
      </c>
      <c r="M261" t="s">
        <v>15</v>
      </c>
      <c r="N261" t="s">
        <v>21</v>
      </c>
      <c r="O261" t="s">
        <v>17</v>
      </c>
      <c r="P261" t="s">
        <v>650</v>
      </c>
      <c r="Q261" t="s">
        <v>17</v>
      </c>
      <c r="R261" t="s">
        <v>1057</v>
      </c>
    </row>
    <row r="262" spans="1:18" ht="15" customHeight="1" x14ac:dyDescent="0.35">
      <c r="A262" t="s">
        <v>1058</v>
      </c>
      <c r="B262">
        <v>2025</v>
      </c>
      <c r="C262" t="s">
        <v>1059</v>
      </c>
      <c r="D262" s="1" t="s">
        <v>1060</v>
      </c>
      <c r="E262" t="s">
        <v>15</v>
      </c>
      <c r="F262" t="s">
        <v>16</v>
      </c>
      <c r="G262" t="s">
        <v>15</v>
      </c>
      <c r="H262" t="s">
        <v>34</v>
      </c>
      <c r="I262" t="s">
        <v>15</v>
      </c>
      <c r="J262" t="s">
        <v>703</v>
      </c>
      <c r="K262" t="s">
        <v>15</v>
      </c>
      <c r="L262" t="s">
        <v>20</v>
      </c>
      <c r="M262" t="s">
        <v>15</v>
      </c>
      <c r="N262" t="s">
        <v>21</v>
      </c>
      <c r="O262" t="s">
        <v>15</v>
      </c>
      <c r="P262" t="s">
        <v>44</v>
      </c>
      <c r="Q262" t="s">
        <v>15</v>
      </c>
      <c r="R262" t="s">
        <v>1061</v>
      </c>
    </row>
    <row r="263" spans="1:18" ht="15" customHeight="1" x14ac:dyDescent="0.35">
      <c r="A263" t="s">
        <v>1062</v>
      </c>
      <c r="B263">
        <v>2025</v>
      </c>
      <c r="C263" t="s">
        <v>1063</v>
      </c>
      <c r="D263" s="1" t="s">
        <v>1064</v>
      </c>
      <c r="E263" t="s">
        <v>15</v>
      </c>
      <c r="F263" t="s">
        <v>16</v>
      </c>
      <c r="G263" t="s">
        <v>15</v>
      </c>
      <c r="H263" t="s">
        <v>34</v>
      </c>
      <c r="I263" t="s">
        <v>15</v>
      </c>
      <c r="J263" t="s">
        <v>483</v>
      </c>
      <c r="K263" t="s">
        <v>15</v>
      </c>
      <c r="L263" t="s">
        <v>20</v>
      </c>
      <c r="M263" t="s">
        <v>15</v>
      </c>
      <c r="N263" t="s">
        <v>21</v>
      </c>
      <c r="O263" t="s">
        <v>17</v>
      </c>
      <c r="P263" t="s">
        <v>650</v>
      </c>
      <c r="Q263" t="s">
        <v>17</v>
      </c>
      <c r="R263" t="s">
        <v>30</v>
      </c>
    </row>
    <row r="264" spans="1:18" ht="15" customHeight="1" x14ac:dyDescent="0.35">
      <c r="A264" t="s">
        <v>1065</v>
      </c>
      <c r="B264">
        <v>2025</v>
      </c>
      <c r="C264" t="s">
        <v>1066</v>
      </c>
      <c r="D264" t="s">
        <v>1067</v>
      </c>
      <c r="E264" t="s">
        <v>15</v>
      </c>
      <c r="F264" t="s">
        <v>16</v>
      </c>
      <c r="G264" t="s">
        <v>15</v>
      </c>
      <c r="H264" t="s">
        <v>65</v>
      </c>
      <c r="I264" t="s">
        <v>15</v>
      </c>
      <c r="J264" t="s">
        <v>1068</v>
      </c>
      <c r="K264" t="s">
        <v>15</v>
      </c>
      <c r="L264" t="s">
        <v>20</v>
      </c>
      <c r="M264" t="s">
        <v>15</v>
      </c>
      <c r="N264" t="s">
        <v>21</v>
      </c>
      <c r="O264" t="s">
        <v>15</v>
      </c>
      <c r="P264" t="s">
        <v>22</v>
      </c>
      <c r="Q264" t="s">
        <v>15</v>
      </c>
      <c r="R264" t="s">
        <v>1069</v>
      </c>
    </row>
    <row r="265" spans="1:18" ht="15" customHeight="1" x14ac:dyDescent="0.35">
      <c r="A265" t="s">
        <v>1070</v>
      </c>
      <c r="B265">
        <v>2025</v>
      </c>
      <c r="C265" t="s">
        <v>1071</v>
      </c>
      <c r="D265" t="s">
        <v>1072</v>
      </c>
      <c r="E265" t="s">
        <v>15</v>
      </c>
      <c r="F265" t="s">
        <v>16</v>
      </c>
      <c r="G265" t="s">
        <v>15</v>
      </c>
      <c r="H265" t="s">
        <v>65</v>
      </c>
      <c r="I265" t="s">
        <v>15</v>
      </c>
      <c r="J265" t="s">
        <v>1073</v>
      </c>
      <c r="K265" t="s">
        <v>15</v>
      </c>
      <c r="L265" t="s">
        <v>20</v>
      </c>
      <c r="M265" t="s">
        <v>15</v>
      </c>
      <c r="N265" t="s">
        <v>21</v>
      </c>
      <c r="O265" t="s">
        <v>15</v>
      </c>
      <c r="P265" t="s">
        <v>22</v>
      </c>
      <c r="Q265" t="s">
        <v>17</v>
      </c>
      <c r="R265" t="s">
        <v>30</v>
      </c>
    </row>
    <row r="266" spans="1:18" ht="15" customHeight="1" x14ac:dyDescent="0.35">
      <c r="A266" t="s">
        <v>1074</v>
      </c>
      <c r="B266">
        <v>2025</v>
      </c>
      <c r="C266" t="s">
        <v>1075</v>
      </c>
      <c r="D266" s="1" t="s">
        <v>1076</v>
      </c>
      <c r="E266" t="s">
        <v>15</v>
      </c>
      <c r="F266" t="s">
        <v>16</v>
      </c>
      <c r="G266" t="s">
        <v>17</v>
      </c>
      <c r="H266" t="s">
        <v>1077</v>
      </c>
      <c r="I266" t="s">
        <v>15</v>
      </c>
      <c r="J266" t="s">
        <v>1078</v>
      </c>
      <c r="K266" t="s">
        <v>15</v>
      </c>
      <c r="L266" t="s">
        <v>20</v>
      </c>
      <c r="M266" t="s">
        <v>17</v>
      </c>
      <c r="N266" t="s">
        <v>525</v>
      </c>
      <c r="O266" t="s">
        <v>15</v>
      </c>
      <c r="P266" t="s">
        <v>699</v>
      </c>
      <c r="Q266" t="s">
        <v>17</v>
      </c>
      <c r="R266" t="s">
        <v>30</v>
      </c>
    </row>
    <row r="267" spans="1:18" ht="15" customHeight="1" x14ac:dyDescent="0.35">
      <c r="A267" t="s">
        <v>1079</v>
      </c>
      <c r="B267">
        <v>2025</v>
      </c>
      <c r="C267" t="s">
        <v>1080</v>
      </c>
      <c r="D267" t="s">
        <v>1081</v>
      </c>
      <c r="E267" t="s">
        <v>15</v>
      </c>
      <c r="F267" t="s">
        <v>16</v>
      </c>
      <c r="G267" t="s">
        <v>15</v>
      </c>
      <c r="H267" t="s">
        <v>39</v>
      </c>
      <c r="I267" t="s">
        <v>15</v>
      </c>
      <c r="J267" t="s">
        <v>722</v>
      </c>
      <c r="K267" t="s">
        <v>15</v>
      </c>
      <c r="L267" t="s">
        <v>20</v>
      </c>
      <c r="M267" t="s">
        <v>15</v>
      </c>
      <c r="N267" t="s">
        <v>21</v>
      </c>
      <c r="O267" t="s">
        <v>17</v>
      </c>
      <c r="P267" t="s">
        <v>650</v>
      </c>
      <c r="Q267" t="s">
        <v>17</v>
      </c>
      <c r="R267" t="s">
        <v>30</v>
      </c>
    </row>
    <row r="268" spans="1:18" ht="15" customHeight="1" x14ac:dyDescent="0.35">
      <c r="A268" t="s">
        <v>1082</v>
      </c>
      <c r="B268">
        <v>2025</v>
      </c>
      <c r="C268" t="s">
        <v>1083</v>
      </c>
      <c r="D268" s="1" t="s">
        <v>1084</v>
      </c>
      <c r="E268" t="s">
        <v>15</v>
      </c>
      <c r="F268" t="s">
        <v>16</v>
      </c>
      <c r="G268" t="s">
        <v>17</v>
      </c>
      <c r="H268" t="s">
        <v>482</v>
      </c>
      <c r="I268" t="s">
        <v>15</v>
      </c>
      <c r="J268" t="s">
        <v>1085</v>
      </c>
      <c r="K268" t="s">
        <v>15</v>
      </c>
      <c r="L268" t="s">
        <v>20</v>
      </c>
      <c r="M268" t="s">
        <v>15</v>
      </c>
      <c r="N268" t="s">
        <v>21</v>
      </c>
      <c r="O268" t="s">
        <v>15</v>
      </c>
      <c r="P268" t="s">
        <v>22</v>
      </c>
      <c r="Q268" t="s">
        <v>17</v>
      </c>
      <c r="R268" t="s">
        <v>30</v>
      </c>
    </row>
    <row r="269" spans="1:18" s="7" customFormat="1" ht="15" customHeight="1" x14ac:dyDescent="0.35">
      <c r="A269" s="7" t="s">
        <v>1086</v>
      </c>
      <c r="B269" s="7">
        <v>2025</v>
      </c>
      <c r="C269" s="7" t="s">
        <v>1083</v>
      </c>
      <c r="D269" s="7" t="s">
        <v>624</v>
      </c>
    </row>
    <row r="270" spans="1:18" ht="15" customHeight="1" x14ac:dyDescent="0.35">
      <c r="A270" t="s">
        <v>1087</v>
      </c>
      <c r="B270">
        <v>2025</v>
      </c>
      <c r="C270" t="s">
        <v>1088</v>
      </c>
      <c r="D270" t="s">
        <v>1089</v>
      </c>
      <c r="E270" t="s">
        <v>15</v>
      </c>
      <c r="F270" t="s">
        <v>16</v>
      </c>
      <c r="G270" t="s">
        <v>15</v>
      </c>
      <c r="H270" t="s">
        <v>39</v>
      </c>
      <c r="I270" t="s">
        <v>15</v>
      </c>
      <c r="J270" t="s">
        <v>838</v>
      </c>
      <c r="K270" t="s">
        <v>15</v>
      </c>
      <c r="L270" t="s">
        <v>20</v>
      </c>
      <c r="M270" t="s">
        <v>15</v>
      </c>
      <c r="N270" t="s">
        <v>21</v>
      </c>
      <c r="O270" t="s">
        <v>15</v>
      </c>
      <c r="P270" t="s">
        <v>22</v>
      </c>
      <c r="Q270" t="s">
        <v>17</v>
      </c>
      <c r="R270" t="s">
        <v>1053</v>
      </c>
    </row>
    <row r="271" spans="1:18" ht="15" customHeight="1" x14ac:dyDescent="0.35">
      <c r="A271" t="s">
        <v>1090</v>
      </c>
      <c r="B271">
        <v>2025</v>
      </c>
      <c r="C271" t="s">
        <v>1091</v>
      </c>
      <c r="D271" t="s">
        <v>1092</v>
      </c>
      <c r="E271" t="s">
        <v>15</v>
      </c>
      <c r="F271" t="s">
        <v>16</v>
      </c>
      <c r="G271" t="s">
        <v>17</v>
      </c>
      <c r="H271" t="s">
        <v>188</v>
      </c>
      <c r="I271" t="s">
        <v>15</v>
      </c>
      <c r="J271" t="s">
        <v>49</v>
      </c>
      <c r="K271" t="s">
        <v>15</v>
      </c>
      <c r="L271" t="s">
        <v>20</v>
      </c>
      <c r="M271" t="s">
        <v>15</v>
      </c>
      <c r="N271" t="s">
        <v>21</v>
      </c>
      <c r="O271" t="s">
        <v>17</v>
      </c>
      <c r="P271" t="s">
        <v>650</v>
      </c>
      <c r="Q271" t="s">
        <v>17</v>
      </c>
      <c r="R271" t="s">
        <v>30</v>
      </c>
    </row>
    <row r="272" spans="1:18" ht="15" customHeight="1" x14ac:dyDescent="0.35">
      <c r="A272" t="s">
        <v>1093</v>
      </c>
      <c r="B272">
        <v>2025</v>
      </c>
      <c r="C272" t="s">
        <v>1094</v>
      </c>
      <c r="D272" t="s">
        <v>1095</v>
      </c>
      <c r="E272" t="s">
        <v>15</v>
      </c>
      <c r="F272" t="s">
        <v>16</v>
      </c>
      <c r="G272" t="s">
        <v>15</v>
      </c>
      <c r="H272" t="s">
        <v>39</v>
      </c>
      <c r="I272" t="s">
        <v>15</v>
      </c>
      <c r="J272" t="s">
        <v>722</v>
      </c>
      <c r="K272" t="s">
        <v>15</v>
      </c>
      <c r="L272" t="s">
        <v>20</v>
      </c>
      <c r="M272" t="s">
        <v>17</v>
      </c>
      <c r="N272" t="s">
        <v>282</v>
      </c>
      <c r="O272" t="s">
        <v>17</v>
      </c>
      <c r="P272" t="s">
        <v>658</v>
      </c>
      <c r="Q272" t="s">
        <v>17</v>
      </c>
      <c r="R272" t="s">
        <v>30</v>
      </c>
    </row>
    <row r="273" spans="1:18" ht="15" customHeight="1" x14ac:dyDescent="0.35">
      <c r="A273" t="s">
        <v>1096</v>
      </c>
      <c r="B273">
        <v>2025</v>
      </c>
      <c r="C273" t="s">
        <v>1097</v>
      </c>
      <c r="D273" t="s">
        <v>1098</v>
      </c>
      <c r="E273" t="s">
        <v>15</v>
      </c>
      <c r="F273" t="s">
        <v>16</v>
      </c>
      <c r="G273" t="s">
        <v>15</v>
      </c>
      <c r="H273" t="s">
        <v>39</v>
      </c>
      <c r="I273" t="s">
        <v>15</v>
      </c>
      <c r="J273" t="s">
        <v>49</v>
      </c>
      <c r="K273" t="s">
        <v>15</v>
      </c>
      <c r="L273" t="s">
        <v>20</v>
      </c>
      <c r="M273" t="s">
        <v>15</v>
      </c>
      <c r="N273" t="s">
        <v>21</v>
      </c>
      <c r="O273" t="s">
        <v>15</v>
      </c>
      <c r="P273" t="s">
        <v>22</v>
      </c>
      <c r="Q273" t="s">
        <v>17</v>
      </c>
      <c r="R273" t="s">
        <v>30</v>
      </c>
    </row>
    <row r="274" spans="1:18" ht="15" customHeight="1" x14ac:dyDescent="0.35">
      <c r="A274" t="s">
        <v>1099</v>
      </c>
      <c r="B274">
        <v>2025</v>
      </c>
      <c r="C274" t="s">
        <v>1100</v>
      </c>
      <c r="D274" s="1" t="s">
        <v>1101</v>
      </c>
      <c r="E274" t="s">
        <v>15</v>
      </c>
      <c r="F274" t="s">
        <v>16</v>
      </c>
      <c r="G274" t="s">
        <v>17</v>
      </c>
      <c r="H274" t="s">
        <v>821</v>
      </c>
      <c r="I274" t="s">
        <v>15</v>
      </c>
      <c r="J274" t="s">
        <v>27</v>
      </c>
      <c r="K274" t="s">
        <v>15</v>
      </c>
      <c r="L274" t="s">
        <v>20</v>
      </c>
      <c r="M274" t="s">
        <v>15</v>
      </c>
      <c r="N274" t="s">
        <v>21</v>
      </c>
      <c r="O274" t="s">
        <v>17</v>
      </c>
      <c r="P274" t="s">
        <v>650</v>
      </c>
      <c r="Q274" t="s">
        <v>15</v>
      </c>
      <c r="R274" t="s">
        <v>1102</v>
      </c>
    </row>
    <row r="275" spans="1:18" ht="15" customHeight="1" x14ac:dyDescent="0.35">
      <c r="A275" t="s">
        <v>1103</v>
      </c>
      <c r="B275">
        <v>2025</v>
      </c>
      <c r="C275" t="s">
        <v>1104</v>
      </c>
      <c r="D275" t="s">
        <v>1105</v>
      </c>
      <c r="E275" t="s">
        <v>15</v>
      </c>
      <c r="F275" t="s">
        <v>16</v>
      </c>
      <c r="G275" t="s">
        <v>17</v>
      </c>
      <c r="H275" t="s">
        <v>188</v>
      </c>
      <c r="I275" t="s">
        <v>15</v>
      </c>
      <c r="J275" t="s">
        <v>838</v>
      </c>
      <c r="K275" t="s">
        <v>15</v>
      </c>
      <c r="L275" t="s">
        <v>20</v>
      </c>
      <c r="M275" t="s">
        <v>17</v>
      </c>
      <c r="N275" t="s">
        <v>184</v>
      </c>
      <c r="O275" t="s">
        <v>15</v>
      </c>
      <c r="P275" t="s">
        <v>44</v>
      </c>
      <c r="Q275" t="s">
        <v>17</v>
      </c>
      <c r="R275" t="s">
        <v>1106</v>
      </c>
    </row>
    <row r="276" spans="1:18" ht="15" customHeight="1" x14ac:dyDescent="0.35">
      <c r="A276" t="s">
        <v>1107</v>
      </c>
      <c r="B276">
        <v>2025</v>
      </c>
      <c r="C276" t="s">
        <v>1108</v>
      </c>
      <c r="D276" t="s">
        <v>1109</v>
      </c>
      <c r="E276" t="s">
        <v>15</v>
      </c>
      <c r="F276" t="s">
        <v>16</v>
      </c>
      <c r="G276" t="s">
        <v>15</v>
      </c>
      <c r="H276" t="s">
        <v>34</v>
      </c>
      <c r="I276" t="s">
        <v>15</v>
      </c>
      <c r="J276" t="s">
        <v>1110</v>
      </c>
      <c r="K276" t="s">
        <v>15</v>
      </c>
      <c r="L276" t="s">
        <v>20</v>
      </c>
      <c r="M276" t="s">
        <v>15</v>
      </c>
      <c r="N276" t="s">
        <v>21</v>
      </c>
      <c r="O276" t="s">
        <v>17</v>
      </c>
      <c r="P276" t="s">
        <v>1111</v>
      </c>
      <c r="Q276" t="s">
        <v>17</v>
      </c>
      <c r="R276" t="s">
        <v>30</v>
      </c>
    </row>
    <row r="277" spans="1:18" ht="15" customHeight="1" x14ac:dyDescent="0.35">
      <c r="A277" t="s">
        <v>1112</v>
      </c>
      <c r="B277">
        <v>2025</v>
      </c>
      <c r="C277" t="s">
        <v>1113</v>
      </c>
      <c r="D277" t="s">
        <v>1114</v>
      </c>
      <c r="E277" t="s">
        <v>15</v>
      </c>
      <c r="F277" t="s">
        <v>16</v>
      </c>
      <c r="G277" t="s">
        <v>17</v>
      </c>
      <c r="H277" t="s">
        <v>1115</v>
      </c>
      <c r="I277" t="s">
        <v>15</v>
      </c>
      <c r="J277" s="1" t="s">
        <v>1116</v>
      </c>
      <c r="K277" t="s">
        <v>15</v>
      </c>
      <c r="L277" t="s">
        <v>20</v>
      </c>
      <c r="M277" t="s">
        <v>17</v>
      </c>
      <c r="N277" t="s">
        <v>282</v>
      </c>
      <c r="O277" t="s">
        <v>17</v>
      </c>
      <c r="P277" t="s">
        <v>650</v>
      </c>
      <c r="Q277" t="s">
        <v>17</v>
      </c>
      <c r="R277" t="s">
        <v>30</v>
      </c>
    </row>
    <row r="278" spans="1:18" ht="15" customHeight="1" x14ac:dyDescent="0.35">
      <c r="A278" t="s">
        <v>1117</v>
      </c>
      <c r="B278">
        <v>2025</v>
      </c>
      <c r="C278" t="s">
        <v>1118</v>
      </c>
      <c r="D278" t="s">
        <v>1119</v>
      </c>
      <c r="E278" t="s">
        <v>15</v>
      </c>
      <c r="F278" t="s">
        <v>16</v>
      </c>
      <c r="G278" t="s">
        <v>17</v>
      </c>
      <c r="H278" t="s">
        <v>317</v>
      </c>
      <c r="I278" t="s">
        <v>15</v>
      </c>
      <c r="J278" t="s">
        <v>483</v>
      </c>
      <c r="K278" t="s">
        <v>15</v>
      </c>
      <c r="L278" t="s">
        <v>20</v>
      </c>
      <c r="M278" t="s">
        <v>15</v>
      </c>
      <c r="N278" t="s">
        <v>28</v>
      </c>
      <c r="O278" t="s">
        <v>15</v>
      </c>
      <c r="P278" t="s">
        <v>136</v>
      </c>
      <c r="Q278" t="s">
        <v>17</v>
      </c>
      <c r="R278" t="s">
        <v>30</v>
      </c>
    </row>
    <row r="279" spans="1:18" s="7" customFormat="1" ht="15" customHeight="1" x14ac:dyDescent="0.35">
      <c r="A279" s="7" t="s">
        <v>1120</v>
      </c>
      <c r="B279" s="7">
        <v>2025</v>
      </c>
      <c r="C279" s="7" t="s">
        <v>1118</v>
      </c>
      <c r="D279" s="7" t="s">
        <v>1121</v>
      </c>
    </row>
    <row r="280" spans="1:18" ht="15" customHeight="1" x14ac:dyDescent="0.35">
      <c r="A280" t="s">
        <v>1122</v>
      </c>
      <c r="B280">
        <v>2025</v>
      </c>
      <c r="C280" t="s">
        <v>1123</v>
      </c>
      <c r="D280" t="s">
        <v>1124</v>
      </c>
      <c r="E280" t="s">
        <v>15</v>
      </c>
      <c r="F280" t="s">
        <v>16</v>
      </c>
      <c r="G280" t="s">
        <v>15</v>
      </c>
      <c r="H280" t="s">
        <v>34</v>
      </c>
      <c r="I280" t="s">
        <v>15</v>
      </c>
      <c r="J280" t="s">
        <v>483</v>
      </c>
      <c r="K280" t="s">
        <v>15</v>
      </c>
      <c r="L280" t="s">
        <v>20</v>
      </c>
      <c r="M280" t="s">
        <v>15</v>
      </c>
      <c r="N280" t="s">
        <v>21</v>
      </c>
      <c r="O280" t="s">
        <v>17</v>
      </c>
      <c r="P280" t="s">
        <v>650</v>
      </c>
      <c r="Q280" t="s">
        <v>15</v>
      </c>
      <c r="R280" t="s">
        <v>1125</v>
      </c>
    </row>
    <row r="281" spans="1:18" ht="15" customHeight="1" x14ac:dyDescent="0.35">
      <c r="A281" t="s">
        <v>1126</v>
      </c>
      <c r="B281">
        <v>2025</v>
      </c>
      <c r="C281" t="s">
        <v>1127</v>
      </c>
      <c r="D281" s="1" t="s">
        <v>1128</v>
      </c>
      <c r="E281" t="s">
        <v>15</v>
      </c>
      <c r="F281" t="s">
        <v>16</v>
      </c>
      <c r="G281" t="s">
        <v>17</v>
      </c>
      <c r="H281" t="s">
        <v>1115</v>
      </c>
      <c r="I281" t="s">
        <v>15</v>
      </c>
      <c r="J281" t="s">
        <v>729</v>
      </c>
      <c r="K281" t="s">
        <v>15</v>
      </c>
      <c r="L281" t="s">
        <v>20</v>
      </c>
      <c r="M281" t="s">
        <v>15</v>
      </c>
      <c r="N281" t="s">
        <v>21</v>
      </c>
      <c r="O281" t="s">
        <v>15</v>
      </c>
      <c r="P281" t="s">
        <v>44</v>
      </c>
      <c r="Q281" t="s">
        <v>17</v>
      </c>
      <c r="R281" t="s">
        <v>30</v>
      </c>
    </row>
    <row r="282" spans="1:18" ht="15" customHeight="1" x14ac:dyDescent="0.35">
      <c r="A282" t="s">
        <v>1129</v>
      </c>
      <c r="B282">
        <v>2025</v>
      </c>
      <c r="C282" t="s">
        <v>1130</v>
      </c>
      <c r="D282" t="s">
        <v>1131</v>
      </c>
      <c r="E282" t="s">
        <v>15</v>
      </c>
      <c r="F282" t="s">
        <v>16</v>
      </c>
      <c r="G282" t="s">
        <v>15</v>
      </c>
      <c r="H282" t="s">
        <v>34</v>
      </c>
      <c r="I282" t="s">
        <v>15</v>
      </c>
      <c r="J282" t="s">
        <v>1132</v>
      </c>
      <c r="K282" t="s">
        <v>15</v>
      </c>
      <c r="L282" t="s">
        <v>20</v>
      </c>
      <c r="M282" t="s">
        <v>15</v>
      </c>
      <c r="N282" t="s">
        <v>21</v>
      </c>
      <c r="O282" t="s">
        <v>15</v>
      </c>
      <c r="P282" t="s">
        <v>44</v>
      </c>
      <c r="Q282" t="s">
        <v>15</v>
      </c>
      <c r="R282" t="s">
        <v>110</v>
      </c>
    </row>
    <row r="283" spans="1:18" ht="15" customHeight="1" x14ac:dyDescent="0.35">
      <c r="A283" t="s">
        <v>1133</v>
      </c>
      <c r="B283">
        <v>2020</v>
      </c>
      <c r="C283" t="s">
        <v>1134</v>
      </c>
      <c r="D283" t="s">
        <v>1135</v>
      </c>
      <c r="E283" t="s">
        <v>15</v>
      </c>
      <c r="F283" t="s">
        <v>16</v>
      </c>
      <c r="G283" t="s">
        <v>15</v>
      </c>
      <c r="H283" t="s">
        <v>34</v>
      </c>
      <c r="I283" t="s">
        <v>15</v>
      </c>
      <c r="J283" t="s">
        <v>1078</v>
      </c>
      <c r="K283" t="s">
        <v>15</v>
      </c>
      <c r="L283" t="s">
        <v>20</v>
      </c>
      <c r="M283" t="s">
        <v>15</v>
      </c>
      <c r="N283" t="s">
        <v>21</v>
      </c>
      <c r="O283" t="s">
        <v>15</v>
      </c>
      <c r="P283" t="s">
        <v>298</v>
      </c>
      <c r="Q283" t="s">
        <v>15</v>
      </c>
      <c r="R283" t="s">
        <v>1136</v>
      </c>
    </row>
    <row r="284" spans="1:18" ht="15" customHeight="1" x14ac:dyDescent="0.35">
      <c r="A284" t="s">
        <v>1137</v>
      </c>
      <c r="B284">
        <v>2020</v>
      </c>
      <c r="C284" t="s">
        <v>1138</v>
      </c>
      <c r="D284" t="s">
        <v>1139</v>
      </c>
      <c r="E284" t="s">
        <v>15</v>
      </c>
      <c r="F284" t="s">
        <v>16</v>
      </c>
      <c r="G284" t="s">
        <v>15</v>
      </c>
      <c r="H284" t="s">
        <v>188</v>
      </c>
      <c r="I284" t="s">
        <v>15</v>
      </c>
      <c r="J284" t="s">
        <v>838</v>
      </c>
      <c r="K284" t="s">
        <v>15</v>
      </c>
      <c r="L284" t="s">
        <v>20</v>
      </c>
      <c r="M284" t="s">
        <v>17</v>
      </c>
      <c r="N284" t="s">
        <v>184</v>
      </c>
      <c r="O284" t="s">
        <v>15</v>
      </c>
      <c r="P284" t="s">
        <v>44</v>
      </c>
      <c r="Q284" t="s">
        <v>17</v>
      </c>
      <c r="R284" t="s">
        <v>30</v>
      </c>
    </row>
    <row r="285" spans="1:18" ht="15" customHeight="1" x14ac:dyDescent="0.35">
      <c r="A285" t="s">
        <v>1140</v>
      </c>
      <c r="B285">
        <v>2020</v>
      </c>
      <c r="C285" t="s">
        <v>1141</v>
      </c>
      <c r="D285" t="s">
        <v>1142</v>
      </c>
      <c r="E285" t="s">
        <v>15</v>
      </c>
      <c r="F285" t="s">
        <v>16</v>
      </c>
      <c r="G285" t="s">
        <v>15</v>
      </c>
      <c r="H285" t="s">
        <v>402</v>
      </c>
      <c r="I285" t="s">
        <v>15</v>
      </c>
      <c r="J285" t="s">
        <v>618</v>
      </c>
      <c r="K285" t="s">
        <v>15</v>
      </c>
      <c r="L285" t="s">
        <v>20</v>
      </c>
      <c r="M285" t="s">
        <v>15</v>
      </c>
      <c r="N285" t="s">
        <v>21</v>
      </c>
      <c r="O285" t="s">
        <v>17</v>
      </c>
      <c r="P285" t="s">
        <v>650</v>
      </c>
      <c r="Q285" t="s">
        <v>17</v>
      </c>
      <c r="R285" t="s">
        <v>30</v>
      </c>
    </row>
    <row r="286" spans="1:18" ht="15" customHeight="1" x14ac:dyDescent="0.35">
      <c r="A286" t="s">
        <v>1143</v>
      </c>
      <c r="B286">
        <v>2020</v>
      </c>
      <c r="C286" t="s">
        <v>1144</v>
      </c>
      <c r="D286" t="s">
        <v>1145</v>
      </c>
      <c r="E286" t="s">
        <v>15</v>
      </c>
      <c r="F286" t="s">
        <v>16</v>
      </c>
      <c r="G286" t="s">
        <v>15</v>
      </c>
      <c r="H286" t="s">
        <v>39</v>
      </c>
      <c r="I286" t="s">
        <v>15</v>
      </c>
      <c r="J286" t="s">
        <v>618</v>
      </c>
      <c r="K286" t="s">
        <v>15</v>
      </c>
      <c r="L286" t="s">
        <v>20</v>
      </c>
      <c r="M286" t="s">
        <v>17</v>
      </c>
      <c r="N286" t="s">
        <v>282</v>
      </c>
      <c r="O286" t="s">
        <v>17</v>
      </c>
      <c r="P286" t="s">
        <v>650</v>
      </c>
      <c r="Q286" t="s">
        <v>17</v>
      </c>
      <c r="R286" t="s">
        <v>30</v>
      </c>
    </row>
    <row r="287" spans="1:18" ht="15" customHeight="1" x14ac:dyDescent="0.35">
      <c r="A287" t="s">
        <v>1146</v>
      </c>
      <c r="B287">
        <v>2020</v>
      </c>
      <c r="C287" t="s">
        <v>1147</v>
      </c>
      <c r="D287" t="s">
        <v>1148</v>
      </c>
      <c r="E287" t="s">
        <v>15</v>
      </c>
      <c r="F287" t="s">
        <v>16</v>
      </c>
      <c r="G287" t="s">
        <v>15</v>
      </c>
      <c r="H287" t="s">
        <v>402</v>
      </c>
      <c r="I287" t="s">
        <v>15</v>
      </c>
      <c r="J287" t="s">
        <v>676</v>
      </c>
      <c r="K287" t="s">
        <v>15</v>
      </c>
      <c r="L287" t="s">
        <v>20</v>
      </c>
      <c r="M287" t="s">
        <v>15</v>
      </c>
      <c r="N287" t="s">
        <v>21</v>
      </c>
      <c r="O287" t="s">
        <v>15</v>
      </c>
      <c r="P287" t="s">
        <v>91</v>
      </c>
      <c r="Q287" t="s">
        <v>17</v>
      </c>
      <c r="R287" t="s">
        <v>30</v>
      </c>
    </row>
    <row r="288" spans="1:18" ht="15" customHeight="1" x14ac:dyDescent="0.35">
      <c r="A288" t="s">
        <v>1149</v>
      </c>
      <c r="B288">
        <v>2020</v>
      </c>
      <c r="C288" t="s">
        <v>1150</v>
      </c>
      <c r="D288" t="s">
        <v>1151</v>
      </c>
      <c r="E288" t="s">
        <v>15</v>
      </c>
      <c r="F288" t="s">
        <v>16</v>
      </c>
      <c r="G288" t="s">
        <v>17</v>
      </c>
      <c r="H288" t="s">
        <v>188</v>
      </c>
      <c r="I288" t="s">
        <v>15</v>
      </c>
      <c r="J288" t="s">
        <v>618</v>
      </c>
      <c r="K288" t="s">
        <v>15</v>
      </c>
      <c r="L288" t="s">
        <v>20</v>
      </c>
      <c r="M288" t="s">
        <v>17</v>
      </c>
      <c r="N288" t="s">
        <v>184</v>
      </c>
      <c r="O288" t="s">
        <v>15</v>
      </c>
      <c r="P288" t="s">
        <v>44</v>
      </c>
      <c r="Q288" t="s">
        <v>17</v>
      </c>
      <c r="R288" t="s">
        <v>30</v>
      </c>
    </row>
    <row r="289" spans="1:18" ht="15" customHeight="1" x14ac:dyDescent="0.35">
      <c r="A289" t="s">
        <v>1152</v>
      </c>
      <c r="B289">
        <v>2020</v>
      </c>
      <c r="C289" t="s">
        <v>1153</v>
      </c>
      <c r="D289" t="s">
        <v>1154</v>
      </c>
      <c r="E289" t="s">
        <v>15</v>
      </c>
      <c r="F289" t="s">
        <v>16</v>
      </c>
      <c r="G289" t="s">
        <v>17</v>
      </c>
      <c r="H289" t="s">
        <v>482</v>
      </c>
      <c r="I289" t="s">
        <v>15</v>
      </c>
      <c r="J289" t="s">
        <v>27</v>
      </c>
      <c r="K289" t="s">
        <v>17</v>
      </c>
      <c r="L289" t="s">
        <v>1155</v>
      </c>
      <c r="M289" t="s">
        <v>17</v>
      </c>
      <c r="N289" t="s">
        <v>1155</v>
      </c>
      <c r="O289" t="s">
        <v>15</v>
      </c>
      <c r="P289" t="s">
        <v>22</v>
      </c>
      <c r="Q289" t="s">
        <v>17</v>
      </c>
      <c r="R289" t="s">
        <v>1155</v>
      </c>
    </row>
    <row r="290" spans="1:18" ht="15" customHeight="1" x14ac:dyDescent="0.35">
      <c r="A290" t="s">
        <v>1156</v>
      </c>
      <c r="B290">
        <v>2020</v>
      </c>
      <c r="C290" t="s">
        <v>1157</v>
      </c>
      <c r="D290" t="s">
        <v>1158</v>
      </c>
      <c r="E290" t="s">
        <v>15</v>
      </c>
      <c r="F290" t="s">
        <v>16</v>
      </c>
      <c r="G290" t="s">
        <v>15</v>
      </c>
      <c r="H290" t="s">
        <v>34</v>
      </c>
      <c r="I290" t="s">
        <v>15</v>
      </c>
      <c r="J290" t="s">
        <v>27</v>
      </c>
      <c r="K290" t="s">
        <v>15</v>
      </c>
      <c r="L290" t="s">
        <v>20</v>
      </c>
      <c r="M290" t="s">
        <v>17</v>
      </c>
      <c r="N290" t="s">
        <v>282</v>
      </c>
      <c r="O290" t="s">
        <v>17</v>
      </c>
      <c r="P290" t="s">
        <v>650</v>
      </c>
      <c r="Q290" t="s">
        <v>17</v>
      </c>
      <c r="R290" t="s">
        <v>30</v>
      </c>
    </row>
    <row r="291" spans="1:18" ht="15" customHeight="1" x14ac:dyDescent="0.35">
      <c r="A291" t="s">
        <v>1159</v>
      </c>
      <c r="B291">
        <v>2020</v>
      </c>
      <c r="C291" t="s">
        <v>1160</v>
      </c>
      <c r="D291" t="s">
        <v>1161</v>
      </c>
      <c r="E291" t="s">
        <v>15</v>
      </c>
      <c r="F291" t="s">
        <v>16</v>
      </c>
      <c r="G291" t="s">
        <v>17</v>
      </c>
      <c r="H291" t="s">
        <v>1162</v>
      </c>
      <c r="I291" t="s">
        <v>15</v>
      </c>
      <c r="J291" t="s">
        <v>1163</v>
      </c>
      <c r="K291" t="s">
        <v>15</v>
      </c>
      <c r="L291" t="s">
        <v>20</v>
      </c>
      <c r="M291" t="s">
        <v>15</v>
      </c>
      <c r="N291" t="s">
        <v>122</v>
      </c>
      <c r="O291" t="s">
        <v>15</v>
      </c>
      <c r="P291" t="s">
        <v>22</v>
      </c>
      <c r="Q291" t="s">
        <v>17</v>
      </c>
      <c r="R291" t="s">
        <v>30</v>
      </c>
    </row>
    <row r="292" spans="1:18" ht="15" customHeight="1" x14ac:dyDescent="0.35">
      <c r="A292" t="s">
        <v>1164</v>
      </c>
      <c r="B292">
        <v>2020</v>
      </c>
      <c r="C292" t="s">
        <v>1165</v>
      </c>
      <c r="D292" t="s">
        <v>624</v>
      </c>
      <c r="E292" t="s">
        <v>15</v>
      </c>
      <c r="F292" t="s">
        <v>16</v>
      </c>
      <c r="G292" t="s">
        <v>15</v>
      </c>
      <c r="H292" t="s">
        <v>34</v>
      </c>
      <c r="I292" t="s">
        <v>15</v>
      </c>
      <c r="J292" t="s">
        <v>902</v>
      </c>
      <c r="K292" t="s">
        <v>15</v>
      </c>
      <c r="L292" t="s">
        <v>20</v>
      </c>
      <c r="M292" t="s">
        <v>15</v>
      </c>
      <c r="N292" t="s">
        <v>21</v>
      </c>
      <c r="O292" t="s">
        <v>17</v>
      </c>
      <c r="P292" t="s">
        <v>650</v>
      </c>
      <c r="Q292" t="s">
        <v>17</v>
      </c>
      <c r="R292" t="s">
        <v>30</v>
      </c>
    </row>
    <row r="293" spans="1:18" ht="15" customHeight="1" x14ac:dyDescent="0.35">
      <c r="A293" t="s">
        <v>1166</v>
      </c>
      <c r="B293">
        <v>2020</v>
      </c>
      <c r="C293" t="s">
        <v>1167</v>
      </c>
      <c r="D293" t="s">
        <v>1168</v>
      </c>
      <c r="E293" t="s">
        <v>15</v>
      </c>
      <c r="F293" t="s">
        <v>16</v>
      </c>
      <c r="G293" t="s">
        <v>15</v>
      </c>
      <c r="H293" t="s">
        <v>35</v>
      </c>
      <c r="I293" t="s">
        <v>15</v>
      </c>
      <c r="J293" t="s">
        <v>27</v>
      </c>
      <c r="K293" t="s">
        <v>15</v>
      </c>
      <c r="L293" t="s">
        <v>20</v>
      </c>
      <c r="M293" t="s">
        <v>15</v>
      </c>
      <c r="N293" t="s">
        <v>21</v>
      </c>
      <c r="O293" t="s">
        <v>17</v>
      </c>
      <c r="P293" t="s">
        <v>1111</v>
      </c>
      <c r="Q293" t="s">
        <v>15</v>
      </c>
      <c r="R293" t="s">
        <v>110</v>
      </c>
    </row>
    <row r="294" spans="1:18" ht="15" customHeight="1" x14ac:dyDescent="0.35">
      <c r="A294" t="s">
        <v>1169</v>
      </c>
      <c r="B294">
        <v>2020</v>
      </c>
      <c r="C294" t="s">
        <v>1170</v>
      </c>
      <c r="D294" t="s">
        <v>1171</v>
      </c>
      <c r="E294" t="s">
        <v>15</v>
      </c>
      <c r="F294" t="s">
        <v>16</v>
      </c>
      <c r="G294" t="s">
        <v>15</v>
      </c>
      <c r="H294" t="s">
        <v>396</v>
      </c>
      <c r="I294" t="s">
        <v>15</v>
      </c>
      <c r="J294" t="s">
        <v>703</v>
      </c>
      <c r="K294" t="s">
        <v>17</v>
      </c>
      <c r="L294" t="s">
        <v>162</v>
      </c>
      <c r="M294" t="s">
        <v>17</v>
      </c>
      <c r="N294" t="s">
        <v>204</v>
      </c>
      <c r="O294" t="s">
        <v>17</v>
      </c>
      <c r="P294" t="s">
        <v>650</v>
      </c>
      <c r="Q294" t="s">
        <v>17</v>
      </c>
      <c r="R294" t="s">
        <v>336</v>
      </c>
    </row>
    <row r="295" spans="1:18" ht="15" customHeight="1" x14ac:dyDescent="0.35">
      <c r="A295" t="s">
        <v>1172</v>
      </c>
      <c r="B295">
        <v>2020</v>
      </c>
      <c r="C295" t="s">
        <v>1173</v>
      </c>
      <c r="D295" t="s">
        <v>1174</v>
      </c>
      <c r="E295" t="s">
        <v>15</v>
      </c>
      <c r="F295" t="s">
        <v>16</v>
      </c>
      <c r="G295" t="s">
        <v>15</v>
      </c>
      <c r="H295" t="s">
        <v>39</v>
      </c>
      <c r="I295" t="s">
        <v>17</v>
      </c>
      <c r="J295" t="s">
        <v>1175</v>
      </c>
      <c r="K295" t="s">
        <v>15</v>
      </c>
      <c r="L295" t="s">
        <v>20</v>
      </c>
      <c r="M295" t="s">
        <v>17</v>
      </c>
      <c r="N295" t="s">
        <v>282</v>
      </c>
      <c r="O295" t="s">
        <v>15</v>
      </c>
      <c r="P295" t="s">
        <v>44</v>
      </c>
      <c r="Q295" t="s">
        <v>17</v>
      </c>
      <c r="R295" t="s">
        <v>30</v>
      </c>
    </row>
    <row r="296" spans="1:18" ht="15" customHeight="1" x14ac:dyDescent="0.35">
      <c r="A296" t="s">
        <v>1176</v>
      </c>
      <c r="B296">
        <v>2020</v>
      </c>
      <c r="C296" t="s">
        <v>1177</v>
      </c>
      <c r="D296" t="s">
        <v>1178</v>
      </c>
      <c r="E296" t="s">
        <v>15</v>
      </c>
      <c r="F296" t="s">
        <v>16</v>
      </c>
      <c r="G296" t="s">
        <v>17</v>
      </c>
      <c r="H296" t="s">
        <v>482</v>
      </c>
      <c r="I296" t="s">
        <v>15</v>
      </c>
      <c r="J296" t="s">
        <v>596</v>
      </c>
      <c r="K296" t="s">
        <v>15</v>
      </c>
      <c r="L296" t="s">
        <v>20</v>
      </c>
      <c r="M296" t="s">
        <v>15</v>
      </c>
      <c r="N296" t="s">
        <v>21</v>
      </c>
      <c r="O296" t="s">
        <v>15</v>
      </c>
      <c r="P296" t="s">
        <v>136</v>
      </c>
      <c r="Q296" t="s">
        <v>17</v>
      </c>
      <c r="R296" t="s">
        <v>30</v>
      </c>
    </row>
    <row r="297" spans="1:18" ht="15" customHeight="1" x14ac:dyDescent="0.35">
      <c r="A297" t="s">
        <v>1179</v>
      </c>
      <c r="B297">
        <v>2020</v>
      </c>
      <c r="C297" t="s">
        <v>1180</v>
      </c>
      <c r="D297" t="s">
        <v>1181</v>
      </c>
      <c r="E297" t="s">
        <v>15</v>
      </c>
      <c r="F297" t="s">
        <v>16</v>
      </c>
      <c r="G297" t="s">
        <v>17</v>
      </c>
      <c r="H297" t="s">
        <v>188</v>
      </c>
      <c r="I297" t="s">
        <v>15</v>
      </c>
      <c r="J297" t="s">
        <v>1182</v>
      </c>
      <c r="K297" t="s">
        <v>15</v>
      </c>
      <c r="L297" t="s">
        <v>20</v>
      </c>
      <c r="M297" t="s">
        <v>15</v>
      </c>
      <c r="N297" t="s">
        <v>21</v>
      </c>
      <c r="O297" t="s">
        <v>15</v>
      </c>
      <c r="P297" t="s">
        <v>298</v>
      </c>
      <c r="Q297" t="s">
        <v>17</v>
      </c>
      <c r="R297" t="s">
        <v>30</v>
      </c>
    </row>
    <row r="298" spans="1:18" ht="15" customHeight="1" x14ac:dyDescent="0.35">
      <c r="A298" t="s">
        <v>1183</v>
      </c>
      <c r="B298">
        <v>2020</v>
      </c>
      <c r="C298" t="s">
        <v>1184</v>
      </c>
      <c r="D298" t="s">
        <v>1185</v>
      </c>
      <c r="E298" t="s">
        <v>15</v>
      </c>
      <c r="F298" t="s">
        <v>16</v>
      </c>
      <c r="G298" t="s">
        <v>15</v>
      </c>
      <c r="H298" t="s">
        <v>39</v>
      </c>
      <c r="I298" t="s">
        <v>15</v>
      </c>
      <c r="J298" t="s">
        <v>1186</v>
      </c>
      <c r="K298" t="s">
        <v>15</v>
      </c>
      <c r="L298" t="s">
        <v>20</v>
      </c>
      <c r="M298" t="s">
        <v>15</v>
      </c>
      <c r="N298" t="s">
        <v>53</v>
      </c>
      <c r="O298" t="s">
        <v>17</v>
      </c>
      <c r="P298" t="s">
        <v>650</v>
      </c>
      <c r="Q298" t="s">
        <v>17</v>
      </c>
      <c r="R298" t="s">
        <v>30</v>
      </c>
    </row>
    <row r="299" spans="1:18" ht="15" customHeight="1" x14ac:dyDescent="0.35">
      <c r="A299" t="s">
        <v>1187</v>
      </c>
      <c r="B299">
        <v>2020</v>
      </c>
      <c r="C299" t="s">
        <v>1188</v>
      </c>
      <c r="D299" t="s">
        <v>1189</v>
      </c>
      <c r="E299" t="s">
        <v>15</v>
      </c>
      <c r="F299" t="s">
        <v>16</v>
      </c>
      <c r="G299" t="s">
        <v>15</v>
      </c>
      <c r="H299" t="s">
        <v>402</v>
      </c>
      <c r="I299" t="s">
        <v>15</v>
      </c>
      <c r="J299" t="s">
        <v>1190</v>
      </c>
      <c r="K299" t="s">
        <v>15</v>
      </c>
      <c r="L299" t="s">
        <v>20</v>
      </c>
      <c r="M299" t="s">
        <v>17</v>
      </c>
      <c r="N299" t="s">
        <v>282</v>
      </c>
      <c r="O299" t="s">
        <v>15</v>
      </c>
      <c r="P299" t="s">
        <v>136</v>
      </c>
      <c r="Q299" t="s">
        <v>17</v>
      </c>
      <c r="R299" t="s">
        <v>30</v>
      </c>
    </row>
    <row r="300" spans="1:18" ht="15" customHeight="1" x14ac:dyDescent="0.35">
      <c r="A300" t="s">
        <v>1191</v>
      </c>
      <c r="B300">
        <v>2020</v>
      </c>
      <c r="C300" t="s">
        <v>1192</v>
      </c>
      <c r="D300" t="s">
        <v>1193</v>
      </c>
      <c r="E300" t="s">
        <v>15</v>
      </c>
      <c r="F300" t="s">
        <v>16</v>
      </c>
      <c r="G300" t="s">
        <v>15</v>
      </c>
      <c r="H300" t="s">
        <v>39</v>
      </c>
      <c r="I300" t="s">
        <v>15</v>
      </c>
      <c r="J300" t="s">
        <v>1194</v>
      </c>
      <c r="K300" t="s">
        <v>15</v>
      </c>
      <c r="L300" t="s">
        <v>20</v>
      </c>
      <c r="M300" t="s">
        <v>17</v>
      </c>
      <c r="N300" t="s">
        <v>282</v>
      </c>
      <c r="O300" t="s">
        <v>17</v>
      </c>
      <c r="P300" t="s">
        <v>650</v>
      </c>
      <c r="Q300" t="s">
        <v>17</v>
      </c>
      <c r="R300" t="s">
        <v>1053</v>
      </c>
    </row>
    <row r="301" spans="1:18" ht="15" customHeight="1" x14ac:dyDescent="0.35">
      <c r="A301" t="s">
        <v>1195</v>
      </c>
      <c r="B301">
        <v>2020</v>
      </c>
      <c r="C301" t="s">
        <v>1196</v>
      </c>
      <c r="D301" t="s">
        <v>1197</v>
      </c>
      <c r="E301" t="s">
        <v>15</v>
      </c>
      <c r="F301" t="s">
        <v>16</v>
      </c>
      <c r="G301" t="s">
        <v>17</v>
      </c>
      <c r="H301" t="s">
        <v>188</v>
      </c>
      <c r="I301" t="s">
        <v>15</v>
      </c>
      <c r="J301" t="s">
        <v>618</v>
      </c>
      <c r="K301" t="s">
        <v>15</v>
      </c>
      <c r="L301" t="s">
        <v>20</v>
      </c>
      <c r="M301" t="s">
        <v>17</v>
      </c>
      <c r="N301" t="s">
        <v>184</v>
      </c>
      <c r="O301" t="s">
        <v>15</v>
      </c>
      <c r="P301" t="s">
        <v>22</v>
      </c>
      <c r="Q301" t="s">
        <v>17</v>
      </c>
      <c r="R301" t="s">
        <v>1198</v>
      </c>
    </row>
    <row r="302" spans="1:18" ht="15" customHeight="1" x14ac:dyDescent="0.35">
      <c r="A302" t="s">
        <v>1199</v>
      </c>
      <c r="B302">
        <v>2020</v>
      </c>
      <c r="C302" t="s">
        <v>1200</v>
      </c>
      <c r="D302" t="s">
        <v>1201</v>
      </c>
      <c r="E302" t="s">
        <v>15</v>
      </c>
      <c r="F302" t="s">
        <v>16</v>
      </c>
      <c r="G302" t="s">
        <v>17</v>
      </c>
      <c r="H302" t="s">
        <v>188</v>
      </c>
      <c r="I302" t="s">
        <v>15</v>
      </c>
      <c r="J302" t="s">
        <v>235</v>
      </c>
      <c r="K302" t="s">
        <v>15</v>
      </c>
      <c r="L302" t="s">
        <v>20</v>
      </c>
      <c r="M302" t="s">
        <v>15</v>
      </c>
      <c r="N302" t="s">
        <v>21</v>
      </c>
      <c r="O302" t="s">
        <v>15</v>
      </c>
      <c r="P302" t="s">
        <v>136</v>
      </c>
      <c r="Q302" t="s">
        <v>17</v>
      </c>
      <c r="R302" t="s">
        <v>30</v>
      </c>
    </row>
    <row r="303" spans="1:18" ht="15" customHeight="1" x14ac:dyDescent="0.35">
      <c r="A303" t="s">
        <v>1202</v>
      </c>
      <c r="B303">
        <v>2020</v>
      </c>
      <c r="C303" t="s">
        <v>1203</v>
      </c>
      <c r="D303" t="s">
        <v>1204</v>
      </c>
      <c r="E303" t="s">
        <v>15</v>
      </c>
      <c r="F303" t="s">
        <v>16</v>
      </c>
      <c r="G303" t="s">
        <v>15</v>
      </c>
      <c r="H303" t="s">
        <v>39</v>
      </c>
      <c r="I303" t="s">
        <v>15</v>
      </c>
      <c r="J303" t="s">
        <v>1205</v>
      </c>
      <c r="K303" t="s">
        <v>15</v>
      </c>
      <c r="L303" t="s">
        <v>20</v>
      </c>
      <c r="M303" t="s">
        <v>17</v>
      </c>
      <c r="N303" t="s">
        <v>282</v>
      </c>
      <c r="O303" t="s">
        <v>17</v>
      </c>
      <c r="P303" t="s">
        <v>650</v>
      </c>
      <c r="Q303" t="s">
        <v>17</v>
      </c>
      <c r="R303" t="s">
        <v>30</v>
      </c>
    </row>
    <row r="304" spans="1:18" ht="15" customHeight="1" x14ac:dyDescent="0.35">
      <c r="A304" t="s">
        <v>1206</v>
      </c>
      <c r="B304">
        <v>2020</v>
      </c>
      <c r="C304" t="s">
        <v>1207</v>
      </c>
      <c r="D304" t="s">
        <v>1208</v>
      </c>
      <c r="E304" t="s">
        <v>15</v>
      </c>
      <c r="F304" t="s">
        <v>16</v>
      </c>
      <c r="G304" t="s">
        <v>15</v>
      </c>
      <c r="H304" t="s">
        <v>39</v>
      </c>
      <c r="I304" t="s">
        <v>15</v>
      </c>
      <c r="J304" t="s">
        <v>483</v>
      </c>
      <c r="K304" t="s">
        <v>15</v>
      </c>
      <c r="L304" t="s">
        <v>20</v>
      </c>
      <c r="M304" t="s">
        <v>15</v>
      </c>
      <c r="N304" t="s">
        <v>21</v>
      </c>
      <c r="O304" t="s">
        <v>17</v>
      </c>
      <c r="P304" t="s">
        <v>650</v>
      </c>
      <c r="Q304" t="s">
        <v>17</v>
      </c>
      <c r="R304" t="s">
        <v>30</v>
      </c>
    </row>
    <row r="305" spans="1:18" ht="15" customHeight="1" x14ac:dyDescent="0.35">
      <c r="A305" t="s">
        <v>1209</v>
      </c>
      <c r="B305">
        <v>2020</v>
      </c>
      <c r="C305" t="s">
        <v>1210</v>
      </c>
      <c r="D305" t="s">
        <v>1211</v>
      </c>
      <c r="E305" t="s">
        <v>15</v>
      </c>
      <c r="F305" t="s">
        <v>16</v>
      </c>
      <c r="G305" t="s">
        <v>17</v>
      </c>
      <c r="H305" t="s">
        <v>1212</v>
      </c>
      <c r="I305" t="s">
        <v>15</v>
      </c>
      <c r="J305" t="s">
        <v>1213</v>
      </c>
      <c r="K305" t="s">
        <v>15</v>
      </c>
      <c r="L305" t="s">
        <v>20</v>
      </c>
      <c r="M305" t="s">
        <v>15</v>
      </c>
      <c r="N305" t="s">
        <v>53</v>
      </c>
      <c r="O305" t="s">
        <v>15</v>
      </c>
      <c r="P305" t="s">
        <v>704</v>
      </c>
      <c r="Q305" t="s">
        <v>17</v>
      </c>
      <c r="R305" t="s">
        <v>1214</v>
      </c>
    </row>
    <row r="306" spans="1:18" ht="15" customHeight="1" x14ac:dyDescent="0.35">
      <c r="A306" t="s">
        <v>1215</v>
      </c>
      <c r="B306">
        <v>2020</v>
      </c>
      <c r="C306" t="s">
        <v>1216</v>
      </c>
      <c r="D306" t="s">
        <v>1217</v>
      </c>
      <c r="E306" t="s">
        <v>15</v>
      </c>
      <c r="F306" t="s">
        <v>16</v>
      </c>
      <c r="G306" t="s">
        <v>17</v>
      </c>
      <c r="H306" t="s">
        <v>188</v>
      </c>
      <c r="I306" t="s">
        <v>15</v>
      </c>
      <c r="J306" t="s">
        <v>729</v>
      </c>
      <c r="K306" t="s">
        <v>15</v>
      </c>
      <c r="L306" t="s">
        <v>20</v>
      </c>
      <c r="M306" t="s">
        <v>17</v>
      </c>
      <c r="N306" t="s">
        <v>184</v>
      </c>
      <c r="O306" t="s">
        <v>15</v>
      </c>
      <c r="P306" t="s">
        <v>303</v>
      </c>
      <c r="Q306" t="s">
        <v>17</v>
      </c>
      <c r="R306" t="s">
        <v>30</v>
      </c>
    </row>
    <row r="307" spans="1:18" ht="15" customHeight="1" x14ac:dyDescent="0.35">
      <c r="A307" t="s">
        <v>1218</v>
      </c>
      <c r="B307">
        <v>2020</v>
      </c>
      <c r="C307" t="s">
        <v>1219</v>
      </c>
      <c r="D307" s="1" t="s">
        <v>1220</v>
      </c>
      <c r="E307" t="s">
        <v>15</v>
      </c>
      <c r="F307" t="s">
        <v>16</v>
      </c>
      <c r="G307" t="s">
        <v>15</v>
      </c>
      <c r="H307" t="s">
        <v>34</v>
      </c>
      <c r="I307" t="s">
        <v>15</v>
      </c>
      <c r="J307" t="s">
        <v>902</v>
      </c>
      <c r="K307" t="s">
        <v>15</v>
      </c>
      <c r="L307" t="s">
        <v>20</v>
      </c>
      <c r="M307" t="s">
        <v>15</v>
      </c>
      <c r="N307" t="s">
        <v>21</v>
      </c>
      <c r="O307" t="s">
        <v>15</v>
      </c>
      <c r="P307" t="s">
        <v>303</v>
      </c>
      <c r="Q307" t="s">
        <v>17</v>
      </c>
      <c r="R307" t="s">
        <v>30</v>
      </c>
    </row>
    <row r="308" spans="1:18" s="7" customFormat="1" ht="15" customHeight="1" x14ac:dyDescent="0.35">
      <c r="A308" s="7" t="s">
        <v>1221</v>
      </c>
      <c r="B308" s="7">
        <v>2020</v>
      </c>
      <c r="C308" s="7" t="s">
        <v>1222</v>
      </c>
      <c r="D308" s="7" t="s">
        <v>1223</v>
      </c>
    </row>
    <row r="309" spans="1:18" ht="15" customHeight="1" x14ac:dyDescent="0.35">
      <c r="A309" t="s">
        <v>1224</v>
      </c>
      <c r="B309">
        <v>2020</v>
      </c>
      <c r="C309" t="s">
        <v>1225</v>
      </c>
      <c r="D309" t="s">
        <v>1226</v>
      </c>
      <c r="E309" t="s">
        <v>15</v>
      </c>
      <c r="F309" t="s">
        <v>16</v>
      </c>
      <c r="G309" t="s">
        <v>15</v>
      </c>
      <c r="H309" t="s">
        <v>34</v>
      </c>
      <c r="I309" t="s">
        <v>15</v>
      </c>
      <c r="J309" t="s">
        <v>27</v>
      </c>
      <c r="K309" t="s">
        <v>15</v>
      </c>
      <c r="L309" t="s">
        <v>20</v>
      </c>
      <c r="M309" t="s">
        <v>15</v>
      </c>
      <c r="N309" t="s">
        <v>21</v>
      </c>
      <c r="O309" t="s">
        <v>17</v>
      </c>
      <c r="P309" t="s">
        <v>1227</v>
      </c>
      <c r="Q309" t="s">
        <v>17</v>
      </c>
      <c r="R309" t="s">
        <v>30</v>
      </c>
    </row>
    <row r="310" spans="1:18" ht="15" customHeight="1" x14ac:dyDescent="0.35">
      <c r="A310" t="s">
        <v>1228</v>
      </c>
      <c r="B310">
        <v>2020</v>
      </c>
      <c r="C310" t="s">
        <v>1229</v>
      </c>
      <c r="D310" s="1" t="s">
        <v>1230</v>
      </c>
      <c r="E310" t="s">
        <v>15</v>
      </c>
      <c r="F310" t="s">
        <v>16</v>
      </c>
      <c r="G310" t="s">
        <v>17</v>
      </c>
      <c r="H310" t="s">
        <v>1115</v>
      </c>
      <c r="I310" t="s">
        <v>15</v>
      </c>
      <c r="J310" t="s">
        <v>729</v>
      </c>
      <c r="K310" t="s">
        <v>15</v>
      </c>
      <c r="L310" t="s">
        <v>20</v>
      </c>
      <c r="M310" t="s">
        <v>15</v>
      </c>
      <c r="N310" t="s">
        <v>21</v>
      </c>
      <c r="O310" t="s">
        <v>17</v>
      </c>
      <c r="P310" t="s">
        <v>729</v>
      </c>
      <c r="Q310" t="s">
        <v>17</v>
      </c>
      <c r="R310" t="s">
        <v>1231</v>
      </c>
    </row>
    <row r="311" spans="1:18" ht="15" customHeight="1" x14ac:dyDescent="0.35">
      <c r="A311" t="s">
        <v>1232</v>
      </c>
      <c r="B311">
        <v>2020</v>
      </c>
      <c r="C311" t="s">
        <v>1233</v>
      </c>
      <c r="D311" t="s">
        <v>1234</v>
      </c>
      <c r="E311" t="s">
        <v>15</v>
      </c>
      <c r="F311" t="s">
        <v>16</v>
      </c>
      <c r="G311" t="s">
        <v>17</v>
      </c>
      <c r="H311" t="s">
        <v>188</v>
      </c>
      <c r="I311" t="s">
        <v>15</v>
      </c>
      <c r="J311" t="s">
        <v>1235</v>
      </c>
      <c r="K311" t="s">
        <v>15</v>
      </c>
      <c r="L311" t="s">
        <v>20</v>
      </c>
      <c r="M311" t="s">
        <v>15</v>
      </c>
      <c r="N311" t="s">
        <v>21</v>
      </c>
      <c r="O311" t="s">
        <v>15</v>
      </c>
      <c r="P311" t="s">
        <v>136</v>
      </c>
      <c r="Q311" t="s">
        <v>17</v>
      </c>
      <c r="R311" t="s">
        <v>1236</v>
      </c>
    </row>
    <row r="312" spans="1:18" ht="15" customHeight="1" x14ac:dyDescent="0.35">
      <c r="A312" t="s">
        <v>1237</v>
      </c>
      <c r="B312">
        <v>2020</v>
      </c>
      <c r="C312" t="s">
        <v>1238</v>
      </c>
      <c r="D312" t="s">
        <v>1239</v>
      </c>
      <c r="E312" t="s">
        <v>15</v>
      </c>
      <c r="F312" t="s">
        <v>16</v>
      </c>
      <c r="G312" t="s">
        <v>17</v>
      </c>
      <c r="H312" t="s">
        <v>821</v>
      </c>
      <c r="I312" t="s">
        <v>17</v>
      </c>
      <c r="J312" t="s">
        <v>1240</v>
      </c>
      <c r="K312" t="s">
        <v>15</v>
      </c>
      <c r="L312" t="s">
        <v>20</v>
      </c>
      <c r="M312" t="s">
        <v>15</v>
      </c>
      <c r="N312" t="s">
        <v>21</v>
      </c>
      <c r="O312" t="s">
        <v>17</v>
      </c>
      <c r="P312" t="s">
        <v>650</v>
      </c>
      <c r="Q312" t="s">
        <v>17</v>
      </c>
      <c r="R312" t="s">
        <v>1241</v>
      </c>
    </row>
    <row r="313" spans="1:18" ht="15" customHeight="1" x14ac:dyDescent="0.35">
      <c r="A313" t="s">
        <v>1242</v>
      </c>
      <c r="B313">
        <v>2022</v>
      </c>
      <c r="C313" t="s">
        <v>1243</v>
      </c>
      <c r="D313" s="1" t="s">
        <v>1244</v>
      </c>
      <c r="E313" t="s">
        <v>15</v>
      </c>
      <c r="F313" t="s">
        <v>16</v>
      </c>
      <c r="G313" t="s">
        <v>15</v>
      </c>
      <c r="H313" t="s">
        <v>35</v>
      </c>
      <c r="I313" t="s">
        <v>15</v>
      </c>
      <c r="J313" t="s">
        <v>483</v>
      </c>
      <c r="K313" t="s">
        <v>15</v>
      </c>
      <c r="L313" t="s">
        <v>20</v>
      </c>
      <c r="M313" t="s">
        <v>15</v>
      </c>
      <c r="N313" t="s">
        <v>21</v>
      </c>
      <c r="O313" t="s">
        <v>15</v>
      </c>
      <c r="P313" t="s">
        <v>136</v>
      </c>
      <c r="Q313" t="s">
        <v>17</v>
      </c>
      <c r="R313" t="s">
        <v>30</v>
      </c>
    </row>
    <row r="314" spans="1:18" s="7" customFormat="1" ht="15" customHeight="1" x14ac:dyDescent="0.35">
      <c r="A314" s="7" t="s">
        <v>1245</v>
      </c>
      <c r="B314" s="7">
        <v>2022</v>
      </c>
      <c r="C314" s="7" t="s">
        <v>1243</v>
      </c>
      <c r="D314" s="7" t="s">
        <v>1223</v>
      </c>
    </row>
    <row r="315" spans="1:18" ht="15" customHeight="1" x14ac:dyDescent="0.35">
      <c r="A315" t="s">
        <v>1246</v>
      </c>
      <c r="B315">
        <v>2022</v>
      </c>
      <c r="C315" t="s">
        <v>1247</v>
      </c>
      <c r="D315" t="s">
        <v>1248</v>
      </c>
      <c r="E315" t="s">
        <v>15</v>
      </c>
      <c r="F315" t="s">
        <v>16</v>
      </c>
      <c r="G315" t="s">
        <v>17</v>
      </c>
      <c r="H315" t="s">
        <v>1249</v>
      </c>
      <c r="I315" t="s">
        <v>15</v>
      </c>
      <c r="J315" t="s">
        <v>1250</v>
      </c>
      <c r="K315" t="s">
        <v>15</v>
      </c>
      <c r="L315" t="s">
        <v>20</v>
      </c>
      <c r="M315" t="s">
        <v>15</v>
      </c>
      <c r="N315" t="s">
        <v>21</v>
      </c>
      <c r="O315" t="s">
        <v>15</v>
      </c>
      <c r="P315" t="s">
        <v>22</v>
      </c>
      <c r="Q315" t="s">
        <v>17</v>
      </c>
      <c r="R315" t="s">
        <v>30</v>
      </c>
    </row>
    <row r="316" spans="1:18" ht="15" customHeight="1" x14ac:dyDescent="0.35">
      <c r="A316" t="s">
        <v>1251</v>
      </c>
      <c r="B316">
        <v>2022</v>
      </c>
      <c r="C316" t="s">
        <v>1252</v>
      </c>
      <c r="D316" t="s">
        <v>1253</v>
      </c>
      <c r="E316" t="s">
        <v>15</v>
      </c>
      <c r="F316" t="s">
        <v>16</v>
      </c>
      <c r="G316" t="s">
        <v>17</v>
      </c>
      <c r="H316" t="s">
        <v>821</v>
      </c>
      <c r="I316" t="s">
        <v>15</v>
      </c>
      <c r="J316" t="s">
        <v>1254</v>
      </c>
      <c r="K316" t="s">
        <v>15</v>
      </c>
      <c r="L316" t="s">
        <v>20</v>
      </c>
      <c r="M316" t="s">
        <v>17</v>
      </c>
      <c r="N316" t="s">
        <v>1255</v>
      </c>
      <c r="O316" t="s">
        <v>15</v>
      </c>
      <c r="P316" t="s">
        <v>136</v>
      </c>
      <c r="Q316" t="s">
        <v>17</v>
      </c>
      <c r="R316" t="s">
        <v>30</v>
      </c>
    </row>
    <row r="317" spans="1:18" ht="15" customHeight="1" x14ac:dyDescent="0.35">
      <c r="A317" t="s">
        <v>1256</v>
      </c>
      <c r="B317">
        <v>2022</v>
      </c>
      <c r="C317" t="s">
        <v>1257</v>
      </c>
      <c r="D317" s="1" t="s">
        <v>1258</v>
      </c>
      <c r="E317" t="s">
        <v>15</v>
      </c>
      <c r="F317" t="s">
        <v>16</v>
      </c>
      <c r="G317" t="s">
        <v>15</v>
      </c>
      <c r="H317" t="s">
        <v>65</v>
      </c>
      <c r="I317" t="s">
        <v>15</v>
      </c>
      <c r="J317" t="s">
        <v>980</v>
      </c>
      <c r="K317" t="s">
        <v>15</v>
      </c>
      <c r="L317" t="s">
        <v>20</v>
      </c>
      <c r="M317" t="s">
        <v>15</v>
      </c>
      <c r="N317" t="s">
        <v>21</v>
      </c>
      <c r="O317" t="s">
        <v>15</v>
      </c>
      <c r="P317" t="s">
        <v>298</v>
      </c>
      <c r="Q317" t="s">
        <v>15</v>
      </c>
      <c r="R317" t="s">
        <v>1259</v>
      </c>
    </row>
    <row r="318" spans="1:18" ht="15" customHeight="1" x14ac:dyDescent="0.35">
      <c r="A318" t="s">
        <v>1260</v>
      </c>
      <c r="B318">
        <v>2022</v>
      </c>
      <c r="C318" t="s">
        <v>1261</v>
      </c>
      <c r="D318" t="s">
        <v>1262</v>
      </c>
      <c r="E318" t="s">
        <v>15</v>
      </c>
      <c r="F318" t="s">
        <v>16</v>
      </c>
      <c r="G318" t="s">
        <v>17</v>
      </c>
      <c r="H318" t="s">
        <v>310</v>
      </c>
      <c r="I318" t="s">
        <v>15</v>
      </c>
      <c r="J318" t="s">
        <v>618</v>
      </c>
      <c r="K318" t="s">
        <v>15</v>
      </c>
      <c r="L318" t="s">
        <v>20</v>
      </c>
      <c r="M318" t="s">
        <v>15</v>
      </c>
      <c r="N318" t="s">
        <v>21</v>
      </c>
      <c r="O318" t="s">
        <v>17</v>
      </c>
      <c r="P318" t="s">
        <v>650</v>
      </c>
      <c r="Q318" t="s">
        <v>17</v>
      </c>
      <c r="R318" t="s">
        <v>30</v>
      </c>
    </row>
    <row r="319" spans="1:18" ht="15" customHeight="1" x14ac:dyDescent="0.35">
      <c r="A319" t="s">
        <v>1263</v>
      </c>
      <c r="B319">
        <v>2022</v>
      </c>
      <c r="C319" t="s">
        <v>1264</v>
      </c>
      <c r="D319" t="s">
        <v>1265</v>
      </c>
      <c r="E319" t="s">
        <v>15</v>
      </c>
      <c r="F319" t="s">
        <v>16</v>
      </c>
      <c r="G319" t="s">
        <v>17</v>
      </c>
      <c r="H319" t="s">
        <v>535</v>
      </c>
      <c r="I319" t="s">
        <v>17</v>
      </c>
      <c r="J319" t="s">
        <v>1266</v>
      </c>
      <c r="K319" t="s">
        <v>15</v>
      </c>
      <c r="L319" t="s">
        <v>20</v>
      </c>
      <c r="M319" t="s">
        <v>15</v>
      </c>
      <c r="N319" t="s">
        <v>21</v>
      </c>
      <c r="O319" t="s">
        <v>17</v>
      </c>
      <c r="P319" t="s">
        <v>650</v>
      </c>
      <c r="Q319" t="s">
        <v>17</v>
      </c>
      <c r="R319" t="s">
        <v>30</v>
      </c>
    </row>
    <row r="320" spans="1:18" ht="15" customHeight="1" x14ac:dyDescent="0.35">
      <c r="A320" t="s">
        <v>1267</v>
      </c>
      <c r="B320">
        <v>2022</v>
      </c>
      <c r="C320" t="s">
        <v>1268</v>
      </c>
      <c r="D320" t="s">
        <v>624</v>
      </c>
      <c r="E320" t="s">
        <v>15</v>
      </c>
      <c r="F320" t="s">
        <v>16</v>
      </c>
      <c r="G320" t="s">
        <v>15</v>
      </c>
      <c r="H320" t="s">
        <v>39</v>
      </c>
      <c r="I320" t="s">
        <v>15</v>
      </c>
      <c r="J320" t="s">
        <v>1269</v>
      </c>
      <c r="K320" t="s">
        <v>15</v>
      </c>
      <c r="L320" t="s">
        <v>20</v>
      </c>
      <c r="M320" t="s">
        <v>15</v>
      </c>
      <c r="N320" t="s">
        <v>21</v>
      </c>
      <c r="O320" t="s">
        <v>15</v>
      </c>
      <c r="P320" t="s">
        <v>22</v>
      </c>
      <c r="Q320" t="s">
        <v>15</v>
      </c>
      <c r="R320" t="s">
        <v>110</v>
      </c>
    </row>
    <row r="321" spans="1:18" ht="15" customHeight="1" x14ac:dyDescent="0.35">
      <c r="A321" t="s">
        <v>1270</v>
      </c>
      <c r="B321">
        <v>2022</v>
      </c>
      <c r="C321" t="s">
        <v>1271</v>
      </c>
      <c r="D321" t="s">
        <v>1272</v>
      </c>
      <c r="E321" t="s">
        <v>15</v>
      </c>
      <c r="F321" t="s">
        <v>16</v>
      </c>
      <c r="G321" t="s">
        <v>17</v>
      </c>
      <c r="H321" t="s">
        <v>188</v>
      </c>
      <c r="I321" t="s">
        <v>15</v>
      </c>
      <c r="J321" t="s">
        <v>838</v>
      </c>
      <c r="K321" t="s">
        <v>15</v>
      </c>
      <c r="L321" t="s">
        <v>20</v>
      </c>
      <c r="M321" t="s">
        <v>15</v>
      </c>
      <c r="N321" t="s">
        <v>633</v>
      </c>
      <c r="O321" t="s">
        <v>15</v>
      </c>
      <c r="P321" t="s">
        <v>44</v>
      </c>
      <c r="Q321" t="s">
        <v>17</v>
      </c>
      <c r="R321" t="s">
        <v>30</v>
      </c>
    </row>
    <row r="322" spans="1:18" ht="15" customHeight="1" x14ac:dyDescent="0.35">
      <c r="A322" t="s">
        <v>1273</v>
      </c>
      <c r="B322">
        <v>2022</v>
      </c>
      <c r="C322" t="s">
        <v>1274</v>
      </c>
      <c r="D322" t="s">
        <v>1275</v>
      </c>
      <c r="E322" t="s">
        <v>15</v>
      </c>
      <c r="F322" t="s">
        <v>16</v>
      </c>
      <c r="G322" t="s">
        <v>17</v>
      </c>
      <c r="H322" t="s">
        <v>1276</v>
      </c>
      <c r="I322" t="s">
        <v>15</v>
      </c>
      <c r="J322" t="s">
        <v>838</v>
      </c>
      <c r="K322" t="s">
        <v>15</v>
      </c>
      <c r="L322" t="s">
        <v>20</v>
      </c>
      <c r="M322" t="s">
        <v>15</v>
      </c>
      <c r="N322" t="s">
        <v>21</v>
      </c>
      <c r="O322" t="s">
        <v>15</v>
      </c>
      <c r="P322" t="s">
        <v>44</v>
      </c>
      <c r="Q322" t="s">
        <v>17</v>
      </c>
      <c r="R322" t="s">
        <v>30</v>
      </c>
    </row>
    <row r="323" spans="1:18" ht="15" customHeight="1" x14ac:dyDescent="0.35">
      <c r="A323" t="s">
        <v>1277</v>
      </c>
      <c r="B323">
        <v>2022</v>
      </c>
      <c r="C323" t="s">
        <v>1278</v>
      </c>
      <c r="D323" t="s">
        <v>1279</v>
      </c>
      <c r="E323" t="s">
        <v>15</v>
      </c>
      <c r="F323" t="s">
        <v>16</v>
      </c>
      <c r="G323" t="s">
        <v>17</v>
      </c>
      <c r="H323" t="s">
        <v>188</v>
      </c>
      <c r="I323" t="s">
        <v>15</v>
      </c>
      <c r="J323" t="s">
        <v>838</v>
      </c>
      <c r="K323" t="s">
        <v>15</v>
      </c>
      <c r="L323" t="s">
        <v>20</v>
      </c>
      <c r="M323" t="s">
        <v>15</v>
      </c>
      <c r="N323" t="s">
        <v>21</v>
      </c>
      <c r="O323" t="s">
        <v>17</v>
      </c>
      <c r="P323" t="s">
        <v>1111</v>
      </c>
      <c r="Q323" t="s">
        <v>17</v>
      </c>
      <c r="R323" t="s">
        <v>1280</v>
      </c>
    </row>
    <row r="324" spans="1:18" ht="15" customHeight="1" x14ac:dyDescent="0.35">
      <c r="A324" t="s">
        <v>1281</v>
      </c>
      <c r="B324">
        <v>2022</v>
      </c>
      <c r="C324" t="s">
        <v>1282</v>
      </c>
      <c r="D324" t="s">
        <v>1283</v>
      </c>
      <c r="E324" t="s">
        <v>15</v>
      </c>
      <c r="F324" t="s">
        <v>16</v>
      </c>
      <c r="G324" t="s">
        <v>15</v>
      </c>
      <c r="H324" t="s">
        <v>34</v>
      </c>
      <c r="I324" t="s">
        <v>15</v>
      </c>
      <c r="J324" t="s">
        <v>806</v>
      </c>
      <c r="K324" t="s">
        <v>15</v>
      </c>
      <c r="L324" t="s">
        <v>20</v>
      </c>
      <c r="M324" t="s">
        <v>15</v>
      </c>
      <c r="N324" t="s">
        <v>21</v>
      </c>
      <c r="O324" t="s">
        <v>15</v>
      </c>
      <c r="P324" t="s">
        <v>22</v>
      </c>
      <c r="Q324" t="s">
        <v>17</v>
      </c>
      <c r="R324" t="s">
        <v>30</v>
      </c>
    </row>
    <row r="325" spans="1:18" ht="15" customHeight="1" x14ac:dyDescent="0.35">
      <c r="A325" t="s">
        <v>1284</v>
      </c>
      <c r="B325">
        <v>2022</v>
      </c>
      <c r="C325" t="s">
        <v>1285</v>
      </c>
      <c r="D325" t="s">
        <v>1223</v>
      </c>
      <c r="E325" t="s">
        <v>15</v>
      </c>
      <c r="F325" t="s">
        <v>16</v>
      </c>
      <c r="G325" t="s">
        <v>15</v>
      </c>
      <c r="H325" t="s">
        <v>34</v>
      </c>
      <c r="I325" t="s">
        <v>15</v>
      </c>
      <c r="J325" t="s">
        <v>27</v>
      </c>
      <c r="K325" t="s">
        <v>15</v>
      </c>
      <c r="L325" t="s">
        <v>20</v>
      </c>
      <c r="M325" t="s">
        <v>15</v>
      </c>
      <c r="N325" t="s">
        <v>21</v>
      </c>
      <c r="O325" t="s">
        <v>17</v>
      </c>
      <c r="P325" t="s">
        <v>650</v>
      </c>
      <c r="Q325" t="s">
        <v>17</v>
      </c>
      <c r="R325" t="s">
        <v>1286</v>
      </c>
    </row>
    <row r="326" spans="1:18" ht="15" customHeight="1" x14ac:dyDescent="0.35">
      <c r="A326" t="s">
        <v>1287</v>
      </c>
      <c r="B326">
        <v>2022</v>
      </c>
      <c r="C326" t="s">
        <v>1288</v>
      </c>
      <c r="D326" t="s">
        <v>1289</v>
      </c>
      <c r="E326" t="s">
        <v>15</v>
      </c>
      <c r="F326" t="s">
        <v>16</v>
      </c>
      <c r="G326" t="s">
        <v>15</v>
      </c>
      <c r="H326" t="s">
        <v>35</v>
      </c>
      <c r="I326" t="s">
        <v>15</v>
      </c>
      <c r="J326" t="s">
        <v>838</v>
      </c>
      <c r="K326" t="s">
        <v>15</v>
      </c>
      <c r="L326" t="s">
        <v>20</v>
      </c>
      <c r="M326" t="s">
        <v>15</v>
      </c>
      <c r="N326" t="s">
        <v>21</v>
      </c>
      <c r="O326" t="s">
        <v>17</v>
      </c>
      <c r="P326" t="s">
        <v>650</v>
      </c>
      <c r="Q326" t="s">
        <v>15</v>
      </c>
      <c r="R326" t="s">
        <v>110</v>
      </c>
    </row>
    <row r="327" spans="1:18" ht="15" customHeight="1" x14ac:dyDescent="0.35">
      <c r="A327" t="s">
        <v>1290</v>
      </c>
      <c r="B327">
        <v>2022</v>
      </c>
      <c r="C327" t="s">
        <v>1291</v>
      </c>
      <c r="D327" t="s">
        <v>1292</v>
      </c>
      <c r="E327" t="s">
        <v>15</v>
      </c>
      <c r="F327" t="s">
        <v>16</v>
      </c>
      <c r="G327" t="s">
        <v>17</v>
      </c>
      <c r="H327" t="s">
        <v>188</v>
      </c>
      <c r="I327" t="s">
        <v>15</v>
      </c>
      <c r="J327" t="s">
        <v>49</v>
      </c>
      <c r="K327" t="s">
        <v>15</v>
      </c>
      <c r="L327" t="s">
        <v>20</v>
      </c>
      <c r="M327" t="s">
        <v>15</v>
      </c>
      <c r="N327" t="s">
        <v>122</v>
      </c>
      <c r="O327" t="s">
        <v>15</v>
      </c>
      <c r="P327" t="s">
        <v>22</v>
      </c>
      <c r="Q327" t="s">
        <v>17</v>
      </c>
      <c r="R327" t="s">
        <v>30</v>
      </c>
    </row>
    <row r="328" spans="1:18" ht="15" customHeight="1" x14ac:dyDescent="0.35">
      <c r="A328" t="s">
        <v>1293</v>
      </c>
      <c r="B328">
        <v>2022</v>
      </c>
      <c r="C328" t="s">
        <v>1294</v>
      </c>
      <c r="D328" t="s">
        <v>1295</v>
      </c>
      <c r="E328" t="s">
        <v>15</v>
      </c>
      <c r="F328" t="s">
        <v>16</v>
      </c>
      <c r="G328" t="s">
        <v>15</v>
      </c>
      <c r="H328" t="s">
        <v>35</v>
      </c>
      <c r="I328" t="s">
        <v>15</v>
      </c>
      <c r="J328" t="s">
        <v>1296</v>
      </c>
      <c r="K328" t="s">
        <v>15</v>
      </c>
      <c r="L328" t="s">
        <v>20</v>
      </c>
      <c r="M328" t="s">
        <v>15</v>
      </c>
      <c r="N328" t="s">
        <v>21</v>
      </c>
      <c r="O328" t="s">
        <v>17</v>
      </c>
      <c r="P328" t="s">
        <v>650</v>
      </c>
      <c r="Q328" t="s">
        <v>15</v>
      </c>
      <c r="R328" t="s">
        <v>1297</v>
      </c>
    </row>
    <row r="329" spans="1:18" ht="15" customHeight="1" x14ac:dyDescent="0.35">
      <c r="A329" t="s">
        <v>1298</v>
      </c>
      <c r="B329">
        <v>2022</v>
      </c>
      <c r="C329" t="s">
        <v>1299</v>
      </c>
      <c r="D329" t="s">
        <v>1300</v>
      </c>
      <c r="E329" t="s">
        <v>15</v>
      </c>
      <c r="F329" t="s">
        <v>16</v>
      </c>
      <c r="G329" t="s">
        <v>15</v>
      </c>
      <c r="H329" t="s">
        <v>711</v>
      </c>
      <c r="I329" t="s">
        <v>15</v>
      </c>
      <c r="J329" t="s">
        <v>1301</v>
      </c>
      <c r="K329" t="s">
        <v>17</v>
      </c>
      <c r="L329" t="s">
        <v>162</v>
      </c>
      <c r="M329" t="s">
        <v>17</v>
      </c>
      <c r="N329" t="s">
        <v>204</v>
      </c>
      <c r="O329" t="s">
        <v>15</v>
      </c>
      <c r="P329" t="s">
        <v>283</v>
      </c>
      <c r="Q329" t="s">
        <v>17</v>
      </c>
      <c r="R329" t="s">
        <v>336</v>
      </c>
    </row>
    <row r="330" spans="1:18" ht="15" customHeight="1" x14ac:dyDescent="0.35">
      <c r="A330" t="s">
        <v>1302</v>
      </c>
      <c r="B330">
        <v>2022</v>
      </c>
      <c r="C330" t="s">
        <v>1303</v>
      </c>
      <c r="D330" t="s">
        <v>1304</v>
      </c>
      <c r="E330" t="s">
        <v>15</v>
      </c>
      <c r="F330" t="s">
        <v>16</v>
      </c>
      <c r="G330" t="s">
        <v>15</v>
      </c>
      <c r="H330" t="s">
        <v>711</v>
      </c>
      <c r="I330" t="s">
        <v>15</v>
      </c>
      <c r="J330" t="s">
        <v>1301</v>
      </c>
      <c r="K330" t="s">
        <v>17</v>
      </c>
      <c r="L330" t="s">
        <v>1305</v>
      </c>
      <c r="M330" t="s">
        <v>17</v>
      </c>
      <c r="N330" t="s">
        <v>1305</v>
      </c>
      <c r="O330" t="s">
        <v>15</v>
      </c>
      <c r="P330" t="s">
        <v>283</v>
      </c>
      <c r="Q330" t="s">
        <v>17</v>
      </c>
      <c r="R330" t="s">
        <v>1306</v>
      </c>
    </row>
    <row r="331" spans="1:18" ht="15" customHeight="1" x14ac:dyDescent="0.35">
      <c r="A331" t="s">
        <v>1307</v>
      </c>
      <c r="B331">
        <v>2022</v>
      </c>
      <c r="C331" t="s">
        <v>1308</v>
      </c>
      <c r="D331" t="s">
        <v>1309</v>
      </c>
      <c r="E331" t="s">
        <v>15</v>
      </c>
      <c r="F331" t="s">
        <v>16</v>
      </c>
      <c r="G331" t="s">
        <v>15</v>
      </c>
      <c r="H331" t="s">
        <v>35</v>
      </c>
      <c r="I331" t="s">
        <v>15</v>
      </c>
      <c r="J331" t="s">
        <v>27</v>
      </c>
      <c r="K331" t="s">
        <v>15</v>
      </c>
      <c r="L331" t="s">
        <v>20</v>
      </c>
      <c r="M331" t="s">
        <v>15</v>
      </c>
      <c r="N331" t="s">
        <v>21</v>
      </c>
      <c r="O331" t="s">
        <v>17</v>
      </c>
      <c r="P331" t="s">
        <v>1310</v>
      </c>
      <c r="Q331" t="s">
        <v>17</v>
      </c>
      <c r="R331" t="s">
        <v>1311</v>
      </c>
    </row>
    <row r="332" spans="1:18" ht="15" customHeight="1" x14ac:dyDescent="0.35">
      <c r="A332" t="s">
        <v>1312</v>
      </c>
      <c r="B332">
        <v>2022</v>
      </c>
      <c r="C332" t="s">
        <v>1313</v>
      </c>
      <c r="D332" t="s">
        <v>1314</v>
      </c>
      <c r="E332" t="s">
        <v>15</v>
      </c>
      <c r="F332" t="s">
        <v>16</v>
      </c>
      <c r="G332" t="s">
        <v>15</v>
      </c>
      <c r="H332" t="s">
        <v>1315</v>
      </c>
      <c r="I332" t="s">
        <v>15</v>
      </c>
      <c r="J332" t="s">
        <v>902</v>
      </c>
      <c r="K332" t="s">
        <v>15</v>
      </c>
      <c r="L332" t="s">
        <v>20</v>
      </c>
      <c r="M332" t="s">
        <v>15</v>
      </c>
      <c r="N332" t="s">
        <v>21</v>
      </c>
      <c r="O332" t="s">
        <v>15</v>
      </c>
      <c r="P332" t="s">
        <v>22</v>
      </c>
      <c r="Q332" t="s">
        <v>15</v>
      </c>
      <c r="R332" t="s">
        <v>110</v>
      </c>
    </row>
    <row r="333" spans="1:18" ht="15" customHeight="1" x14ac:dyDescent="0.35">
      <c r="A333" t="s">
        <v>1316</v>
      </c>
      <c r="B333">
        <v>2022</v>
      </c>
      <c r="C333" t="s">
        <v>1317</v>
      </c>
      <c r="D333" t="s">
        <v>1318</v>
      </c>
      <c r="E333" t="s">
        <v>15</v>
      </c>
      <c r="F333" t="s">
        <v>16</v>
      </c>
      <c r="G333" t="s">
        <v>15</v>
      </c>
      <c r="H333" t="s">
        <v>34</v>
      </c>
      <c r="I333" t="s">
        <v>15</v>
      </c>
      <c r="J333" t="s">
        <v>1319</v>
      </c>
      <c r="K333" t="s">
        <v>17</v>
      </c>
      <c r="L333" t="s">
        <v>162</v>
      </c>
      <c r="M333" t="s">
        <v>17</v>
      </c>
      <c r="N333" t="s">
        <v>204</v>
      </c>
      <c r="O333" t="s">
        <v>15</v>
      </c>
      <c r="P333" t="s">
        <v>22</v>
      </c>
      <c r="Q333" t="s">
        <v>17</v>
      </c>
      <c r="R333" t="s">
        <v>336</v>
      </c>
    </row>
    <row r="334" spans="1:18" ht="15" customHeight="1" x14ac:dyDescent="0.35">
      <c r="A334" t="s">
        <v>1320</v>
      </c>
      <c r="B334">
        <v>2022</v>
      </c>
      <c r="C334" t="s">
        <v>1321</v>
      </c>
      <c r="D334" t="s">
        <v>1322</v>
      </c>
      <c r="E334" t="s">
        <v>15</v>
      </c>
      <c r="F334" t="s">
        <v>16</v>
      </c>
      <c r="G334" t="s">
        <v>15</v>
      </c>
      <c r="H334" t="s">
        <v>402</v>
      </c>
      <c r="I334" t="s">
        <v>15</v>
      </c>
      <c r="J334" t="s">
        <v>483</v>
      </c>
      <c r="K334" t="s">
        <v>15</v>
      </c>
      <c r="L334" t="s">
        <v>20</v>
      </c>
      <c r="M334" t="s">
        <v>15</v>
      </c>
      <c r="N334" t="s">
        <v>21</v>
      </c>
      <c r="O334" t="s">
        <v>17</v>
      </c>
      <c r="P334" t="s">
        <v>1323</v>
      </c>
      <c r="Q334" t="s">
        <v>17</v>
      </c>
      <c r="R334" t="s">
        <v>30</v>
      </c>
    </row>
    <row r="335" spans="1:18" ht="15" customHeight="1" x14ac:dyDescent="0.35">
      <c r="A335" t="s">
        <v>1324</v>
      </c>
      <c r="B335">
        <v>2022</v>
      </c>
      <c r="C335" t="s">
        <v>1325</v>
      </c>
      <c r="D335" t="s">
        <v>1326</v>
      </c>
      <c r="E335" t="s">
        <v>15</v>
      </c>
      <c r="F335" t="s">
        <v>16</v>
      </c>
      <c r="G335" t="s">
        <v>17</v>
      </c>
      <c r="H335" t="s">
        <v>535</v>
      </c>
      <c r="I335" t="s">
        <v>17</v>
      </c>
      <c r="J335" t="s">
        <v>1327</v>
      </c>
      <c r="K335" t="s">
        <v>15</v>
      </c>
      <c r="L335" t="s">
        <v>20</v>
      </c>
      <c r="M335" t="s">
        <v>17</v>
      </c>
      <c r="N335" t="s">
        <v>282</v>
      </c>
      <c r="O335" t="s">
        <v>15</v>
      </c>
      <c r="P335" t="s">
        <v>136</v>
      </c>
      <c r="Q335" t="s">
        <v>17</v>
      </c>
      <c r="R335" t="s">
        <v>30</v>
      </c>
    </row>
    <row r="336" spans="1:18" ht="15" customHeight="1" x14ac:dyDescent="0.35">
      <c r="A336" t="s">
        <v>1328</v>
      </c>
      <c r="B336">
        <v>2022</v>
      </c>
      <c r="C336" s="11" t="s">
        <v>1329</v>
      </c>
      <c r="D336" t="s">
        <v>1330</v>
      </c>
      <c r="E336" t="s">
        <v>15</v>
      </c>
      <c r="F336" t="s">
        <v>16</v>
      </c>
      <c r="G336" t="s">
        <v>15</v>
      </c>
      <c r="H336" t="s">
        <v>35</v>
      </c>
      <c r="I336" t="s">
        <v>15</v>
      </c>
      <c r="J336" t="s">
        <v>27</v>
      </c>
      <c r="K336" t="s">
        <v>15</v>
      </c>
      <c r="L336" t="s">
        <v>20</v>
      </c>
      <c r="M336" t="s">
        <v>17</v>
      </c>
      <c r="N336" t="s">
        <v>282</v>
      </c>
      <c r="O336" t="s">
        <v>17</v>
      </c>
      <c r="P336" t="s">
        <v>1331</v>
      </c>
      <c r="Q336" t="s">
        <v>17</v>
      </c>
      <c r="R336" t="s">
        <v>30</v>
      </c>
    </row>
    <row r="337" spans="1:18" ht="15" customHeight="1" x14ac:dyDescent="0.35">
      <c r="A337" t="s">
        <v>1332</v>
      </c>
      <c r="B337">
        <v>2022</v>
      </c>
      <c r="C337" t="s">
        <v>1333</v>
      </c>
      <c r="D337" s="1" t="s">
        <v>1334</v>
      </c>
      <c r="E337" t="s">
        <v>15</v>
      </c>
      <c r="F337" t="s">
        <v>16</v>
      </c>
      <c r="G337" t="s">
        <v>15</v>
      </c>
      <c r="H337" t="s">
        <v>402</v>
      </c>
      <c r="I337" t="s">
        <v>15</v>
      </c>
      <c r="J337" t="s">
        <v>483</v>
      </c>
      <c r="K337" t="s">
        <v>15</v>
      </c>
      <c r="L337" t="s">
        <v>20</v>
      </c>
      <c r="M337" t="s">
        <v>15</v>
      </c>
      <c r="N337" t="s">
        <v>21</v>
      </c>
      <c r="O337" t="s">
        <v>17</v>
      </c>
      <c r="P337" t="s">
        <v>650</v>
      </c>
      <c r="Q337" t="s">
        <v>17</v>
      </c>
      <c r="R337" t="s">
        <v>1335</v>
      </c>
    </row>
    <row r="338" spans="1:18" s="7" customFormat="1" ht="15" customHeight="1" x14ac:dyDescent="0.35">
      <c r="A338" s="7" t="s">
        <v>1336</v>
      </c>
      <c r="B338" s="7">
        <v>2022</v>
      </c>
      <c r="C338" s="7" t="s">
        <v>1333</v>
      </c>
      <c r="D338" s="7" t="s">
        <v>624</v>
      </c>
    </row>
    <row r="339" spans="1:18" ht="15" customHeight="1" x14ac:dyDescent="0.35">
      <c r="A339" t="s">
        <v>1337</v>
      </c>
      <c r="B339">
        <v>2022</v>
      </c>
      <c r="C339" t="s">
        <v>1338</v>
      </c>
      <c r="D339" t="s">
        <v>1339</v>
      </c>
      <c r="E339" t="s">
        <v>15</v>
      </c>
      <c r="F339" t="s">
        <v>16</v>
      </c>
      <c r="G339" t="s">
        <v>15</v>
      </c>
      <c r="H339" t="s">
        <v>35</v>
      </c>
      <c r="I339" t="s">
        <v>15</v>
      </c>
      <c r="J339" t="s">
        <v>277</v>
      </c>
      <c r="K339" t="s">
        <v>15</v>
      </c>
      <c r="L339" t="s">
        <v>20</v>
      </c>
      <c r="M339" t="s">
        <v>15</v>
      </c>
      <c r="N339" t="s">
        <v>21</v>
      </c>
      <c r="O339" t="s">
        <v>15</v>
      </c>
      <c r="P339" t="s">
        <v>704</v>
      </c>
      <c r="Q339" t="s">
        <v>17</v>
      </c>
      <c r="R339" t="s">
        <v>30</v>
      </c>
    </row>
    <row r="340" spans="1:18" ht="15" customHeight="1" x14ac:dyDescent="0.35">
      <c r="A340" t="s">
        <v>1340</v>
      </c>
      <c r="B340">
        <v>2022</v>
      </c>
      <c r="C340" t="s">
        <v>1341</v>
      </c>
      <c r="D340" s="1" t="s">
        <v>1342</v>
      </c>
      <c r="E340" t="s">
        <v>15</v>
      </c>
      <c r="F340" t="s">
        <v>16</v>
      </c>
      <c r="G340" t="s">
        <v>15</v>
      </c>
      <c r="H340" t="s">
        <v>34</v>
      </c>
      <c r="I340" t="s">
        <v>15</v>
      </c>
      <c r="J340" t="s">
        <v>1343</v>
      </c>
      <c r="K340" t="s">
        <v>15</v>
      </c>
      <c r="L340" t="s">
        <v>20</v>
      </c>
      <c r="M340" t="s">
        <v>15</v>
      </c>
      <c r="N340" t="s">
        <v>21</v>
      </c>
      <c r="O340" t="s">
        <v>17</v>
      </c>
      <c r="P340" t="s">
        <v>650</v>
      </c>
      <c r="Q340" t="s">
        <v>17</v>
      </c>
      <c r="R340" t="s">
        <v>1344</v>
      </c>
    </row>
    <row r="341" spans="1:18" ht="15" customHeight="1" x14ac:dyDescent="0.35">
      <c r="A341" t="s">
        <v>1345</v>
      </c>
      <c r="B341">
        <v>2022</v>
      </c>
      <c r="C341" t="s">
        <v>1346</v>
      </c>
      <c r="D341" t="s">
        <v>1347</v>
      </c>
      <c r="E341" t="s">
        <v>15</v>
      </c>
      <c r="F341" t="s">
        <v>16</v>
      </c>
      <c r="G341" t="s">
        <v>15</v>
      </c>
      <c r="H341" t="s">
        <v>34</v>
      </c>
      <c r="I341" t="s">
        <v>15</v>
      </c>
      <c r="J341" t="s">
        <v>1343</v>
      </c>
      <c r="K341" t="s">
        <v>15</v>
      </c>
      <c r="L341" t="s">
        <v>20</v>
      </c>
      <c r="M341" t="s">
        <v>15</v>
      </c>
      <c r="N341" t="s">
        <v>21</v>
      </c>
      <c r="O341" t="s">
        <v>17</v>
      </c>
      <c r="P341" t="s">
        <v>650</v>
      </c>
      <c r="Q341" t="s">
        <v>17</v>
      </c>
      <c r="R341" t="s">
        <v>30</v>
      </c>
    </row>
    <row r="342" spans="1:18" ht="15" customHeight="1" x14ac:dyDescent="0.35">
      <c r="A342" t="s">
        <v>1348</v>
      </c>
      <c r="B342">
        <v>2022</v>
      </c>
      <c r="C342" t="s">
        <v>1349</v>
      </c>
      <c r="D342" t="s">
        <v>1350</v>
      </c>
      <c r="E342" t="s">
        <v>15</v>
      </c>
      <c r="F342" t="s">
        <v>16</v>
      </c>
      <c r="G342" t="s">
        <v>15</v>
      </c>
      <c r="H342" t="s">
        <v>34</v>
      </c>
      <c r="I342" t="s">
        <v>15</v>
      </c>
      <c r="J342" t="s">
        <v>676</v>
      </c>
      <c r="K342" t="s">
        <v>15</v>
      </c>
      <c r="L342" t="s">
        <v>20</v>
      </c>
      <c r="M342" t="s">
        <v>15</v>
      </c>
      <c r="N342" t="s">
        <v>21</v>
      </c>
      <c r="O342" t="s">
        <v>17</v>
      </c>
      <c r="P342" t="s">
        <v>1351</v>
      </c>
      <c r="Q342" t="s">
        <v>17</v>
      </c>
      <c r="R342" t="s">
        <v>30</v>
      </c>
    </row>
    <row r="343" spans="1:18" ht="15" customHeight="1" x14ac:dyDescent="0.35">
      <c r="A343" t="s">
        <v>1352</v>
      </c>
      <c r="B343">
        <v>2022</v>
      </c>
      <c r="C343" t="s">
        <v>1353</v>
      </c>
      <c r="D343" t="s">
        <v>1354</v>
      </c>
      <c r="E343" t="s">
        <v>15</v>
      </c>
      <c r="F343" t="s">
        <v>16</v>
      </c>
      <c r="G343" t="s">
        <v>15</v>
      </c>
      <c r="H343" t="s">
        <v>695</v>
      </c>
      <c r="I343" t="s">
        <v>15</v>
      </c>
      <c r="J343" t="s">
        <v>676</v>
      </c>
      <c r="K343" t="s">
        <v>15</v>
      </c>
      <c r="L343" t="s">
        <v>20</v>
      </c>
      <c r="M343" t="s">
        <v>15</v>
      </c>
      <c r="N343" t="s">
        <v>21</v>
      </c>
      <c r="O343" t="s">
        <v>15</v>
      </c>
      <c r="P343" t="s">
        <v>283</v>
      </c>
      <c r="Q343" t="s">
        <v>17</v>
      </c>
      <c r="R343" t="s">
        <v>1355</v>
      </c>
    </row>
    <row r="344" spans="1:18" ht="15" customHeight="1" x14ac:dyDescent="0.35">
      <c r="A344" t="s">
        <v>1356</v>
      </c>
      <c r="B344">
        <v>2022</v>
      </c>
      <c r="C344" t="s">
        <v>1357</v>
      </c>
      <c r="D344" t="s">
        <v>1358</v>
      </c>
      <c r="E344" t="s">
        <v>15</v>
      </c>
      <c r="F344" t="s">
        <v>16</v>
      </c>
      <c r="G344" t="s">
        <v>15</v>
      </c>
      <c r="H344" t="s">
        <v>34</v>
      </c>
      <c r="I344" t="s">
        <v>15</v>
      </c>
      <c r="J344" t="s">
        <v>483</v>
      </c>
      <c r="K344" t="s">
        <v>15</v>
      </c>
      <c r="L344" t="s">
        <v>20</v>
      </c>
      <c r="M344" t="s">
        <v>17</v>
      </c>
      <c r="N344" t="s">
        <v>525</v>
      </c>
      <c r="O344" t="s">
        <v>17</v>
      </c>
      <c r="P344" t="s">
        <v>650</v>
      </c>
      <c r="Q344" t="s">
        <v>17</v>
      </c>
      <c r="R344" t="s">
        <v>30</v>
      </c>
    </row>
    <row r="345" spans="1:18" ht="15" customHeight="1" x14ac:dyDescent="0.35">
      <c r="A345" t="s">
        <v>1359</v>
      </c>
      <c r="B345">
        <v>2022</v>
      </c>
      <c r="C345" t="s">
        <v>1360</v>
      </c>
      <c r="D345" t="s">
        <v>1361</v>
      </c>
      <c r="E345" t="s">
        <v>15</v>
      </c>
      <c r="F345" t="s">
        <v>16</v>
      </c>
      <c r="G345" t="s">
        <v>15</v>
      </c>
      <c r="H345" t="s">
        <v>34</v>
      </c>
      <c r="I345" t="s">
        <v>15</v>
      </c>
      <c r="J345" t="s">
        <v>27</v>
      </c>
      <c r="K345" t="s">
        <v>15</v>
      </c>
      <c r="L345" t="s">
        <v>20</v>
      </c>
      <c r="M345" t="s">
        <v>15</v>
      </c>
      <c r="N345" t="s">
        <v>21</v>
      </c>
      <c r="O345" t="s">
        <v>17</v>
      </c>
      <c r="P345" t="s">
        <v>650</v>
      </c>
      <c r="Q345" t="s">
        <v>17</v>
      </c>
      <c r="R345" t="s">
        <v>30</v>
      </c>
    </row>
    <row r="346" spans="1:18" ht="15" customHeight="1" x14ac:dyDescent="0.35">
      <c r="A346" t="s">
        <v>1362</v>
      </c>
      <c r="B346">
        <v>2022</v>
      </c>
      <c r="C346" t="s">
        <v>1363</v>
      </c>
      <c r="D346" t="s">
        <v>1364</v>
      </c>
      <c r="E346" t="s">
        <v>15</v>
      </c>
      <c r="F346" t="s">
        <v>16</v>
      </c>
      <c r="G346" t="s">
        <v>15</v>
      </c>
      <c r="H346" t="s">
        <v>34</v>
      </c>
      <c r="I346" t="s">
        <v>15</v>
      </c>
      <c r="J346" t="s">
        <v>902</v>
      </c>
      <c r="K346" t="s">
        <v>15</v>
      </c>
      <c r="L346" t="s">
        <v>20</v>
      </c>
      <c r="M346" t="s">
        <v>17</v>
      </c>
      <c r="N346" t="s">
        <v>525</v>
      </c>
      <c r="O346" t="s">
        <v>17</v>
      </c>
      <c r="P346" t="s">
        <v>650</v>
      </c>
      <c r="Q346" t="s">
        <v>17</v>
      </c>
      <c r="R346" t="s">
        <v>30</v>
      </c>
    </row>
    <row r="347" spans="1:18" ht="15" customHeight="1" x14ac:dyDescent="0.35">
      <c r="A347" t="s">
        <v>1365</v>
      </c>
      <c r="B347">
        <v>2022</v>
      </c>
      <c r="C347" t="s">
        <v>1366</v>
      </c>
      <c r="D347" t="s">
        <v>1367</v>
      </c>
      <c r="E347" t="s">
        <v>15</v>
      </c>
      <c r="F347" t="s">
        <v>16</v>
      </c>
      <c r="G347" t="s">
        <v>17</v>
      </c>
      <c r="H347" t="s">
        <v>188</v>
      </c>
      <c r="I347" t="s">
        <v>15</v>
      </c>
      <c r="J347" t="s">
        <v>483</v>
      </c>
      <c r="K347" t="s">
        <v>15</v>
      </c>
      <c r="L347" t="s">
        <v>20</v>
      </c>
      <c r="M347" t="s">
        <v>15</v>
      </c>
      <c r="N347" t="s">
        <v>21</v>
      </c>
      <c r="O347" t="s">
        <v>17</v>
      </c>
      <c r="P347" t="s">
        <v>650</v>
      </c>
      <c r="Q347" t="s">
        <v>17</v>
      </c>
      <c r="R347" t="s">
        <v>30</v>
      </c>
    </row>
    <row r="348" spans="1:18" ht="15" customHeight="1" x14ac:dyDescent="0.35">
      <c r="A348" t="s">
        <v>1368</v>
      </c>
      <c r="B348">
        <v>2022</v>
      </c>
      <c r="C348" t="s">
        <v>1369</v>
      </c>
      <c r="D348" t="s">
        <v>1370</v>
      </c>
      <c r="E348" t="s">
        <v>15</v>
      </c>
      <c r="F348" t="s">
        <v>16</v>
      </c>
      <c r="G348" t="s">
        <v>15</v>
      </c>
      <c r="H348" t="s">
        <v>711</v>
      </c>
      <c r="I348" t="s">
        <v>15</v>
      </c>
      <c r="J348" t="s">
        <v>483</v>
      </c>
      <c r="K348" t="s">
        <v>15</v>
      </c>
      <c r="L348" t="s">
        <v>20</v>
      </c>
      <c r="M348" t="s">
        <v>15</v>
      </c>
      <c r="N348" t="s">
        <v>21</v>
      </c>
      <c r="O348" t="s">
        <v>15</v>
      </c>
      <c r="P348" t="s">
        <v>22</v>
      </c>
      <c r="Q348" t="s">
        <v>17</v>
      </c>
      <c r="R348" t="s">
        <v>30</v>
      </c>
    </row>
    <row r="349" spans="1:18" ht="15" customHeight="1" x14ac:dyDescent="0.35">
      <c r="A349" t="s">
        <v>1371</v>
      </c>
      <c r="B349">
        <v>2022</v>
      </c>
      <c r="C349" t="s">
        <v>1372</v>
      </c>
      <c r="D349" t="s">
        <v>1373</v>
      </c>
      <c r="E349" t="s">
        <v>15</v>
      </c>
      <c r="F349" t="s">
        <v>16</v>
      </c>
      <c r="G349" t="s">
        <v>17</v>
      </c>
      <c r="H349" t="s">
        <v>1374</v>
      </c>
      <c r="I349" t="s">
        <v>15</v>
      </c>
      <c r="J349" t="s">
        <v>1269</v>
      </c>
      <c r="K349" t="s">
        <v>15</v>
      </c>
      <c r="L349" t="s">
        <v>20</v>
      </c>
      <c r="M349" t="s">
        <v>15</v>
      </c>
      <c r="N349" t="s">
        <v>21</v>
      </c>
      <c r="O349" t="s">
        <v>15</v>
      </c>
      <c r="P349" t="s">
        <v>22</v>
      </c>
      <c r="Q349" t="s">
        <v>15</v>
      </c>
      <c r="R349" t="s">
        <v>110</v>
      </c>
    </row>
    <row r="350" spans="1:18" ht="15" customHeight="1" x14ac:dyDescent="0.35">
      <c r="A350" t="s">
        <v>1375</v>
      </c>
      <c r="B350">
        <v>2022</v>
      </c>
      <c r="C350" t="s">
        <v>1376</v>
      </c>
      <c r="D350" t="s">
        <v>1377</v>
      </c>
      <c r="E350" t="s">
        <v>15</v>
      </c>
      <c r="F350" t="s">
        <v>16</v>
      </c>
      <c r="G350" t="s">
        <v>17</v>
      </c>
      <c r="H350" t="s">
        <v>1378</v>
      </c>
      <c r="I350" t="s">
        <v>15</v>
      </c>
      <c r="J350" t="s">
        <v>1379</v>
      </c>
      <c r="K350" t="s">
        <v>17</v>
      </c>
      <c r="L350" t="s">
        <v>162</v>
      </c>
      <c r="M350" t="s">
        <v>17</v>
      </c>
      <c r="N350" t="s">
        <v>204</v>
      </c>
      <c r="O350" t="s">
        <v>17</v>
      </c>
      <c r="P350" t="s">
        <v>650</v>
      </c>
      <c r="Q350" t="s">
        <v>17</v>
      </c>
      <c r="R350" t="s">
        <v>336</v>
      </c>
    </row>
    <row r="351" spans="1:18" ht="15" customHeight="1" x14ac:dyDescent="0.35">
      <c r="A351" t="s">
        <v>1380</v>
      </c>
      <c r="B351">
        <v>2022</v>
      </c>
      <c r="C351" t="s">
        <v>1381</v>
      </c>
      <c r="D351" t="s">
        <v>624</v>
      </c>
      <c r="E351" t="s">
        <v>15</v>
      </c>
      <c r="F351" t="s">
        <v>16</v>
      </c>
      <c r="G351" t="s">
        <v>15</v>
      </c>
      <c r="H351" t="s">
        <v>1382</v>
      </c>
      <c r="I351" t="s">
        <v>15</v>
      </c>
      <c r="J351" t="s">
        <v>1383</v>
      </c>
      <c r="K351" t="s">
        <v>17</v>
      </c>
      <c r="L351" t="s">
        <v>162</v>
      </c>
      <c r="M351" t="s">
        <v>17</v>
      </c>
      <c r="N351" t="s">
        <v>204</v>
      </c>
      <c r="O351" t="s">
        <v>15</v>
      </c>
      <c r="P351" t="s">
        <v>298</v>
      </c>
      <c r="Q351" t="s">
        <v>17</v>
      </c>
      <c r="R351" t="s">
        <v>336</v>
      </c>
    </row>
    <row r="352" spans="1:18" ht="15" customHeight="1" x14ac:dyDescent="0.35">
      <c r="A352" t="s">
        <v>1384</v>
      </c>
      <c r="B352">
        <v>2022</v>
      </c>
      <c r="C352" t="s">
        <v>1385</v>
      </c>
      <c r="D352" t="s">
        <v>1386</v>
      </c>
      <c r="E352" t="s">
        <v>15</v>
      </c>
      <c r="F352" t="s">
        <v>16</v>
      </c>
      <c r="G352" t="s">
        <v>17</v>
      </c>
      <c r="H352" t="s">
        <v>188</v>
      </c>
      <c r="I352" t="s">
        <v>15</v>
      </c>
      <c r="J352" t="s">
        <v>49</v>
      </c>
      <c r="K352" t="s">
        <v>15</v>
      </c>
      <c r="L352" t="s">
        <v>20</v>
      </c>
      <c r="M352" t="s">
        <v>17</v>
      </c>
      <c r="N352" t="s">
        <v>184</v>
      </c>
      <c r="O352" t="s">
        <v>17</v>
      </c>
      <c r="P352" t="s">
        <v>650</v>
      </c>
      <c r="Q352" t="s">
        <v>17</v>
      </c>
      <c r="R352" t="s">
        <v>30</v>
      </c>
    </row>
    <row r="353" spans="1:18" ht="15" customHeight="1" x14ac:dyDescent="0.35">
      <c r="A353" t="s">
        <v>1387</v>
      </c>
      <c r="B353">
        <v>2022</v>
      </c>
      <c r="C353" t="s">
        <v>1388</v>
      </c>
      <c r="D353" t="s">
        <v>1389</v>
      </c>
      <c r="E353" t="s">
        <v>15</v>
      </c>
      <c r="F353" t="s">
        <v>16</v>
      </c>
      <c r="G353" t="s">
        <v>17</v>
      </c>
      <c r="H353" t="s">
        <v>188</v>
      </c>
      <c r="I353" t="s">
        <v>17</v>
      </c>
      <c r="J353" t="s">
        <v>1390</v>
      </c>
      <c r="K353" t="s">
        <v>15</v>
      </c>
      <c r="L353" t="s">
        <v>20</v>
      </c>
      <c r="M353" t="s">
        <v>15</v>
      </c>
      <c r="N353" t="s">
        <v>21</v>
      </c>
      <c r="O353" t="s">
        <v>15</v>
      </c>
      <c r="P353" t="s">
        <v>22</v>
      </c>
      <c r="Q353" t="s">
        <v>17</v>
      </c>
      <c r="R353" t="s">
        <v>30</v>
      </c>
    </row>
    <row r="354" spans="1:18" ht="15" customHeight="1" x14ac:dyDescent="0.35">
      <c r="A354" t="s">
        <v>1391</v>
      </c>
      <c r="B354">
        <v>2022</v>
      </c>
      <c r="C354" t="s">
        <v>1392</v>
      </c>
      <c r="D354" t="s">
        <v>1393</v>
      </c>
      <c r="E354" t="s">
        <v>15</v>
      </c>
      <c r="F354" t="s">
        <v>16</v>
      </c>
      <c r="G354" t="s">
        <v>15</v>
      </c>
      <c r="H354" t="s">
        <v>39</v>
      </c>
      <c r="I354" t="s">
        <v>15</v>
      </c>
      <c r="J354" t="s">
        <v>1269</v>
      </c>
      <c r="K354" t="s">
        <v>15</v>
      </c>
      <c r="L354" t="s">
        <v>20</v>
      </c>
      <c r="M354" t="s">
        <v>17</v>
      </c>
      <c r="N354" t="s">
        <v>282</v>
      </c>
      <c r="O354" t="s">
        <v>15</v>
      </c>
      <c r="P354" t="s">
        <v>22</v>
      </c>
      <c r="Q354" t="s">
        <v>17</v>
      </c>
      <c r="R354" t="s">
        <v>30</v>
      </c>
    </row>
    <row r="355" spans="1:18" ht="15" customHeight="1" x14ac:dyDescent="0.35">
      <c r="A355" t="s">
        <v>1394</v>
      </c>
      <c r="B355">
        <v>2022</v>
      </c>
      <c r="C355" t="s">
        <v>1395</v>
      </c>
      <c r="D355" t="s">
        <v>1396</v>
      </c>
      <c r="E355" t="s">
        <v>15</v>
      </c>
      <c r="F355" t="s">
        <v>16</v>
      </c>
      <c r="G355" t="s">
        <v>15</v>
      </c>
      <c r="H355" t="s">
        <v>39</v>
      </c>
      <c r="I355" t="s">
        <v>15</v>
      </c>
      <c r="J355" t="s">
        <v>1269</v>
      </c>
      <c r="K355" t="s">
        <v>15</v>
      </c>
      <c r="L355" t="s">
        <v>20</v>
      </c>
      <c r="M355" t="s">
        <v>15</v>
      </c>
      <c r="N355" t="s">
        <v>21</v>
      </c>
      <c r="O355" t="s">
        <v>15</v>
      </c>
      <c r="P355" t="s">
        <v>22</v>
      </c>
      <c r="Q355" t="s">
        <v>17</v>
      </c>
      <c r="R355" t="s">
        <v>30</v>
      </c>
    </row>
    <row r="356" spans="1:18" ht="15" customHeight="1" x14ac:dyDescent="0.35">
      <c r="A356" t="s">
        <v>1397</v>
      </c>
      <c r="B356">
        <v>2022</v>
      </c>
      <c r="C356" t="s">
        <v>1398</v>
      </c>
      <c r="D356" t="s">
        <v>1399</v>
      </c>
      <c r="E356" t="s">
        <v>15</v>
      </c>
      <c r="F356" t="s">
        <v>16</v>
      </c>
      <c r="G356" t="s">
        <v>15</v>
      </c>
      <c r="H356" t="s">
        <v>34</v>
      </c>
      <c r="I356" t="s">
        <v>15</v>
      </c>
      <c r="J356" t="s">
        <v>902</v>
      </c>
      <c r="K356" t="s">
        <v>15</v>
      </c>
      <c r="L356" t="s">
        <v>20</v>
      </c>
      <c r="M356" t="s">
        <v>15</v>
      </c>
      <c r="N356" t="s">
        <v>21</v>
      </c>
      <c r="O356" t="s">
        <v>17</v>
      </c>
      <c r="P356" t="s">
        <v>913</v>
      </c>
      <c r="Q356" t="s">
        <v>17</v>
      </c>
      <c r="R356" t="s">
        <v>30</v>
      </c>
    </row>
    <row r="357" spans="1:18" s="7" customFormat="1" ht="15" customHeight="1" x14ac:dyDescent="0.35">
      <c r="A357" s="7" t="s">
        <v>1400</v>
      </c>
      <c r="B357" s="7">
        <v>2022</v>
      </c>
      <c r="C357" s="7" t="s">
        <v>1401</v>
      </c>
      <c r="D357" s="12" t="s">
        <v>1402</v>
      </c>
    </row>
    <row r="358" spans="1:18" ht="15" customHeight="1" x14ac:dyDescent="0.35">
      <c r="A358" t="s">
        <v>1403</v>
      </c>
      <c r="B358">
        <v>2022</v>
      </c>
      <c r="C358" t="s">
        <v>1404</v>
      </c>
      <c r="D358" t="s">
        <v>1405</v>
      </c>
      <c r="E358" t="s">
        <v>15</v>
      </c>
      <c r="F358" t="s">
        <v>16</v>
      </c>
      <c r="G358" t="s">
        <v>15</v>
      </c>
      <c r="H358" t="s">
        <v>519</v>
      </c>
      <c r="I358" t="s">
        <v>15</v>
      </c>
      <c r="J358" t="s">
        <v>1406</v>
      </c>
      <c r="K358" t="s">
        <v>15</v>
      </c>
      <c r="L358" t="s">
        <v>20</v>
      </c>
      <c r="M358" t="s">
        <v>17</v>
      </c>
      <c r="N358" t="s">
        <v>282</v>
      </c>
      <c r="O358" t="s">
        <v>17</v>
      </c>
      <c r="P358" t="s">
        <v>650</v>
      </c>
      <c r="Q358" t="s">
        <v>17</v>
      </c>
      <c r="R358" t="s">
        <v>30</v>
      </c>
    </row>
    <row r="359" spans="1:18" s="7" customFormat="1" ht="15" customHeight="1" x14ac:dyDescent="0.35">
      <c r="A359" s="7" t="s">
        <v>1407</v>
      </c>
      <c r="B359" s="7">
        <v>2022</v>
      </c>
      <c r="C359" s="7" t="s">
        <v>1404</v>
      </c>
      <c r="D359" s="7" t="s">
        <v>1405</v>
      </c>
    </row>
    <row r="360" spans="1:18" ht="15" customHeight="1" x14ac:dyDescent="0.35">
      <c r="A360" t="s">
        <v>1408</v>
      </c>
      <c r="B360">
        <v>2022</v>
      </c>
      <c r="C360" t="s">
        <v>1409</v>
      </c>
      <c r="D360" t="s">
        <v>1410</v>
      </c>
      <c r="E360" t="s">
        <v>15</v>
      </c>
      <c r="F360" t="s">
        <v>16</v>
      </c>
      <c r="G360" t="s">
        <v>15</v>
      </c>
      <c r="H360" t="s">
        <v>34</v>
      </c>
      <c r="I360" t="s">
        <v>15</v>
      </c>
      <c r="J360" t="s">
        <v>574</v>
      </c>
      <c r="K360" t="s">
        <v>15</v>
      </c>
      <c r="L360" t="s">
        <v>20</v>
      </c>
      <c r="M360" t="s">
        <v>15</v>
      </c>
      <c r="N360" t="s">
        <v>21</v>
      </c>
      <c r="O360" t="s">
        <v>15</v>
      </c>
      <c r="P360" t="s">
        <v>1411</v>
      </c>
      <c r="Q360" t="s">
        <v>17</v>
      </c>
      <c r="R360" t="s">
        <v>30</v>
      </c>
    </row>
    <row r="361" spans="1:18" ht="15" customHeight="1" x14ac:dyDescent="0.35">
      <c r="A361" t="s">
        <v>1412</v>
      </c>
      <c r="B361">
        <v>2022</v>
      </c>
      <c r="C361" t="s">
        <v>1413</v>
      </c>
      <c r="D361" t="s">
        <v>1414</v>
      </c>
      <c r="E361" t="s">
        <v>15</v>
      </c>
      <c r="F361" t="s">
        <v>16</v>
      </c>
      <c r="G361" t="s">
        <v>15</v>
      </c>
      <c r="H361" t="s">
        <v>39</v>
      </c>
      <c r="I361" t="s">
        <v>15</v>
      </c>
      <c r="J361" s="13" t="s">
        <v>49</v>
      </c>
      <c r="K361" t="s">
        <v>15</v>
      </c>
      <c r="L361" s="13" t="s">
        <v>20</v>
      </c>
      <c r="M361" t="s">
        <v>15</v>
      </c>
      <c r="N361" s="13" t="s">
        <v>21</v>
      </c>
      <c r="O361" t="s">
        <v>17</v>
      </c>
      <c r="P361" s="7" t="s">
        <v>650</v>
      </c>
      <c r="Q361" t="s">
        <v>17</v>
      </c>
      <c r="R361" t="s">
        <v>30</v>
      </c>
    </row>
    <row r="362" spans="1:18" ht="15" customHeight="1" x14ac:dyDescent="0.35">
      <c r="A362" t="s">
        <v>1415</v>
      </c>
      <c r="B362">
        <v>2022</v>
      </c>
      <c r="C362" t="s">
        <v>1416</v>
      </c>
      <c r="D362" t="s">
        <v>1417</v>
      </c>
      <c r="E362" t="s">
        <v>15</v>
      </c>
      <c r="F362" t="s">
        <v>16</v>
      </c>
      <c r="G362" t="s">
        <v>17</v>
      </c>
      <c r="H362" t="s">
        <v>188</v>
      </c>
      <c r="I362" t="s">
        <v>15</v>
      </c>
      <c r="J362" t="s">
        <v>1418</v>
      </c>
      <c r="K362" t="s">
        <v>15</v>
      </c>
      <c r="L362" t="s">
        <v>20</v>
      </c>
      <c r="M362" t="s">
        <v>15</v>
      </c>
      <c r="N362" t="s">
        <v>21</v>
      </c>
      <c r="O362" t="s">
        <v>15</v>
      </c>
      <c r="P362" t="s">
        <v>22</v>
      </c>
      <c r="Q362" t="s">
        <v>15</v>
      </c>
      <c r="R362" t="s">
        <v>110</v>
      </c>
    </row>
  </sheetData>
  <conditionalFormatting sqref="F50:F81 H50:H81 J50:J81 L50:L81 F83:F123 H83:H123 J83:J123 L83:L123 N83:N123 J125:J167 F125:F180 H125:H180 L125:L180 N125:N180 J169:J180 F182:F183 H182:H183 J182:J183 L182:L183 N182:N183 F185:F197 H185:H197 J185:J197 L185:L197 N185:N197 F199:F203 H199:H203 J199:J203 L199:L203 N199:N203 F205:F268 H205:H268 J205:J268 L205:L268 N205:N268 N270:N271 J270:J276 F270:F278 H270:H278 L270:L278 N274:N278 J278 F280:F307 H280:H307 J280:J307 L280:L307 N280:N307 R295:S295 H309:H313 J309:J313 L309:L313 N309:N313 F309:F337 H315:H337 J315:J337 L315:L337 N315:N337 N339:N340 F339:F356 H339:H356 J339:J356 L339:L356 N342:N356 F358 H358 J358 L358 N358 J360 L360 N360 F360:F362 H360:H362 J362 L362 N362 P49:P81 R49:R81 P83:P123 R83:R123 P125:P180 R125:R180 P182:P183 R182:R183 P185:P197 R185:R197 P199:P203 R199:R203 P205:P268 R205:R268 P270:P278 R270:R278 R280:R294 P280:P307 R296:R307 P309:P313 R309:R313 P315:P337 R315:R337 P339:P356 R339:R356 P358 R358 P360 R360 P362 E1:E1048576 G1:G1048576 I1:I1048576 K1:K1048576 O1:O1048576 Q1:Q1048576">
    <cfRule type="containsText" dxfId="7" priority="8" operator="containsText" text="Include">
      <formula>NOT(ISERROR(SEARCH("Include",E1)))</formula>
    </cfRule>
  </conditionalFormatting>
  <conditionalFormatting sqref="F50:F81 H50:H81 J50:J81 L50:L81 F83:F123 H83:H123 J83:J123 L83:L123 N83:N123 J125:J167 F125:F180 H125:H180 L125:L180 N125:N180 J169:J180 F182:F183 H182:H183 J182:J183 L182:L183 N182:N183 F185:F197 H185:H197 J185:J197 L185:L197 N185:N197 F199:F203 H199:H203 J199:J203 L199:L203 N199:N203 F205:F268 H205:H268 J205:J268 L205:L268 N205:N268 N270:N271 J270:J276 F270:F278 H270:H278 L270:L278 N274:N278 J278 F280:F307 H280:H307 J280:J307 L280:L307 N280:N307 S295 H309:H313 J309:J313 L309:L313 N309:N313 F309:F337 H315:H337 J315:J337 L315:L337 N315:N337 N339:N340 F339:F356 H339:H356 J339:J356 L339:L356 N342:N356 F358 H358 J358 L358 N358 J360 L360 N360 F360:F362 H360:H362 J362 L362 N362 E1:E1048576 G1:G1048576 I1:I1048576 K1:K1048576 O1:O1048576 Q1:Q1048576">
    <cfRule type="containsText" dxfId="6" priority="7" operator="containsText" text="Exclude">
      <formula>NOT(ISERROR(SEARCH("Exclude",E1)))</formula>
    </cfRule>
  </conditionalFormatting>
  <conditionalFormatting sqref="N2:N13 N15:N34 N36:N81 M1:M362">
    <cfRule type="containsText" dxfId="5" priority="1" operator="containsText" text="Exclude">
      <formula>NOT(ISERROR(SEARCH("Exclude",M1)))</formula>
    </cfRule>
    <cfRule type="containsText" dxfId="4" priority="2" operator="containsText" text="Include">
      <formula>NOT(ISERROR(SEARCH("Include",M1)))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8975E77-F4B7-417F-9574-0EE5A1EFB7EF}">
          <x14:formula1>
            <xm:f>Sheet1!$A$2:$A$3</xm:f>
          </x14:formula1>
          <xm:sqref>E2:E362 G2:G362 I2:I362 K2:K362 O2:O362 Q2:Q362 M2:M362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2C7CD-DDE4-4F3D-BB61-6C7AFC5B17C2}">
  <dimension ref="A2:A3"/>
  <sheetViews>
    <sheetView workbookViewId="0">
      <selection activeCell="A3" sqref="A3"/>
    </sheetView>
  </sheetViews>
  <sheetFormatPr defaultRowHeight="14.5" x14ac:dyDescent="0.35"/>
  <sheetData>
    <row r="2" spans="1:1" x14ac:dyDescent="0.35">
      <c r="A2" t="s">
        <v>15</v>
      </c>
    </row>
    <row r="3" spans="1:1" x14ac:dyDescent="0.35">
      <c r="A3"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17656-5773-4BFB-B624-2ABCE6B68ED8}">
  <dimension ref="A1:H54"/>
  <sheetViews>
    <sheetView workbookViewId="0">
      <selection activeCell="H54" sqref="A1:H54"/>
    </sheetView>
  </sheetViews>
  <sheetFormatPr defaultRowHeight="14.5" x14ac:dyDescent="0.35"/>
  <cols>
    <col min="4" max="4" width="10.453125" customWidth="1"/>
  </cols>
  <sheetData>
    <row r="1" spans="1:8" x14ac:dyDescent="0.35">
      <c r="B1" t="s">
        <v>4</v>
      </c>
      <c r="C1" t="s">
        <v>5</v>
      </c>
      <c r="D1" t="s">
        <v>6</v>
      </c>
      <c r="E1" t="s">
        <v>7</v>
      </c>
      <c r="F1" t="s">
        <v>1419</v>
      </c>
      <c r="G1" t="s">
        <v>8</v>
      </c>
      <c r="H1" t="s">
        <v>9</v>
      </c>
    </row>
    <row r="2" spans="1:8" x14ac:dyDescent="0.35">
      <c r="A2">
        <v>1</v>
      </c>
      <c r="B2" t="s">
        <v>15</v>
      </c>
      <c r="C2" t="s">
        <v>17</v>
      </c>
      <c r="D2" t="s">
        <v>15</v>
      </c>
      <c r="E2" t="s">
        <v>15</v>
      </c>
      <c r="F2" t="s">
        <v>15</v>
      </c>
      <c r="G2" t="s">
        <v>15</v>
      </c>
      <c r="H2" t="s">
        <v>15</v>
      </c>
    </row>
    <row r="3" spans="1:8" x14ac:dyDescent="0.35">
      <c r="A3">
        <v>2</v>
      </c>
      <c r="B3" t="s">
        <v>15</v>
      </c>
      <c r="C3" t="s">
        <v>17</v>
      </c>
      <c r="D3" t="s">
        <v>15</v>
      </c>
      <c r="E3" t="s">
        <v>15</v>
      </c>
      <c r="F3" t="s">
        <v>17</v>
      </c>
      <c r="G3" t="s">
        <v>17</v>
      </c>
      <c r="H3" t="s">
        <v>17</v>
      </c>
    </row>
    <row r="4" spans="1:8" x14ac:dyDescent="0.35">
      <c r="A4">
        <v>3</v>
      </c>
      <c r="B4" t="s">
        <v>15</v>
      </c>
      <c r="C4" t="s">
        <v>15</v>
      </c>
      <c r="D4" t="s">
        <v>15</v>
      </c>
      <c r="E4" t="s">
        <v>15</v>
      </c>
      <c r="F4" t="s">
        <v>15</v>
      </c>
      <c r="G4" t="s">
        <v>17</v>
      </c>
      <c r="H4" t="s">
        <v>17</v>
      </c>
    </row>
    <row r="5" spans="1:8" x14ac:dyDescent="0.35">
      <c r="A5">
        <v>4</v>
      </c>
      <c r="B5" t="s">
        <v>15</v>
      </c>
      <c r="C5" t="s">
        <v>15</v>
      </c>
      <c r="D5" t="s">
        <v>15</v>
      </c>
      <c r="E5" t="s">
        <v>15</v>
      </c>
      <c r="F5" t="s">
        <v>17</v>
      </c>
      <c r="G5" t="s">
        <v>15</v>
      </c>
      <c r="H5" t="s">
        <v>17</v>
      </c>
    </row>
    <row r="6" spans="1:8" x14ac:dyDescent="0.35">
      <c r="A6">
        <v>5</v>
      </c>
      <c r="B6" t="s">
        <v>15</v>
      </c>
      <c r="C6" t="s">
        <v>15</v>
      </c>
      <c r="D6" t="s">
        <v>15</v>
      </c>
      <c r="E6" t="s">
        <v>15</v>
      </c>
      <c r="F6" t="s">
        <v>15</v>
      </c>
      <c r="G6" t="s">
        <v>15</v>
      </c>
      <c r="H6" t="s">
        <v>15</v>
      </c>
    </row>
    <row r="7" spans="1:8" x14ac:dyDescent="0.35">
      <c r="A7">
        <v>6</v>
      </c>
      <c r="B7" t="s">
        <v>15</v>
      </c>
      <c r="C7" t="s">
        <v>15</v>
      </c>
      <c r="D7" t="s">
        <v>15</v>
      </c>
      <c r="E7" t="s">
        <v>15</v>
      </c>
      <c r="F7" t="s">
        <v>17</v>
      </c>
      <c r="G7" t="s">
        <v>15</v>
      </c>
      <c r="H7" t="s">
        <v>17</v>
      </c>
    </row>
    <row r="8" spans="1:8" x14ac:dyDescent="0.35">
      <c r="A8">
        <v>7</v>
      </c>
      <c r="B8" t="s">
        <v>15</v>
      </c>
      <c r="C8" t="s">
        <v>15</v>
      </c>
      <c r="D8" t="s">
        <v>15</v>
      </c>
      <c r="E8" t="s">
        <v>15</v>
      </c>
      <c r="F8" t="s">
        <v>17</v>
      </c>
      <c r="G8" t="s">
        <v>15</v>
      </c>
      <c r="H8" t="s">
        <v>17</v>
      </c>
    </row>
    <row r="9" spans="1:8" x14ac:dyDescent="0.35">
      <c r="A9">
        <v>8</v>
      </c>
      <c r="B9" t="s">
        <v>15</v>
      </c>
      <c r="C9" t="s">
        <v>17</v>
      </c>
      <c r="D9" t="s">
        <v>15</v>
      </c>
      <c r="E9" t="s">
        <v>15</v>
      </c>
      <c r="F9" t="s">
        <v>17</v>
      </c>
      <c r="G9" t="s">
        <v>15</v>
      </c>
      <c r="H9" t="s">
        <v>17</v>
      </c>
    </row>
    <row r="10" spans="1:8" x14ac:dyDescent="0.35">
      <c r="A10">
        <v>9</v>
      </c>
      <c r="B10" t="s">
        <v>15</v>
      </c>
      <c r="C10" t="s">
        <v>15</v>
      </c>
      <c r="D10" t="s">
        <v>15</v>
      </c>
      <c r="E10" t="s">
        <v>15</v>
      </c>
      <c r="F10" t="s">
        <v>15</v>
      </c>
      <c r="G10" t="s">
        <v>15</v>
      </c>
      <c r="H10" t="s">
        <v>17</v>
      </c>
    </row>
    <row r="11" spans="1:8" x14ac:dyDescent="0.35">
      <c r="A11">
        <v>10</v>
      </c>
      <c r="B11" t="s">
        <v>15</v>
      </c>
      <c r="C11" t="s">
        <v>15</v>
      </c>
      <c r="D11" t="s">
        <v>15</v>
      </c>
      <c r="E11" t="s">
        <v>15</v>
      </c>
      <c r="F11" t="s">
        <v>17</v>
      </c>
      <c r="G11" t="s">
        <v>15</v>
      </c>
      <c r="H11" t="s">
        <v>17</v>
      </c>
    </row>
    <row r="12" spans="1:8" x14ac:dyDescent="0.35">
      <c r="A12">
        <v>11</v>
      </c>
      <c r="B12" t="s">
        <v>15</v>
      </c>
      <c r="C12" t="s">
        <v>17</v>
      </c>
      <c r="D12" t="s">
        <v>15</v>
      </c>
      <c r="E12" t="s">
        <v>15</v>
      </c>
      <c r="F12" t="s">
        <v>15</v>
      </c>
      <c r="G12" t="s">
        <v>17</v>
      </c>
      <c r="H12" t="s">
        <v>15</v>
      </c>
    </row>
    <row r="13" spans="1:8" x14ac:dyDescent="0.35">
      <c r="A13">
        <v>12</v>
      </c>
      <c r="B13" t="s">
        <v>15</v>
      </c>
      <c r="C13" t="s">
        <v>15</v>
      </c>
      <c r="D13" t="s">
        <v>15</v>
      </c>
      <c r="E13" t="s">
        <v>15</v>
      </c>
      <c r="F13" t="s">
        <v>17</v>
      </c>
      <c r="G13" t="s">
        <v>17</v>
      </c>
      <c r="H13" t="s">
        <v>17</v>
      </c>
    </row>
    <row r="14" spans="1:8" x14ac:dyDescent="0.35">
      <c r="A14">
        <v>13</v>
      </c>
      <c r="B14" t="s">
        <v>15</v>
      </c>
      <c r="C14" t="s">
        <v>15</v>
      </c>
      <c r="D14" t="s">
        <v>15</v>
      </c>
      <c r="E14" t="s">
        <v>15</v>
      </c>
      <c r="F14" t="s">
        <v>15</v>
      </c>
      <c r="G14" t="s">
        <v>17</v>
      </c>
      <c r="H14" t="s">
        <v>17</v>
      </c>
    </row>
    <row r="15" spans="1:8" x14ac:dyDescent="0.35">
      <c r="A15">
        <v>14</v>
      </c>
      <c r="B15" t="s">
        <v>15</v>
      </c>
      <c r="C15" t="s">
        <v>15</v>
      </c>
      <c r="D15" t="s">
        <v>15</v>
      </c>
      <c r="E15" t="s">
        <v>15</v>
      </c>
      <c r="F15" t="s">
        <v>17</v>
      </c>
      <c r="G15" t="s">
        <v>17</v>
      </c>
      <c r="H15" t="s">
        <v>17</v>
      </c>
    </row>
    <row r="16" spans="1:8" x14ac:dyDescent="0.35">
      <c r="A16">
        <v>15</v>
      </c>
      <c r="B16" t="s">
        <v>15</v>
      </c>
      <c r="C16" t="s">
        <v>15</v>
      </c>
      <c r="D16" t="s">
        <v>15</v>
      </c>
      <c r="E16" t="s">
        <v>15</v>
      </c>
      <c r="F16" t="s">
        <v>15</v>
      </c>
      <c r="G16" t="s">
        <v>15</v>
      </c>
      <c r="H16" t="s">
        <v>15</v>
      </c>
    </row>
    <row r="17" spans="1:8" x14ac:dyDescent="0.35">
      <c r="A17">
        <v>16</v>
      </c>
      <c r="B17" t="s">
        <v>15</v>
      </c>
      <c r="C17" t="s">
        <v>15</v>
      </c>
      <c r="D17" t="s">
        <v>15</v>
      </c>
      <c r="E17" t="s">
        <v>15</v>
      </c>
      <c r="F17" t="s">
        <v>17</v>
      </c>
      <c r="G17" t="s">
        <v>15</v>
      </c>
      <c r="H17" t="s">
        <v>17</v>
      </c>
    </row>
    <row r="18" spans="1:8" x14ac:dyDescent="0.35">
      <c r="A18">
        <v>17</v>
      </c>
      <c r="B18" t="s">
        <v>15</v>
      </c>
      <c r="C18" t="s">
        <v>17</v>
      </c>
      <c r="D18" t="s">
        <v>15</v>
      </c>
      <c r="E18" t="s">
        <v>15</v>
      </c>
      <c r="F18" t="s">
        <v>17</v>
      </c>
      <c r="G18" t="s">
        <v>17</v>
      </c>
      <c r="H18" t="s">
        <v>17</v>
      </c>
    </row>
    <row r="19" spans="1:8" x14ac:dyDescent="0.35">
      <c r="A19">
        <v>18</v>
      </c>
      <c r="B19" t="s">
        <v>15</v>
      </c>
      <c r="C19" t="s">
        <v>17</v>
      </c>
      <c r="D19" t="s">
        <v>15</v>
      </c>
      <c r="E19" t="s">
        <v>15</v>
      </c>
      <c r="F19" t="s">
        <v>17</v>
      </c>
      <c r="G19" t="s">
        <v>17</v>
      </c>
      <c r="H19" t="s">
        <v>17</v>
      </c>
    </row>
    <row r="20" spans="1:8" x14ac:dyDescent="0.35">
      <c r="A20">
        <v>19</v>
      </c>
      <c r="B20" t="s">
        <v>15</v>
      </c>
      <c r="C20" t="s">
        <v>17</v>
      </c>
      <c r="D20" t="s">
        <v>15</v>
      </c>
      <c r="E20" t="s">
        <v>15</v>
      </c>
      <c r="F20" t="s">
        <v>15</v>
      </c>
      <c r="G20" t="s">
        <v>17</v>
      </c>
      <c r="H20" t="s">
        <v>17</v>
      </c>
    </row>
    <row r="21" spans="1:8" x14ac:dyDescent="0.35">
      <c r="A21">
        <v>20</v>
      </c>
      <c r="B21" t="s">
        <v>15</v>
      </c>
      <c r="C21" t="s">
        <v>15</v>
      </c>
      <c r="D21" t="s">
        <v>15</v>
      </c>
      <c r="E21" t="s">
        <v>15</v>
      </c>
      <c r="F21" t="s">
        <v>15</v>
      </c>
      <c r="G21" t="s">
        <v>17</v>
      </c>
      <c r="H21" t="s">
        <v>15</v>
      </c>
    </row>
    <row r="22" spans="1:8" x14ac:dyDescent="0.35">
      <c r="A22">
        <v>21</v>
      </c>
      <c r="B22" t="s">
        <v>15</v>
      </c>
      <c r="C22" t="s">
        <v>15</v>
      </c>
      <c r="D22" t="s">
        <v>15</v>
      </c>
      <c r="E22" t="s">
        <v>15</v>
      </c>
      <c r="F22" t="s">
        <v>17</v>
      </c>
      <c r="G22" t="s">
        <v>15</v>
      </c>
      <c r="H22" t="s">
        <v>17</v>
      </c>
    </row>
    <row r="23" spans="1:8" x14ac:dyDescent="0.35">
      <c r="A23">
        <v>22</v>
      </c>
      <c r="B23" t="s">
        <v>15</v>
      </c>
      <c r="C23" t="s">
        <v>15</v>
      </c>
      <c r="D23" t="s">
        <v>15</v>
      </c>
      <c r="E23" t="s">
        <v>15</v>
      </c>
      <c r="F23" t="s">
        <v>15</v>
      </c>
      <c r="G23" t="s">
        <v>17</v>
      </c>
      <c r="H23" t="s">
        <v>17</v>
      </c>
    </row>
    <row r="24" spans="1:8" x14ac:dyDescent="0.35">
      <c r="A24">
        <v>23</v>
      </c>
      <c r="B24" t="s">
        <v>15</v>
      </c>
      <c r="C24" t="s">
        <v>15</v>
      </c>
      <c r="D24" t="s">
        <v>15</v>
      </c>
      <c r="E24" t="s">
        <v>15</v>
      </c>
      <c r="F24" t="s">
        <v>17</v>
      </c>
      <c r="G24" t="s">
        <v>15</v>
      </c>
      <c r="H24" t="s">
        <v>17</v>
      </c>
    </row>
    <row r="25" spans="1:8" x14ac:dyDescent="0.35">
      <c r="A25">
        <v>24</v>
      </c>
      <c r="B25" t="s">
        <v>15</v>
      </c>
      <c r="C25" t="s">
        <v>15</v>
      </c>
      <c r="D25" t="s">
        <v>15</v>
      </c>
      <c r="E25" t="s">
        <v>15</v>
      </c>
      <c r="F25" t="s">
        <v>17</v>
      </c>
      <c r="G25" t="s">
        <v>15</v>
      </c>
      <c r="H25" t="s">
        <v>17</v>
      </c>
    </row>
    <row r="26" spans="1:8" x14ac:dyDescent="0.35">
      <c r="A26">
        <v>25</v>
      </c>
      <c r="B26" t="s">
        <v>15</v>
      </c>
      <c r="C26" t="s">
        <v>15</v>
      </c>
      <c r="D26" t="s">
        <v>15</v>
      </c>
      <c r="E26" t="s">
        <v>15</v>
      </c>
      <c r="F26" t="s">
        <v>17</v>
      </c>
      <c r="G26" t="s">
        <v>15</v>
      </c>
      <c r="H26" t="s">
        <v>17</v>
      </c>
    </row>
    <row r="27" spans="1:8" x14ac:dyDescent="0.35">
      <c r="A27">
        <v>26</v>
      </c>
      <c r="B27" t="s">
        <v>15</v>
      </c>
      <c r="C27" t="s">
        <v>17</v>
      </c>
      <c r="D27" t="s">
        <v>17</v>
      </c>
      <c r="E27" t="s">
        <v>15</v>
      </c>
      <c r="F27" t="s">
        <v>17</v>
      </c>
      <c r="G27" t="s">
        <v>15</v>
      </c>
      <c r="H27" t="s">
        <v>17</v>
      </c>
    </row>
    <row r="28" spans="1:8" x14ac:dyDescent="0.35">
      <c r="A28">
        <v>27</v>
      </c>
      <c r="B28" t="s">
        <v>15</v>
      </c>
      <c r="C28" t="s">
        <v>15</v>
      </c>
      <c r="D28" t="s">
        <v>15</v>
      </c>
      <c r="E28" t="s">
        <v>15</v>
      </c>
      <c r="F28" t="s">
        <v>17</v>
      </c>
      <c r="G28" t="s">
        <v>17</v>
      </c>
      <c r="H28" t="s">
        <v>17</v>
      </c>
    </row>
    <row r="29" spans="1:8" x14ac:dyDescent="0.35">
      <c r="A29">
        <v>28</v>
      </c>
      <c r="B29" t="s">
        <v>15</v>
      </c>
      <c r="C29" t="s">
        <v>15</v>
      </c>
      <c r="D29" t="s">
        <v>15</v>
      </c>
      <c r="E29" t="s">
        <v>15</v>
      </c>
      <c r="F29" t="s">
        <v>17</v>
      </c>
      <c r="G29" t="s">
        <v>17</v>
      </c>
      <c r="H29" t="s">
        <v>17</v>
      </c>
    </row>
    <row r="30" spans="1:8" x14ac:dyDescent="0.35">
      <c r="A30">
        <v>29</v>
      </c>
      <c r="B30" t="s">
        <v>15</v>
      </c>
      <c r="C30" t="s">
        <v>15</v>
      </c>
      <c r="D30" t="s">
        <v>15</v>
      </c>
      <c r="E30" t="s">
        <v>15</v>
      </c>
      <c r="F30" t="s">
        <v>17</v>
      </c>
      <c r="G30" t="s">
        <v>17</v>
      </c>
      <c r="H30" t="s">
        <v>17</v>
      </c>
    </row>
    <row r="31" spans="1:8" x14ac:dyDescent="0.35">
      <c r="A31">
        <v>30</v>
      </c>
      <c r="B31" t="s">
        <v>15</v>
      </c>
      <c r="C31" t="s">
        <v>15</v>
      </c>
      <c r="D31" t="s">
        <v>15</v>
      </c>
      <c r="E31" t="s">
        <v>15</v>
      </c>
      <c r="F31" t="s">
        <v>17</v>
      </c>
      <c r="G31" t="s">
        <v>17</v>
      </c>
      <c r="H31" t="s">
        <v>17</v>
      </c>
    </row>
    <row r="32" spans="1:8" x14ac:dyDescent="0.35">
      <c r="A32">
        <v>31</v>
      </c>
      <c r="B32" t="s">
        <v>15</v>
      </c>
      <c r="C32" t="s">
        <v>17</v>
      </c>
      <c r="D32" t="s">
        <v>17</v>
      </c>
      <c r="E32" t="s">
        <v>15</v>
      </c>
      <c r="F32" t="s">
        <v>17</v>
      </c>
      <c r="G32" t="s">
        <v>17</v>
      </c>
      <c r="H32" t="s">
        <v>17</v>
      </c>
    </row>
    <row r="33" spans="1:8" x14ac:dyDescent="0.35">
      <c r="A33">
        <v>32</v>
      </c>
      <c r="B33" t="s">
        <v>15</v>
      </c>
      <c r="C33" t="s">
        <v>15</v>
      </c>
      <c r="D33" t="s">
        <v>15</v>
      </c>
      <c r="E33" t="s">
        <v>15</v>
      </c>
      <c r="F33" t="s">
        <v>17</v>
      </c>
      <c r="G33" t="s">
        <v>17</v>
      </c>
      <c r="H33" t="s">
        <v>17</v>
      </c>
    </row>
    <row r="34" spans="1:8" x14ac:dyDescent="0.35">
      <c r="A34">
        <v>33</v>
      </c>
      <c r="B34" t="s">
        <v>15</v>
      </c>
      <c r="C34" t="s">
        <v>15</v>
      </c>
      <c r="D34" t="s">
        <v>15</v>
      </c>
      <c r="E34" t="s">
        <v>17</v>
      </c>
      <c r="F34" t="s">
        <v>17</v>
      </c>
      <c r="G34" t="s">
        <v>15</v>
      </c>
      <c r="H34" t="s">
        <v>17</v>
      </c>
    </row>
    <row r="35" spans="1:8" x14ac:dyDescent="0.35">
      <c r="A35">
        <v>34</v>
      </c>
      <c r="B35" t="s">
        <v>15</v>
      </c>
      <c r="C35" t="s">
        <v>15</v>
      </c>
      <c r="D35" t="s">
        <v>15</v>
      </c>
      <c r="E35" t="s">
        <v>15</v>
      </c>
      <c r="F35" t="s">
        <v>17</v>
      </c>
      <c r="G35" t="s">
        <v>15</v>
      </c>
      <c r="H35" t="s">
        <v>17</v>
      </c>
    </row>
    <row r="36" spans="1:8" x14ac:dyDescent="0.35">
      <c r="A36">
        <v>35</v>
      </c>
      <c r="B36" t="s">
        <v>15</v>
      </c>
      <c r="C36" t="s">
        <v>15</v>
      </c>
      <c r="D36" t="s">
        <v>15</v>
      </c>
      <c r="E36" t="s">
        <v>15</v>
      </c>
      <c r="F36" t="s">
        <v>17</v>
      </c>
      <c r="G36" t="s">
        <v>15</v>
      </c>
      <c r="H36" t="s">
        <v>17</v>
      </c>
    </row>
    <row r="37" spans="1:8" x14ac:dyDescent="0.35">
      <c r="A37">
        <v>36</v>
      </c>
      <c r="B37" t="s">
        <v>15</v>
      </c>
      <c r="C37" t="s">
        <v>15</v>
      </c>
      <c r="D37" t="s">
        <v>15</v>
      </c>
      <c r="E37" t="s">
        <v>15</v>
      </c>
      <c r="F37" t="s">
        <v>15</v>
      </c>
      <c r="G37" t="s">
        <v>17</v>
      </c>
      <c r="H37" t="s">
        <v>15</v>
      </c>
    </row>
    <row r="38" spans="1:8" x14ac:dyDescent="0.35">
      <c r="A38">
        <v>37</v>
      </c>
      <c r="B38" t="s">
        <v>15</v>
      </c>
      <c r="C38" t="s">
        <v>15</v>
      </c>
      <c r="D38" t="s">
        <v>15</v>
      </c>
      <c r="E38" t="s">
        <v>15</v>
      </c>
      <c r="G38" t="s">
        <v>15</v>
      </c>
      <c r="H38" t="s">
        <v>17</v>
      </c>
    </row>
    <row r="39" spans="1:8" x14ac:dyDescent="0.35">
      <c r="A39">
        <v>38</v>
      </c>
      <c r="B39" t="s">
        <v>15</v>
      </c>
      <c r="C39" t="s">
        <v>17</v>
      </c>
      <c r="D39" t="s">
        <v>17</v>
      </c>
      <c r="E39" t="s">
        <v>15</v>
      </c>
      <c r="F39" t="s">
        <v>17</v>
      </c>
      <c r="G39" t="s">
        <v>17</v>
      </c>
      <c r="H39" t="s">
        <v>17</v>
      </c>
    </row>
    <row r="40" spans="1:8" x14ac:dyDescent="0.35">
      <c r="A40">
        <v>39</v>
      </c>
      <c r="B40" t="s">
        <v>15</v>
      </c>
      <c r="C40" t="s">
        <v>17</v>
      </c>
      <c r="D40" t="s">
        <v>17</v>
      </c>
      <c r="E40" t="s">
        <v>15</v>
      </c>
      <c r="F40" t="s">
        <v>17</v>
      </c>
      <c r="G40" t="s">
        <v>17</v>
      </c>
      <c r="H40" t="s">
        <v>17</v>
      </c>
    </row>
    <row r="41" spans="1:8" x14ac:dyDescent="0.35">
      <c r="A41">
        <v>40</v>
      </c>
      <c r="B41" t="s">
        <v>15</v>
      </c>
      <c r="C41" t="s">
        <v>15</v>
      </c>
      <c r="D41" t="s">
        <v>15</v>
      </c>
      <c r="E41" t="s">
        <v>15</v>
      </c>
      <c r="F41" t="s">
        <v>17</v>
      </c>
      <c r="G41" t="s">
        <v>17</v>
      </c>
      <c r="H41" t="s">
        <v>17</v>
      </c>
    </row>
    <row r="42" spans="1:8" x14ac:dyDescent="0.35">
      <c r="A42">
        <v>41</v>
      </c>
      <c r="B42" t="s">
        <v>15</v>
      </c>
      <c r="C42" t="s">
        <v>15</v>
      </c>
      <c r="D42" t="s">
        <v>15</v>
      </c>
      <c r="E42" t="s">
        <v>15</v>
      </c>
      <c r="F42" t="s">
        <v>15</v>
      </c>
      <c r="G42" t="s">
        <v>17</v>
      </c>
      <c r="H42" t="s">
        <v>17</v>
      </c>
    </row>
    <row r="43" spans="1:8" x14ac:dyDescent="0.35">
      <c r="A43">
        <v>42</v>
      </c>
      <c r="B43" t="s">
        <v>15</v>
      </c>
      <c r="C43" t="s">
        <v>15</v>
      </c>
      <c r="D43" t="s">
        <v>15</v>
      </c>
      <c r="E43" t="s">
        <v>15</v>
      </c>
      <c r="F43" t="s">
        <v>17</v>
      </c>
      <c r="G43" t="s">
        <v>17</v>
      </c>
      <c r="H43" t="s">
        <v>17</v>
      </c>
    </row>
    <row r="44" spans="1:8" x14ac:dyDescent="0.35">
      <c r="A44">
        <v>43</v>
      </c>
      <c r="B44" t="s">
        <v>15</v>
      </c>
      <c r="C44" t="s">
        <v>15</v>
      </c>
      <c r="D44" t="s">
        <v>15</v>
      </c>
      <c r="E44" t="s">
        <v>17</v>
      </c>
      <c r="F44" t="s">
        <v>17</v>
      </c>
      <c r="G44" t="s">
        <v>17</v>
      </c>
      <c r="H44" t="s">
        <v>17</v>
      </c>
    </row>
    <row r="45" spans="1:8" x14ac:dyDescent="0.35">
      <c r="A45">
        <v>44</v>
      </c>
      <c r="B45" t="s">
        <v>15</v>
      </c>
      <c r="C45" t="s">
        <v>15</v>
      </c>
      <c r="D45" t="s">
        <v>15</v>
      </c>
      <c r="E45" t="s">
        <v>15</v>
      </c>
      <c r="F45" t="s">
        <v>17</v>
      </c>
      <c r="G45" t="s">
        <v>15</v>
      </c>
      <c r="H45" t="s">
        <v>17</v>
      </c>
    </row>
    <row r="46" spans="1:8" x14ac:dyDescent="0.35">
      <c r="A46">
        <v>45</v>
      </c>
      <c r="B46" t="s">
        <v>15</v>
      </c>
      <c r="C46" t="s">
        <v>15</v>
      </c>
      <c r="D46" t="s">
        <v>15</v>
      </c>
      <c r="E46" t="s">
        <v>15</v>
      </c>
      <c r="F46" t="s">
        <v>15</v>
      </c>
      <c r="G46" t="s">
        <v>15</v>
      </c>
      <c r="H46" t="s">
        <v>17</v>
      </c>
    </row>
    <row r="47" spans="1:8" x14ac:dyDescent="0.35">
      <c r="A47">
        <v>46</v>
      </c>
      <c r="B47" t="s">
        <v>15</v>
      </c>
      <c r="C47" t="s">
        <v>15</v>
      </c>
      <c r="D47" t="s">
        <v>15</v>
      </c>
      <c r="E47" t="s">
        <v>17</v>
      </c>
      <c r="F47" t="s">
        <v>17</v>
      </c>
      <c r="G47" t="s">
        <v>17</v>
      </c>
      <c r="H47" t="s">
        <v>17</v>
      </c>
    </row>
    <row r="48" spans="1:8" x14ac:dyDescent="0.35">
      <c r="A48">
        <v>47</v>
      </c>
      <c r="B48" t="s">
        <v>15</v>
      </c>
      <c r="C48" t="s">
        <v>15</v>
      </c>
      <c r="D48" t="s">
        <v>15</v>
      </c>
      <c r="E48" t="s">
        <v>15</v>
      </c>
      <c r="F48" t="s">
        <v>15</v>
      </c>
      <c r="G48" t="s">
        <v>17</v>
      </c>
      <c r="H48" t="s">
        <v>15</v>
      </c>
    </row>
    <row r="49" spans="1:8" x14ac:dyDescent="0.35">
      <c r="A49">
        <v>48</v>
      </c>
      <c r="B49" t="s">
        <v>15</v>
      </c>
      <c r="C49" t="s">
        <v>17</v>
      </c>
      <c r="D49" t="s">
        <v>17</v>
      </c>
      <c r="E49" t="s">
        <v>15</v>
      </c>
      <c r="F49" t="s">
        <v>17</v>
      </c>
      <c r="G49" t="s">
        <v>15</v>
      </c>
      <c r="H49" t="s">
        <v>17</v>
      </c>
    </row>
    <row r="50" spans="1:8" x14ac:dyDescent="0.35">
      <c r="A50">
        <v>49</v>
      </c>
      <c r="B50" t="s">
        <v>15</v>
      </c>
      <c r="C50" t="s">
        <v>15</v>
      </c>
      <c r="D50" t="s">
        <v>15</v>
      </c>
      <c r="E50" t="s">
        <v>15</v>
      </c>
      <c r="F50" t="s">
        <v>15</v>
      </c>
      <c r="G50" t="s">
        <v>15</v>
      </c>
      <c r="H50" t="s">
        <v>15</v>
      </c>
    </row>
    <row r="51" spans="1:8" x14ac:dyDescent="0.35">
      <c r="A51">
        <v>50</v>
      </c>
      <c r="B51" t="s">
        <v>15</v>
      </c>
      <c r="C51" t="s">
        <v>17</v>
      </c>
      <c r="D51" t="s">
        <v>15</v>
      </c>
      <c r="E51" t="s">
        <v>15</v>
      </c>
      <c r="F51" t="s">
        <v>17</v>
      </c>
      <c r="G51" t="s">
        <v>17</v>
      </c>
      <c r="H51" t="s">
        <v>17</v>
      </c>
    </row>
    <row r="52" spans="1:8" x14ac:dyDescent="0.35">
      <c r="A52">
        <v>51</v>
      </c>
      <c r="B52" t="s">
        <v>15</v>
      </c>
      <c r="C52" t="s">
        <v>15</v>
      </c>
      <c r="D52" t="s">
        <v>15</v>
      </c>
      <c r="E52" t="s">
        <v>15</v>
      </c>
      <c r="F52" t="s">
        <v>15</v>
      </c>
      <c r="G52" t="s">
        <v>17</v>
      </c>
      <c r="H52" t="s">
        <v>17</v>
      </c>
    </row>
    <row r="53" spans="1:8" x14ac:dyDescent="0.35">
      <c r="A53">
        <v>52</v>
      </c>
      <c r="B53" t="s">
        <v>15</v>
      </c>
      <c r="C53" t="s">
        <v>15</v>
      </c>
      <c r="D53" t="s">
        <v>15</v>
      </c>
      <c r="E53" t="s">
        <v>15</v>
      </c>
      <c r="F53" t="s">
        <v>15</v>
      </c>
      <c r="G53" t="s">
        <v>17</v>
      </c>
      <c r="H53" t="s">
        <v>17</v>
      </c>
    </row>
    <row r="54" spans="1:8" x14ac:dyDescent="0.35">
      <c r="A54">
        <v>53</v>
      </c>
      <c r="B54" t="s">
        <v>15</v>
      </c>
      <c r="C54" t="s">
        <v>15</v>
      </c>
      <c r="D54" t="s">
        <v>17</v>
      </c>
      <c r="E54" t="s">
        <v>15</v>
      </c>
      <c r="F54" t="s">
        <v>15</v>
      </c>
      <c r="G54" t="s">
        <v>15</v>
      </c>
      <c r="H54" t="s">
        <v>17</v>
      </c>
    </row>
  </sheetData>
  <phoneticPr fontId="18" type="noConversion"/>
  <conditionalFormatting sqref="B2:H54">
    <cfRule type="containsText" dxfId="3" priority="1" operator="containsText" text="Exclude">
      <formula>NOT(ISERROR(SEARCH("Exclude",B2)))</formula>
    </cfRule>
    <cfRule type="containsText" dxfId="2" priority="2" operator="containsText" text="Include">
      <formula>NOT(ISERROR(SEARCH("Include",B2)))</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3FAF6BC-7751-40E3-AA3B-2FE099C7D50C}">
          <x14:formula1>
            <xm:f>Sheet1!$A$2:$A$3</xm:f>
          </x14:formula1>
          <xm:sqref>B2:H54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BFDD4-DDE6-4707-BDDB-7A8A93C7E735}">
  <dimension ref="A1:B154"/>
  <sheetViews>
    <sheetView workbookViewId="0">
      <selection sqref="A1:B1048576"/>
    </sheetView>
  </sheetViews>
  <sheetFormatPr defaultRowHeight="14.5" x14ac:dyDescent="0.35"/>
  <sheetData>
    <row r="1" spans="1:2" ht="15" thickBot="1" x14ac:dyDescent="0.4">
      <c r="A1" s="14" t="s">
        <v>1420</v>
      </c>
      <c r="B1" s="15"/>
    </row>
    <row r="2" spans="1:2" ht="15" thickBot="1" x14ac:dyDescent="0.4">
      <c r="A2" s="5" t="s">
        <v>10</v>
      </c>
      <c r="B2" s="6" t="s">
        <v>11</v>
      </c>
    </row>
    <row r="3" spans="1:2" x14ac:dyDescent="0.35">
      <c r="A3" t="s">
        <v>15</v>
      </c>
      <c r="B3" t="s">
        <v>1421</v>
      </c>
    </row>
    <row r="4" spans="1:2" x14ac:dyDescent="0.35">
      <c r="A4" t="s">
        <v>17</v>
      </c>
      <c r="B4" t="s">
        <v>1422</v>
      </c>
    </row>
    <row r="5" spans="1:2" x14ac:dyDescent="0.35">
      <c r="A5" t="s">
        <v>15</v>
      </c>
      <c r="B5" t="s">
        <v>1421</v>
      </c>
    </row>
    <row r="6" spans="1:2" x14ac:dyDescent="0.35">
      <c r="A6" t="s">
        <v>17</v>
      </c>
      <c r="B6" t="s">
        <v>1422</v>
      </c>
    </row>
    <row r="7" spans="1:2" x14ac:dyDescent="0.35">
      <c r="A7" t="s">
        <v>15</v>
      </c>
      <c r="B7" t="s">
        <v>1421</v>
      </c>
    </row>
    <row r="8" spans="1:2" x14ac:dyDescent="0.35">
      <c r="A8" t="s">
        <v>17</v>
      </c>
      <c r="B8" t="s">
        <v>1422</v>
      </c>
    </row>
    <row r="9" spans="1:2" x14ac:dyDescent="0.35">
      <c r="A9" t="s">
        <v>17</v>
      </c>
      <c r="B9" t="s">
        <v>1422</v>
      </c>
    </row>
    <row r="10" spans="1:2" x14ac:dyDescent="0.35">
      <c r="A10" t="s">
        <v>17</v>
      </c>
      <c r="B10" t="s">
        <v>1422</v>
      </c>
    </row>
    <row r="11" spans="1:2" x14ac:dyDescent="0.35">
      <c r="A11" t="s">
        <v>15</v>
      </c>
      <c r="B11" t="s">
        <v>1421</v>
      </c>
    </row>
    <row r="12" spans="1:2" x14ac:dyDescent="0.35">
      <c r="A12" t="s">
        <v>17</v>
      </c>
      <c r="B12" t="s">
        <v>1422</v>
      </c>
    </row>
    <row r="13" spans="1:2" x14ac:dyDescent="0.35">
      <c r="A13" t="s">
        <v>15</v>
      </c>
      <c r="B13" t="s">
        <v>1421</v>
      </c>
    </row>
    <row r="14" spans="1:2" x14ac:dyDescent="0.35">
      <c r="A14" t="s">
        <v>17</v>
      </c>
      <c r="B14" t="s">
        <v>1422</v>
      </c>
    </row>
    <row r="15" spans="1:2" x14ac:dyDescent="0.35">
      <c r="A15" s="7"/>
      <c r="B15" s="7"/>
    </row>
    <row r="16" spans="1:2" x14ac:dyDescent="0.35">
      <c r="A16" t="s">
        <v>15</v>
      </c>
      <c r="B16" t="s">
        <v>1421</v>
      </c>
    </row>
    <row r="17" spans="1:2" x14ac:dyDescent="0.35">
      <c r="A17" t="s">
        <v>17</v>
      </c>
      <c r="B17" t="s">
        <v>1422</v>
      </c>
    </row>
    <row r="18" spans="1:2" x14ac:dyDescent="0.35">
      <c r="A18" t="s">
        <v>15</v>
      </c>
      <c r="B18" t="s">
        <v>1423</v>
      </c>
    </row>
    <row r="19" spans="1:2" x14ac:dyDescent="0.35">
      <c r="A19" t="s">
        <v>17</v>
      </c>
      <c r="B19" t="s">
        <v>1422</v>
      </c>
    </row>
    <row r="20" spans="1:2" x14ac:dyDescent="0.35">
      <c r="A20" t="s">
        <v>17</v>
      </c>
      <c r="B20" t="s">
        <v>1422</v>
      </c>
    </row>
    <row r="21" spans="1:2" x14ac:dyDescent="0.35">
      <c r="A21" t="s">
        <v>17</v>
      </c>
      <c r="B21" t="s">
        <v>1422</v>
      </c>
    </row>
    <row r="22" spans="1:2" x14ac:dyDescent="0.35">
      <c r="A22" t="s">
        <v>15</v>
      </c>
      <c r="B22" t="s">
        <v>1423</v>
      </c>
    </row>
    <row r="23" spans="1:2" x14ac:dyDescent="0.35">
      <c r="A23" t="s">
        <v>15</v>
      </c>
      <c r="B23" t="s">
        <v>1423</v>
      </c>
    </row>
    <row r="24" spans="1:2" x14ac:dyDescent="0.35">
      <c r="A24" t="s">
        <v>17</v>
      </c>
      <c r="B24" t="s">
        <v>1422</v>
      </c>
    </row>
    <row r="25" spans="1:2" x14ac:dyDescent="0.35">
      <c r="A25" t="s">
        <v>15</v>
      </c>
      <c r="B25" t="s">
        <v>1423</v>
      </c>
    </row>
    <row r="26" spans="1:2" x14ac:dyDescent="0.35">
      <c r="A26" t="s">
        <v>17</v>
      </c>
      <c r="B26" t="s">
        <v>1422</v>
      </c>
    </row>
    <row r="27" spans="1:2" x14ac:dyDescent="0.35">
      <c r="A27" t="s">
        <v>17</v>
      </c>
      <c r="B27" t="s">
        <v>1422</v>
      </c>
    </row>
    <row r="28" spans="1:2" x14ac:dyDescent="0.35">
      <c r="A28" t="s">
        <v>17</v>
      </c>
      <c r="B28" t="s">
        <v>1422</v>
      </c>
    </row>
    <row r="29" spans="1:2" x14ac:dyDescent="0.35">
      <c r="A29" t="s">
        <v>17</v>
      </c>
      <c r="B29" t="s">
        <v>1422</v>
      </c>
    </row>
    <row r="30" spans="1:2" x14ac:dyDescent="0.35">
      <c r="A30" t="s">
        <v>17</v>
      </c>
      <c r="B30" t="s">
        <v>1422</v>
      </c>
    </row>
    <row r="31" spans="1:2" x14ac:dyDescent="0.35">
      <c r="A31" t="s">
        <v>17</v>
      </c>
      <c r="B31" t="s">
        <v>1422</v>
      </c>
    </row>
    <row r="32" spans="1:2" x14ac:dyDescent="0.35">
      <c r="A32" t="s">
        <v>17</v>
      </c>
      <c r="B32" t="s">
        <v>1424</v>
      </c>
    </row>
    <row r="33" spans="1:2" x14ac:dyDescent="0.35">
      <c r="A33" t="s">
        <v>17</v>
      </c>
      <c r="B33" t="s">
        <v>1424</v>
      </c>
    </row>
    <row r="34" spans="1:2" x14ac:dyDescent="0.35">
      <c r="A34" t="s">
        <v>17</v>
      </c>
      <c r="B34" t="s">
        <v>1422</v>
      </c>
    </row>
    <row r="35" spans="1:2" x14ac:dyDescent="0.35">
      <c r="A35" t="s">
        <v>17</v>
      </c>
      <c r="B35" t="s">
        <v>1422</v>
      </c>
    </row>
    <row r="36" spans="1:2" x14ac:dyDescent="0.35">
      <c r="A36" t="s">
        <v>17</v>
      </c>
      <c r="B36" t="s">
        <v>163</v>
      </c>
    </row>
    <row r="37" spans="1:2" x14ac:dyDescent="0.35">
      <c r="A37" t="s">
        <v>17</v>
      </c>
      <c r="B37" t="s">
        <v>1422</v>
      </c>
    </row>
    <row r="38" spans="1:2" x14ac:dyDescent="0.35">
      <c r="A38" t="s">
        <v>17</v>
      </c>
      <c r="B38" t="s">
        <v>1424</v>
      </c>
    </row>
    <row r="39" spans="1:2" x14ac:dyDescent="0.35">
      <c r="A39" t="s">
        <v>15</v>
      </c>
      <c r="B39" t="s">
        <v>1423</v>
      </c>
    </row>
    <row r="40" spans="1:2" x14ac:dyDescent="0.35">
      <c r="A40" t="s">
        <v>15</v>
      </c>
      <c r="B40" t="s">
        <v>1423</v>
      </c>
    </row>
    <row r="41" spans="1:2" x14ac:dyDescent="0.35">
      <c r="A41" t="s">
        <v>17</v>
      </c>
      <c r="B41" t="s">
        <v>1422</v>
      </c>
    </row>
    <row r="42" spans="1:2" x14ac:dyDescent="0.35">
      <c r="A42" t="s">
        <v>17</v>
      </c>
      <c r="B42" t="s">
        <v>189</v>
      </c>
    </row>
    <row r="43" spans="1:2" x14ac:dyDescent="0.35">
      <c r="A43" t="s">
        <v>17</v>
      </c>
      <c r="B43" t="s">
        <v>1422</v>
      </c>
    </row>
    <row r="44" spans="1:2" x14ac:dyDescent="0.35">
      <c r="A44" t="s">
        <v>15</v>
      </c>
      <c r="B44" t="s">
        <v>1423</v>
      </c>
    </row>
    <row r="45" spans="1:2" x14ac:dyDescent="0.35">
      <c r="A45" t="s">
        <v>17</v>
      </c>
      <c r="B45" t="s">
        <v>1422</v>
      </c>
    </row>
    <row r="46" spans="1:2" x14ac:dyDescent="0.35">
      <c r="A46" t="s">
        <v>17</v>
      </c>
      <c r="B46" t="s">
        <v>1425</v>
      </c>
    </row>
    <row r="47" spans="1:2" x14ac:dyDescent="0.35">
      <c r="A47" t="s">
        <v>17</v>
      </c>
      <c r="B47" t="s">
        <v>1422</v>
      </c>
    </row>
    <row r="48" spans="1:2" x14ac:dyDescent="0.35">
      <c r="A48" t="s">
        <v>15</v>
      </c>
      <c r="B48" t="s">
        <v>214</v>
      </c>
    </row>
    <row r="49" spans="1:2" x14ac:dyDescent="0.35">
      <c r="A49" t="s">
        <v>17</v>
      </c>
      <c r="B49" t="s">
        <v>1426</v>
      </c>
    </row>
    <row r="50" spans="1:2" x14ac:dyDescent="0.35">
      <c r="A50" t="s">
        <v>15</v>
      </c>
      <c r="B50" t="s">
        <v>1423</v>
      </c>
    </row>
    <row r="51" spans="1:2" x14ac:dyDescent="0.35">
      <c r="A51" t="s">
        <v>17</v>
      </c>
      <c r="B51" t="s">
        <v>189</v>
      </c>
    </row>
    <row r="52" spans="1:2" x14ac:dyDescent="0.35">
      <c r="A52" t="s">
        <v>15</v>
      </c>
      <c r="B52" t="s">
        <v>530</v>
      </c>
    </row>
    <row r="53" spans="1:2" x14ac:dyDescent="0.35">
      <c r="A53" t="s">
        <v>17</v>
      </c>
      <c r="B53" t="s">
        <v>1422</v>
      </c>
    </row>
    <row r="54" spans="1:2" x14ac:dyDescent="0.35">
      <c r="A54" t="s">
        <v>15</v>
      </c>
      <c r="B54" t="s">
        <v>530</v>
      </c>
    </row>
    <row r="55" spans="1:2" x14ac:dyDescent="0.35">
      <c r="A55" t="s">
        <v>15</v>
      </c>
      <c r="B55" t="s">
        <v>530</v>
      </c>
    </row>
    <row r="56" spans="1:2" x14ac:dyDescent="0.35">
      <c r="A56" t="s">
        <v>15</v>
      </c>
      <c r="B56" t="s">
        <v>530</v>
      </c>
    </row>
    <row r="57" spans="1:2" x14ac:dyDescent="0.35">
      <c r="A57" t="s">
        <v>15</v>
      </c>
      <c r="B57" t="s">
        <v>530</v>
      </c>
    </row>
    <row r="58" spans="1:2" x14ac:dyDescent="0.35">
      <c r="A58" t="s">
        <v>17</v>
      </c>
      <c r="B58" t="s">
        <v>1422</v>
      </c>
    </row>
    <row r="59" spans="1:2" x14ac:dyDescent="0.35">
      <c r="A59" t="s">
        <v>15</v>
      </c>
      <c r="B59" t="s">
        <v>530</v>
      </c>
    </row>
    <row r="60" spans="1:2" x14ac:dyDescent="0.35">
      <c r="A60" t="s">
        <v>15</v>
      </c>
      <c r="B60" t="s">
        <v>530</v>
      </c>
    </row>
    <row r="61" spans="1:2" x14ac:dyDescent="0.35">
      <c r="A61" t="s">
        <v>17</v>
      </c>
      <c r="B61" t="s">
        <v>1422</v>
      </c>
    </row>
    <row r="62" spans="1:2" x14ac:dyDescent="0.35">
      <c r="A62" t="s">
        <v>17</v>
      </c>
      <c r="B62" t="s">
        <v>1422</v>
      </c>
    </row>
    <row r="63" spans="1:2" x14ac:dyDescent="0.35">
      <c r="A63" t="s">
        <v>17</v>
      </c>
      <c r="B63" t="s">
        <v>1422</v>
      </c>
    </row>
    <row r="64" spans="1:2" x14ac:dyDescent="0.35">
      <c r="A64" t="s">
        <v>17</v>
      </c>
      <c r="B64" t="s">
        <v>1422</v>
      </c>
    </row>
    <row r="65" spans="1:2" x14ac:dyDescent="0.35">
      <c r="A65" t="s">
        <v>17</v>
      </c>
      <c r="B65" t="s">
        <v>1422</v>
      </c>
    </row>
    <row r="66" spans="1:2" x14ac:dyDescent="0.35">
      <c r="A66" t="s">
        <v>17</v>
      </c>
      <c r="B66" t="s">
        <v>1427</v>
      </c>
    </row>
    <row r="67" spans="1:2" x14ac:dyDescent="0.35">
      <c r="A67" t="s">
        <v>17</v>
      </c>
      <c r="B67" t="s">
        <v>1428</v>
      </c>
    </row>
    <row r="68" spans="1:2" x14ac:dyDescent="0.35">
      <c r="A68" t="s">
        <v>17</v>
      </c>
      <c r="B68" t="s">
        <v>1422</v>
      </c>
    </row>
    <row r="69" spans="1:2" x14ac:dyDescent="0.35">
      <c r="A69" t="s">
        <v>17</v>
      </c>
      <c r="B69" t="s">
        <v>1422</v>
      </c>
    </row>
    <row r="70" spans="1:2" x14ac:dyDescent="0.35">
      <c r="A70" t="s">
        <v>15</v>
      </c>
      <c r="B70" t="s">
        <v>1429</v>
      </c>
    </row>
    <row r="71" spans="1:2" x14ac:dyDescent="0.35">
      <c r="A71" t="s">
        <v>17</v>
      </c>
      <c r="B71" t="s">
        <v>1422</v>
      </c>
    </row>
    <row r="72" spans="1:2" x14ac:dyDescent="0.35">
      <c r="A72" t="s">
        <v>17</v>
      </c>
      <c r="B72" t="s">
        <v>1422</v>
      </c>
    </row>
    <row r="73" spans="1:2" x14ac:dyDescent="0.35">
      <c r="A73" t="s">
        <v>17</v>
      </c>
      <c r="B73" t="s">
        <v>1430</v>
      </c>
    </row>
    <row r="74" spans="1:2" x14ac:dyDescent="0.35">
      <c r="A74" t="s">
        <v>15</v>
      </c>
      <c r="B74" t="s">
        <v>530</v>
      </c>
    </row>
    <row r="75" spans="1:2" x14ac:dyDescent="0.35">
      <c r="A75" t="s">
        <v>17</v>
      </c>
      <c r="B75" t="s">
        <v>1422</v>
      </c>
    </row>
    <row r="76" spans="1:2" x14ac:dyDescent="0.35">
      <c r="A76" t="s">
        <v>17</v>
      </c>
      <c r="B76" t="s">
        <v>1431</v>
      </c>
    </row>
    <row r="77" spans="1:2" x14ac:dyDescent="0.35">
      <c r="A77" t="s">
        <v>15</v>
      </c>
      <c r="B77" t="s">
        <v>530</v>
      </c>
    </row>
    <row r="78" spans="1:2" x14ac:dyDescent="0.35">
      <c r="A78" t="s">
        <v>15</v>
      </c>
      <c r="B78" t="s">
        <v>530</v>
      </c>
    </row>
    <row r="79" spans="1:2" x14ac:dyDescent="0.35">
      <c r="A79" t="s">
        <v>17</v>
      </c>
      <c r="B79" t="s">
        <v>1431</v>
      </c>
    </row>
    <row r="80" spans="1:2" x14ac:dyDescent="0.35">
      <c r="A80" t="s">
        <v>15</v>
      </c>
      <c r="B80" t="s">
        <v>530</v>
      </c>
    </row>
    <row r="81" spans="1:2" x14ac:dyDescent="0.35">
      <c r="A81" t="s">
        <v>17</v>
      </c>
      <c r="B81" t="s">
        <v>1422</v>
      </c>
    </row>
    <row r="82" spans="1:2" x14ac:dyDescent="0.35">
      <c r="A82" t="s">
        <v>17</v>
      </c>
      <c r="B82" t="s">
        <v>1422</v>
      </c>
    </row>
    <row r="83" spans="1:2" x14ac:dyDescent="0.35">
      <c r="A83" s="7"/>
      <c r="B83" s="7"/>
    </row>
    <row r="84" spans="1:2" x14ac:dyDescent="0.35">
      <c r="A84" t="s">
        <v>17</v>
      </c>
      <c r="B84" t="s">
        <v>1422</v>
      </c>
    </row>
    <row r="85" spans="1:2" x14ac:dyDescent="0.35">
      <c r="A85" t="s">
        <v>17</v>
      </c>
      <c r="B85" t="s">
        <v>1422</v>
      </c>
    </row>
    <row r="86" spans="1:2" x14ac:dyDescent="0.35">
      <c r="A86" t="s">
        <v>15</v>
      </c>
      <c r="B86" t="s">
        <v>530</v>
      </c>
    </row>
    <row r="87" spans="1:2" x14ac:dyDescent="0.35">
      <c r="A87" t="s">
        <v>17</v>
      </c>
      <c r="B87" t="s">
        <v>1422</v>
      </c>
    </row>
    <row r="88" spans="1:2" x14ac:dyDescent="0.35">
      <c r="A88" t="s">
        <v>15</v>
      </c>
      <c r="B88" t="s">
        <v>388</v>
      </c>
    </row>
    <row r="89" spans="1:2" x14ac:dyDescent="0.35">
      <c r="A89" t="s">
        <v>15</v>
      </c>
      <c r="B89" t="s">
        <v>388</v>
      </c>
    </row>
    <row r="90" spans="1:2" x14ac:dyDescent="0.35">
      <c r="A90" t="s">
        <v>17</v>
      </c>
      <c r="B90" t="s">
        <v>1422</v>
      </c>
    </row>
    <row r="91" spans="1:2" x14ac:dyDescent="0.35">
      <c r="A91" t="s">
        <v>17</v>
      </c>
      <c r="B91" t="s">
        <v>540</v>
      </c>
    </row>
    <row r="92" spans="1:2" x14ac:dyDescent="0.35">
      <c r="A92" t="s">
        <v>17</v>
      </c>
      <c r="B92" t="s">
        <v>1422</v>
      </c>
    </row>
    <row r="93" spans="1:2" x14ac:dyDescent="0.35">
      <c r="A93" t="s">
        <v>15</v>
      </c>
      <c r="B93" t="s">
        <v>530</v>
      </c>
    </row>
    <row r="94" spans="1:2" x14ac:dyDescent="0.35">
      <c r="A94" t="s">
        <v>17</v>
      </c>
      <c r="B94" t="s">
        <v>1422</v>
      </c>
    </row>
    <row r="95" spans="1:2" x14ac:dyDescent="0.35">
      <c r="A95" t="s">
        <v>17</v>
      </c>
      <c r="B95" t="s">
        <v>1422</v>
      </c>
    </row>
    <row r="96" spans="1:2" x14ac:dyDescent="0.35">
      <c r="A96" t="s">
        <v>17</v>
      </c>
      <c r="B96" t="s">
        <v>1422</v>
      </c>
    </row>
    <row r="97" spans="1:2" x14ac:dyDescent="0.35">
      <c r="A97" t="s">
        <v>15</v>
      </c>
      <c r="B97" t="s">
        <v>530</v>
      </c>
    </row>
    <row r="98" spans="1:2" x14ac:dyDescent="0.35">
      <c r="A98" t="s">
        <v>15</v>
      </c>
      <c r="B98" t="s">
        <v>388</v>
      </c>
    </row>
    <row r="99" spans="1:2" x14ac:dyDescent="0.35">
      <c r="A99" t="s">
        <v>17</v>
      </c>
      <c r="B99" t="s">
        <v>1431</v>
      </c>
    </row>
    <row r="100" spans="1:2" x14ac:dyDescent="0.35">
      <c r="A100" t="s">
        <v>17</v>
      </c>
      <c r="B100" t="s">
        <v>1422</v>
      </c>
    </row>
    <row r="101" spans="1:2" x14ac:dyDescent="0.35">
      <c r="A101" t="s">
        <v>15</v>
      </c>
      <c r="B101" t="s">
        <v>388</v>
      </c>
    </row>
    <row r="102" spans="1:2" x14ac:dyDescent="0.35">
      <c r="A102" t="s">
        <v>17</v>
      </c>
      <c r="B102" t="s">
        <v>1422</v>
      </c>
    </row>
    <row r="103" spans="1:2" x14ac:dyDescent="0.35">
      <c r="A103" t="s">
        <v>17</v>
      </c>
      <c r="B103" t="s">
        <v>1422</v>
      </c>
    </row>
    <row r="104" spans="1:2" x14ac:dyDescent="0.35">
      <c r="A104" t="s">
        <v>17</v>
      </c>
      <c r="B104" t="s">
        <v>1422</v>
      </c>
    </row>
    <row r="105" spans="1:2" x14ac:dyDescent="0.35">
      <c r="A105" t="s">
        <v>17</v>
      </c>
      <c r="B105" t="s">
        <v>540</v>
      </c>
    </row>
    <row r="106" spans="1:2" x14ac:dyDescent="0.35">
      <c r="A106" t="s">
        <v>15</v>
      </c>
      <c r="B106" t="s">
        <v>530</v>
      </c>
    </row>
    <row r="107" spans="1:2" x14ac:dyDescent="0.35">
      <c r="A107" t="s">
        <v>17</v>
      </c>
      <c r="B107" t="s">
        <v>540</v>
      </c>
    </row>
    <row r="108" spans="1:2" x14ac:dyDescent="0.35">
      <c r="A108" t="s">
        <v>17</v>
      </c>
      <c r="B108" t="s">
        <v>1422</v>
      </c>
    </row>
    <row r="109" spans="1:2" x14ac:dyDescent="0.35">
      <c r="A109" t="s">
        <v>17</v>
      </c>
      <c r="B109" t="s">
        <v>1422</v>
      </c>
    </row>
    <row r="110" spans="1:2" x14ac:dyDescent="0.35">
      <c r="A110" t="s">
        <v>15</v>
      </c>
      <c r="B110" t="s">
        <v>530</v>
      </c>
    </row>
    <row r="111" spans="1:2" x14ac:dyDescent="0.35">
      <c r="A111" t="s">
        <v>17</v>
      </c>
      <c r="B111" t="s">
        <v>1422</v>
      </c>
    </row>
    <row r="112" spans="1:2" x14ac:dyDescent="0.35">
      <c r="A112" t="s">
        <v>17</v>
      </c>
      <c r="B112" t="s">
        <v>1422</v>
      </c>
    </row>
    <row r="113" spans="1:2" x14ac:dyDescent="0.35">
      <c r="A113" t="s">
        <v>17</v>
      </c>
      <c r="B113" t="s">
        <v>1422</v>
      </c>
    </row>
    <row r="114" spans="1:2" x14ac:dyDescent="0.35">
      <c r="A114" t="s">
        <v>15</v>
      </c>
      <c r="B114" t="s">
        <v>530</v>
      </c>
    </row>
    <row r="115" spans="1:2" x14ac:dyDescent="0.35">
      <c r="A115" t="s">
        <v>17</v>
      </c>
      <c r="B115" t="s">
        <v>1422</v>
      </c>
    </row>
    <row r="116" spans="1:2" x14ac:dyDescent="0.35">
      <c r="A116" t="s">
        <v>17</v>
      </c>
      <c r="B116" t="s">
        <v>1422</v>
      </c>
    </row>
    <row r="117" spans="1:2" x14ac:dyDescent="0.35">
      <c r="A117" t="s">
        <v>15</v>
      </c>
      <c r="B117" t="s">
        <v>530</v>
      </c>
    </row>
    <row r="118" spans="1:2" x14ac:dyDescent="0.35">
      <c r="A118" t="s">
        <v>17</v>
      </c>
      <c r="B118" t="s">
        <v>1422</v>
      </c>
    </row>
    <row r="119" spans="1:2" x14ac:dyDescent="0.35">
      <c r="A119" t="s">
        <v>17</v>
      </c>
      <c r="B119" t="s">
        <v>1422</v>
      </c>
    </row>
    <row r="120" spans="1:2" x14ac:dyDescent="0.35">
      <c r="A120" t="s">
        <v>17</v>
      </c>
      <c r="B120" t="s">
        <v>1422</v>
      </c>
    </row>
    <row r="121" spans="1:2" x14ac:dyDescent="0.35">
      <c r="A121" t="s">
        <v>15</v>
      </c>
      <c r="B121" t="s">
        <v>530</v>
      </c>
    </row>
    <row r="122" spans="1:2" x14ac:dyDescent="0.35">
      <c r="A122" t="s">
        <v>17</v>
      </c>
      <c r="B122" t="s">
        <v>1422</v>
      </c>
    </row>
    <row r="123" spans="1:2" x14ac:dyDescent="0.35">
      <c r="A123" t="s">
        <v>15</v>
      </c>
      <c r="B123" t="s">
        <v>540</v>
      </c>
    </row>
    <row r="124" spans="1:2" x14ac:dyDescent="0.35">
      <c r="A124" t="s">
        <v>15</v>
      </c>
      <c r="B124" t="s">
        <v>530</v>
      </c>
    </row>
    <row r="125" spans="1:2" x14ac:dyDescent="0.35">
      <c r="A125" s="7"/>
      <c r="B125" s="7"/>
    </row>
    <row r="126" spans="1:2" x14ac:dyDescent="0.35">
      <c r="A126" t="s">
        <v>17</v>
      </c>
      <c r="B126" t="s">
        <v>1422</v>
      </c>
    </row>
    <row r="127" spans="1:2" x14ac:dyDescent="0.35">
      <c r="A127" t="s">
        <v>17</v>
      </c>
      <c r="B127" t="s">
        <v>1432</v>
      </c>
    </row>
    <row r="128" spans="1:2" x14ac:dyDescent="0.35">
      <c r="A128" t="s">
        <v>17</v>
      </c>
      <c r="B128" t="s">
        <v>1422</v>
      </c>
    </row>
    <row r="129" spans="1:2" x14ac:dyDescent="0.35">
      <c r="A129" t="s">
        <v>15</v>
      </c>
      <c r="B129" t="s">
        <v>530</v>
      </c>
    </row>
    <row r="130" spans="1:2" x14ac:dyDescent="0.35">
      <c r="A130" t="s">
        <v>17</v>
      </c>
      <c r="B130" t="s">
        <v>1422</v>
      </c>
    </row>
    <row r="131" spans="1:2" x14ac:dyDescent="0.35">
      <c r="A131" t="s">
        <v>15</v>
      </c>
      <c r="B131" t="s">
        <v>530</v>
      </c>
    </row>
    <row r="132" spans="1:2" x14ac:dyDescent="0.35">
      <c r="A132" t="s">
        <v>17</v>
      </c>
      <c r="B132" t="s">
        <v>1422</v>
      </c>
    </row>
    <row r="133" spans="1:2" x14ac:dyDescent="0.35">
      <c r="A133" t="s">
        <v>17</v>
      </c>
      <c r="B133" t="s">
        <v>1422</v>
      </c>
    </row>
    <row r="134" spans="1:2" x14ac:dyDescent="0.35">
      <c r="A134" t="s">
        <v>17</v>
      </c>
      <c r="B134" t="s">
        <v>1422</v>
      </c>
    </row>
    <row r="135" spans="1:2" x14ac:dyDescent="0.35">
      <c r="A135" t="s">
        <v>17</v>
      </c>
      <c r="B135" t="s">
        <v>1422</v>
      </c>
    </row>
    <row r="136" spans="1:2" x14ac:dyDescent="0.35">
      <c r="A136" t="s">
        <v>15</v>
      </c>
      <c r="B136" t="s">
        <v>1433</v>
      </c>
    </row>
    <row r="137" spans="1:2" x14ac:dyDescent="0.35">
      <c r="A137" t="s">
        <v>17</v>
      </c>
      <c r="B137" t="s">
        <v>1434</v>
      </c>
    </row>
    <row r="138" spans="1:2" x14ac:dyDescent="0.35">
      <c r="A138" t="s">
        <v>15</v>
      </c>
      <c r="B138" t="s">
        <v>1433</v>
      </c>
    </row>
    <row r="139" spans="1:2" x14ac:dyDescent="0.35">
      <c r="A139" t="s">
        <v>17</v>
      </c>
      <c r="B139" t="s">
        <v>1434</v>
      </c>
    </row>
    <row r="140" spans="1:2" x14ac:dyDescent="0.35">
      <c r="A140" t="s">
        <v>17</v>
      </c>
      <c r="B140" t="s">
        <v>1422</v>
      </c>
    </row>
    <row r="141" spans="1:2" x14ac:dyDescent="0.35">
      <c r="A141" t="s">
        <v>17</v>
      </c>
      <c r="B141" t="s">
        <v>1435</v>
      </c>
    </row>
    <row r="142" spans="1:2" x14ac:dyDescent="0.35">
      <c r="A142" t="s">
        <v>15</v>
      </c>
      <c r="B142" t="s">
        <v>530</v>
      </c>
    </row>
    <row r="143" spans="1:2" x14ac:dyDescent="0.35">
      <c r="A143" t="s">
        <v>17</v>
      </c>
      <c r="B143" t="s">
        <v>1422</v>
      </c>
    </row>
    <row r="144" spans="1:2" x14ac:dyDescent="0.35">
      <c r="A144" t="s">
        <v>17</v>
      </c>
      <c r="B144" t="s">
        <v>1422</v>
      </c>
    </row>
    <row r="145" spans="1:2" x14ac:dyDescent="0.35">
      <c r="A145" t="s">
        <v>17</v>
      </c>
      <c r="B145" t="s">
        <v>1434</v>
      </c>
    </row>
    <row r="146" spans="1:2" x14ac:dyDescent="0.35">
      <c r="A146" t="s">
        <v>17</v>
      </c>
      <c r="B146" t="s">
        <v>1434</v>
      </c>
    </row>
    <row r="147" spans="1:2" x14ac:dyDescent="0.35">
      <c r="A147" t="s">
        <v>17</v>
      </c>
      <c r="B147" t="s">
        <v>1434</v>
      </c>
    </row>
    <row r="148" spans="1:2" x14ac:dyDescent="0.35">
      <c r="A148" t="s">
        <v>17</v>
      </c>
      <c r="B148" t="s">
        <v>282</v>
      </c>
    </row>
    <row r="149" spans="1:2" x14ac:dyDescent="0.35">
      <c r="A149" t="s">
        <v>15</v>
      </c>
      <c r="B149" t="s">
        <v>530</v>
      </c>
    </row>
    <row r="150" spans="1:2" x14ac:dyDescent="0.35">
      <c r="A150" t="s">
        <v>17</v>
      </c>
      <c r="B150" t="s">
        <v>282</v>
      </c>
    </row>
    <row r="151" spans="1:2" x14ac:dyDescent="0.35">
      <c r="A151" t="s">
        <v>17</v>
      </c>
      <c r="B151" t="s">
        <v>282</v>
      </c>
    </row>
    <row r="152" spans="1:2" x14ac:dyDescent="0.35">
      <c r="A152" t="s">
        <v>15</v>
      </c>
      <c r="B152" t="s">
        <v>530</v>
      </c>
    </row>
    <row r="153" spans="1:2" x14ac:dyDescent="0.35">
      <c r="A153" t="s">
        <v>17</v>
      </c>
      <c r="B153" t="s">
        <v>282</v>
      </c>
    </row>
    <row r="154" spans="1:2" x14ac:dyDescent="0.35">
      <c r="A154" t="s">
        <v>15</v>
      </c>
      <c r="B154" t="s">
        <v>34</v>
      </c>
    </row>
  </sheetData>
  <mergeCells count="1">
    <mergeCell ref="A1:B1"/>
  </mergeCells>
  <conditionalFormatting sqref="A1:A1048576 B51:B82 B84:B124 B126:B154">
    <cfRule type="containsText" dxfId="1" priority="1" operator="containsText" text="Exclude">
      <formula>NOT(ISERROR(SEARCH("Exclude",A1)))</formula>
    </cfRule>
    <cfRule type="containsText" dxfId="0" priority="2" operator="containsText" text="Include">
      <formula>NOT(ISERROR(SEARCH("Include",A1)))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7044083-10EB-4381-95FB-EA307166AD35}">
          <x14:formula1>
            <xm:f>Sheet1!$A$2:$A$3</xm:f>
          </x14:formula1>
          <xm:sqref>A3:A363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6F68C891D3D04FA1D9A6968A0EB575" ma:contentTypeVersion="10" ma:contentTypeDescription="Create a new document." ma:contentTypeScope="" ma:versionID="2774ec2767a58be685ae6024e1a34a34">
  <xsd:schema xmlns:xsd="http://www.w3.org/2001/XMLSchema" xmlns:xs="http://www.w3.org/2001/XMLSchema" xmlns:p="http://schemas.microsoft.com/office/2006/metadata/properties" xmlns:ns1="http://schemas.microsoft.com/sharepoint/v3" xmlns:ns2="5f54df01-1c7c-473e-8e5e-982056830934" xmlns:ns3="d07fe06a-6cff-4c83-bff1-85065ac36bbb" xmlns:ns4="58920624-9eda-4243-a384-62b1c8dee49c" xmlns:ns5="9f740644-79ec-4768-90ed-229b3a8a5299" targetNamespace="http://schemas.microsoft.com/office/2006/metadata/properties" ma:root="true" ma:fieldsID="dfc08a5ba13a0753aa40c25245a6ee0f" ns1:_="" ns2:_="" ns3:_="" ns4:_="" ns5:_="">
    <xsd:import namespace="http://schemas.microsoft.com/sharepoint/v3"/>
    <xsd:import namespace="5f54df01-1c7c-473e-8e5e-982056830934"/>
    <xsd:import namespace="d07fe06a-6cff-4c83-bff1-85065ac36bbb"/>
    <xsd:import namespace="58920624-9eda-4243-a384-62b1c8dee49c"/>
    <xsd:import namespace="9f740644-79ec-4768-90ed-229b3a8a529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Notes" minOccurs="0"/>
                <xsd:element ref="ns2:Miro" minOccurs="0"/>
                <xsd:element ref="ns2:MediaServiceObjectDetectorVersions" minOccurs="0"/>
                <xsd:element ref="ns2:MediaServiceLocation" minOccurs="0"/>
                <xsd:element ref="ns2:MediaServiceSearchProperties" minOccurs="0"/>
                <xsd:element ref="ns2:Teammember" minOccurs="0"/>
                <xsd:element ref="ns1:_ip_UnifiedCompliancePolicyProperties" minOccurs="0"/>
                <xsd:element ref="ns1:_ip_UnifiedCompliancePolicyUIAction" minOccurs="0"/>
                <xsd:element ref="ns4:TaxCatchAll" minOccurs="0"/>
                <xsd:element ref="ns5: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f54df01-1c7c-473e-8e5e-9820568309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Note">
          <xsd:maxLength value="255"/>
        </xsd:restriction>
      </xsd:simpleType>
    </xsd:element>
    <xsd:element name="Miro" ma:index="21" nillable="true" ma:displayName="Miro" ma:format="Hyperlink" ma:internalName="Miro">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Teammember" ma:index="25" nillable="true" ma:displayName="Team member" ma:format="Dropdown" ma:list="UserInfo" ma:SharePointGroup="0" ma:internalName="Teammemb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07fe06a-6cff-4c83-bff1-85065ac36bbb"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8920624-9eda-4243-a384-62b1c8dee49c"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3b3729ee-1750-4b39-bb81-390abc4af45e}" ma:internalName="TaxCatchAll" ma:showField="CatchAllData" ma:web="58920624-9eda-4243-a384-62b1c8dee49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f740644-79ec-4768-90ed-229b3a8a5299" elementFormDefault="qualified">
    <xsd:import namespace="http://schemas.microsoft.com/office/2006/documentManagement/types"/>
    <xsd:import namespace="http://schemas.microsoft.com/office/infopath/2007/PartnerControls"/>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9f740644-79ec-4768-90ed-229b3a8a5299">
      <Terms xmlns="http://schemas.microsoft.com/office/infopath/2007/PartnerControls"/>
    </lcf76f155ced4ddcb4097134ff3c332f>
    <TaxCatchAll xmlns="58920624-9eda-4243-a384-62b1c8dee49c" xsi:nil="true"/>
    <Teammember xmlns="5f54df01-1c7c-473e-8e5e-982056830934">
      <UserInfo>
        <DisplayName/>
        <AccountId xsi:nil="true"/>
        <AccountType/>
      </UserInfo>
    </Teammember>
    <_ip_UnifiedCompliancePolicyProperties xmlns="http://schemas.microsoft.com/sharepoint/v3" xsi:nil="true"/>
    <Notes xmlns="5f54df01-1c7c-473e-8e5e-982056830934" xsi:nil="true"/>
    <Miro xmlns="5f54df01-1c7c-473e-8e5e-982056830934">
      <Url xsi:nil="true"/>
      <Description xsi:nil="true"/>
    </Miro>
  </documentManagement>
</p:properties>
</file>

<file path=customXml/itemProps1.xml><?xml version="1.0" encoding="utf-8"?>
<ds:datastoreItem xmlns:ds="http://schemas.openxmlformats.org/officeDocument/2006/customXml" ds:itemID="{16568D5C-D643-452B-A36E-17E2B13B79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f54df01-1c7c-473e-8e5e-982056830934"/>
    <ds:schemaRef ds:uri="d07fe06a-6cff-4c83-bff1-85065ac36bbb"/>
    <ds:schemaRef ds:uri="58920624-9eda-4243-a384-62b1c8dee49c"/>
    <ds:schemaRef ds:uri="9f740644-79ec-4768-90ed-229b3a8a52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49B202-E06C-4B03-A5C6-B4EB9857501A}">
  <ds:schemaRefs>
    <ds:schemaRef ds:uri="http://schemas.microsoft.com/sharepoint/v3/contenttype/forms"/>
  </ds:schemaRefs>
</ds:datastoreItem>
</file>

<file path=customXml/itemProps3.xml><?xml version="1.0" encoding="utf-8"?>
<ds:datastoreItem xmlns:ds="http://schemas.openxmlformats.org/officeDocument/2006/customXml" ds:itemID="{44234887-9518-49DB-BFC1-343D14F71288}">
  <ds:schemaRefs>
    <ds:schemaRef ds:uri="http://schemas.microsoft.com/office/2006/metadata/properties"/>
    <ds:schemaRef ds:uri="http://schemas.microsoft.com/office/infopath/2007/PartnerControls"/>
    <ds:schemaRef ds:uri="http://schemas.microsoft.com/sharepoint/v3"/>
    <ds:schemaRef ds:uri="9f740644-79ec-4768-90ed-229b3a8a5299"/>
    <ds:schemaRef ds:uri="58920624-9eda-4243-a384-62b1c8dee49c"/>
    <ds:schemaRef ds:uri="5f54df01-1c7c-473e-8e5e-9820568309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361_articles - manual screening</vt:lpstr>
      <vt:lpstr>Sheet1</vt:lpstr>
      <vt:lpstr>Sheet2</vt:lpstr>
      <vt:lpstr>archive stage 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FINLAY, Freddie (NHS MIDLANDS AND LANCASHIRE COMMISSIONING SUPPORT UNIT)</dc:creator>
  <cp:keywords/>
  <dc:description/>
  <cp:lastModifiedBy>CAREY, Oliver (NHS MIDLANDS AND LANCASHIRE COMMISSIONI</cp:lastModifiedBy>
  <cp:revision/>
  <dcterms:created xsi:type="dcterms:W3CDTF">2025-09-02T13:16:07Z</dcterms:created>
  <dcterms:modified xsi:type="dcterms:W3CDTF">2025-09-10T12:25:26Z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0x010100AB6F68C891D3D04FA1D9A6968A0EB575</vt:lpwstr>
  </property>
  <property fmtid="{D5CDD505-2E9C-101B-9397-08002B2CF9AE}" pid="3" name="MediaServiceImageTags">
    <vt:lpwstr/>
  </property>
</Properties>
</file>