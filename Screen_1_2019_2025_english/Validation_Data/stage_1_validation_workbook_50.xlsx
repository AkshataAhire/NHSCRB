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47C199C5-6861-4965-9D89-4343073AD1CB}" xr6:coauthVersionLast="47" xr6:coauthVersionMax="47" xr10:uidLastSave="{00000000-0000-0000-0000-000000000000}"/>
  <bookViews>
    <workbookView xWindow="-110" yWindow="-110" windowWidth="19420" windowHeight="10300" activeTab="3" xr2:uid="{66513E08-89B8-4D61-A86D-819C01466699}"/>
  </bookViews>
  <sheets>
    <sheet name="Stage_1_API_50" sheetId="1" r:id="rId1"/>
    <sheet name="Stage_1_FF_50" sheetId="2" r:id="rId2"/>
    <sheet name="Merged results table" sheetId="3" r:id="rId3"/>
    <sheet name="Evaluating Results" sheetId="4" r:id="rId4"/>
  </sheets>
  <definedNames>
    <definedName name="_xlnm._FilterDatabase" localSheetId="2" hidden="1">'Merged results table'!$A$1:$L$52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4" l="1"/>
  <c r="B11" i="4"/>
  <c r="B9" i="4"/>
  <c r="B8" i="4"/>
  <c r="B7" i="4"/>
  <c r="B6" i="4"/>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B4" i="4" s="1"/>
  <c r="L18" i="3"/>
  <c r="L17" i="3"/>
  <c r="L16" i="3"/>
  <c r="L15" i="3"/>
  <c r="L14" i="3"/>
  <c r="L13" i="3"/>
  <c r="L12" i="3"/>
  <c r="L11" i="3"/>
  <c r="L10" i="3"/>
  <c r="L9" i="3"/>
  <c r="L8" i="3"/>
  <c r="L7" i="3"/>
  <c r="L6" i="3"/>
  <c r="L5" i="3"/>
  <c r="L4" i="3"/>
  <c r="L3" i="3"/>
  <c r="L2" i="3"/>
  <c r="B3" i="4"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C3" i="4" l="1"/>
  <c r="C4" i="4"/>
</calcChain>
</file>

<file path=xl/sharedStrings.xml><?xml version="1.0" encoding="utf-8"?>
<sst xmlns="http://schemas.openxmlformats.org/spreadsheetml/2006/main" count="910" uniqueCount="237">
  <si>
    <t>id</t>
  </si>
  <si>
    <t>Year</t>
  </si>
  <si>
    <t>Title</t>
  </si>
  <si>
    <t>Abstract</t>
  </si>
  <si>
    <t>detected_language</t>
  </si>
  <si>
    <t>publication_year</t>
  </si>
  <si>
    <t>confidence_stage1</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</si>
  <si>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</si>
  <si>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</si>
  <si>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Â© 2019 Elsevier Ltd</t>
  </si>
  <si>
    <t>English article published in 2019.</t>
  </si>
  <si>
    <t>English</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</si>
  <si>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</si>
  <si>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</si>
  <si>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Â© 2019</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</si>
  <si>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</si>
  <si>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</si>
  <si>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Â© 2019</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</si>
  <si>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</si>
  <si>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</si>
  <si>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Participantâ€assessed outcomes, such as perception of DLs, and oral healthâ€related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Parallelâ€group, randomised controlled trials comparing the use of a fluorideâ€containing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lowâ€certainty evidence). One placebo (nonâ€fluoride)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comparisons:â€¨ â€ an amine fluoride and stannous fluoride toothpaste/mouthrinse combination versus a sodium fluoride toothpaste/mouthrinse,â€¨ â€ an amine fluoride gel versus a nonâ€fluoride placebo applied by participants at home once a week and by professional application every three months,â€¨ â€ resinâ€modified glass ionomer cement versus lightâ€cured composite resin for bonding orthodontic brackets,â€¨ â€ a 250 ppm F mouthrinse versus 0 ppm F placebo mouthrinse,â€¨ â€ the use of an intraoral fluorideâ€releasing glass bead device attached to the brace versus a daily fluoride mouthrinse. The last two comparisons involved studies that were assessed at high risk of bias, because a substantial number of participants were lost to followâ€up.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followâ€up studies, in different settings, to confirm external validity. A patientâ€reported outcome, such as concern about the aesthetics of any DLs, was still not included as an outcome in any study. Reports of adverse effects from topical fluoride applications were rare and unlikely to be significant. One study involving fluorideâ€containing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â€¨ Ugly white or brown marks sometimes appear on the teeth during treatment with braces to straighten teeth. These are due to early tooth decay and usually occur with fixed, gluedâ€on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â€¨ Wearing a fixed brace makes it harder for people to keep their teeth clean and may also cause pain. Pain can make it more difficult for people to brush their teeth. This can lead to a buildâ€up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â€¨ This review is upâ€toâ€date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treatments:â€¨ â€ dentist or nurseâ€applied fluoride e.g. varnish, gel or foam,â€¨ â€ patientâ€applied/used fluoride e.g. toothpaste, mouthwash, gel or foam, andâ€¨ â€ materials that release fluoride over time e.g. glues, elastic bands. Key results 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â€¨ The level of belief we have in these findings is low, due to the lack of studies testing the same fluorides and showing the same results. We suggest that more, wellâ€conducted studies should be done in this area.</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</si>
  <si>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</si>
  <si>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</si>
  <si>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Â© 2019</t>
  </si>
  <si>
    <t>J505</t>
  </si>
  <si>
    <t>Fetal fibronectin testing for reducing the risk of preterm birth</t>
  </si>
  <si>
    <t>- Background Fetal fibronectin (FFN) is an extracellular matrix glycoprotein localized at the maternalâ€fetal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lowâ€quality evidence). However, management based on knowledge of FFN results may make little or no difference to preterm birth before 34 (RR 1.09, 95% CI 0.54 to 2.18; 4 trials; 357 women; lowâ€quality evidence) or maternal hospitalization (RR 1.06, 95% CI 0.79 to 1.43; 5 trials; 441 women; lowâ€quality evidence). The evidence for preterm birth before 32 weeks is uncertain because the quality was found to be very low (average RR 0.79, 95% CI 0.16 to 3.96; 4 trials; 357 women; very lowâ€quality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â€˜glueâ€™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womenâ€™s gestational age at delivery; babies with a birthweight less than 2500 g; newborn deaths; the number of babies with respiratory distress syndrome; giving steroids to mature the unborn babiesâ€™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</si>
  <si>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</si>
  <si>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</si>
  <si>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TVUâ€measured cervical length of singletons with symptoms of PTL versus no knowledge. We are uncertain of the effects because of inconclusive results and very lowâ€quality evidence for: preterm births at less than 37 weeks (average RR 0.59, 95% CI 0.26 to 1.32; 2 studies, 242 participants; IÂ² = 66%; TauÂ²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costâ€effectiveness analyses. Most importantly, future studies should include a clear protocol for management of women based on TVUâ€measured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costâ€effectiveness analyses.</t>
  </si>
  <si>
    <t>J507</t>
  </si>
  <si>
    <t>Comparison of different human papillomavirus (HPV) vaccine types and dose schedules for prevention of HPVâ€related disease in females and males</t>
  </si>
  <si>
    <t>- Background Uptake of human papillomavirus (HPV) vaccine remains low in many countries, although the bivalent and quadrivalent HPV vaccines given as a threeâ€dose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HIVâ€negative males or females aged 9 to 26 years, or HIVâ€positive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followâ€up in the included studies ranged from seven months to five years. Two doses versus three doses of HPV vaccine in 9â€ to 15â€yearâ€old females Antibody responses after twoâ€dose and threeâ€dose HPV vaccine schedules were similar after up to five years of followâ€up (4 RCTs, moderateâ€ to highâ€certainty evidence). No RCTs collected clinical outcome data. Evidence about serious adverse events in studies comparing dose schedules was of very lowâ€certainty owing to imprecision and indirectness (three doses 35/1159; two doses 36/1158; 4 RCTs). One death was reported in the threeâ€dose group (1/898) and none in the twoâ€dose group (0/899) (lowâ€certainty evidence). Interval between doses of HPV vaccine in 9â€ to 14â€yearâ€old females and males Antibody responses were stronger with a longer interval (6 or 12 months) between the first two doses of HPV vaccine than a shorter interval (2 or 6 months) at up to three years of followâ€up (4 RCTs, moderateâ€ to highâ€certainty evidence). No RCTs collected data about clinical outcomes. Evidence about serious adverse events in studies comparing intervals was of very lowâ€certainty, owing to imprecision and indirectness. No deaths were reported in any of the studies (0/1898, 3 RCTs, lowâ€certainty evidence). HPV vaccination of 10â€ to 26â€yearâ€old males In one RCT there was moderateâ€certainty evidence that quadrivalent HPV vaccine, compared with control, reduced the incidence of external genital lesions (control 36 per 3081 personâ€years; quadrivalent 6 per 3173 personâ€years; rate ratio 0.16, 95% CI 0.07 to 0.38; 6254 personâ€years) and anogenital warts (control 28 per 2814 personâ€years; quadrivalent 3 per 2831 personâ€years; rate ratio 0.11, 95% CI 0.03 to 0.38; 5645 personâ€years). The quadrivalent vaccine resulted in more injectionâ€site adverse events, such as pain or redness, than control (5 7 versus 601 per 1000; risk ratio (RR) 1.12, 95% CI 1.06 to 1.18, 3895 participants, highâ€certainty evidence). There was very lowâ€certainty evidence from two RCTs about serious adverse events with quadrivalent vaccine (control 12/2588; quadrivalent 8/2574), and about deaths (control 11/2591; quadrivalent 3/2582), owing to imprecision and indirectness. Nonavalent versus quadrivalent vaccine in 9â€ to 26â€yearâ€old females and males Three RCTs were included; one in females aged 9â€ to 15â€years (n = 600), one in females aged 16â€ to 26â€years (n = 14,215), and one in males aged 16â€ to 26â€years (n = 500). The RCT in 16â€ to 26â€yearâ€old females reported clinical outcomes. There was little to no difference in the incidence of the combined outcome of highâ€grade cervical epithelial neoplasia, adenocarcinoma in situ, or cervical cancer between the HPV vaccines (quadrivalent 325/6882, nonavalent 326/6871; OR 1.00, 95% CI 0.85 to 1.16; 13,753 participants; highâ€certainty evidence). The other two RCTs did not collect data about clinical outcomes. There were slightly more local adverse events with the nonavalent vaccine (905 per 1000) than the quadrivalent vaccine (846 per 1000) (RR 1.07, 95% CI 1.05 to 1.08; 3 RCTs, 15,863 participants; highâ€certainty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(lowâ€certainty evidence). The evidence about clinical outcomes and harms for HPV vaccines in people with HIV is very uncertain (lowâ€ to very lowâ€certainty evidence), owing to imprecision and indirectness. Authors' conclusions The immunogenicity of twoâ€dose and threeâ€dose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Postâ€marketing surveillance is needed to continue monitoring harms that might be associated with HPV vaccines in the population, and this evidence will be incorporated in future updates of this review. Longâ€term observational studies are needed to determine the effectiveness of reducedâ€dose schedules against HPVâ€related cancer endpoints, and whether adopting these schedules improves vaccine coverage rates. Plain language summary Comparison of different human papillomavirus (HPV) vaccines and the number of doses administered to prevent HPVâ€related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â€“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16â€ to 26â€yearâ€old men, one study showed evidence of moderate certainty that a quadrivalent HPV vaccine provides better protection against external genital lesions and genital warts than a dummy treatment (control). In 16â€ to 26â€yearâ€old women, one study showed that the nonavalent and quadrivalent vaccines provide the same levels of protection against cervical, vaginal, and vulval precancer lesions and cancer (highâ€certainty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lowâ€certainty. In people living with HIV, HPV vaccines result in reasonable levels of immune system response, but evidence about their effects on persistent HPV infection or HPVâ€related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Moderateâ€certainty evidence means that there is a possibility that further research may have an important effect on our findings, whilst lowâ€certainty evidence means that our confidence was limited and further research may have an important impact on our findings. Very lowâ€certainty evidence means that we were uncertain about the result. Conclusion A twoâ€dose schedule of HPV vaccines in young females results in immune system responses that are comparable with a threeâ€dose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longâ€term populationâ€level studies are needed to continue monitoring safety of these vaccines, to determine for how long two doses of vaccine can provide protection against HPVâ€related disease, the effect against HPVâ€related cancer, and whether a twoâ€dose immunisation schedule will increase vaccine coverage.</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</si>
  <si>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</si>
  <si>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</si>
  <si>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Â©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</si>
  <si>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</si>
  <si>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</si>
  <si>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Â© 2019 European Centre for Disease Prevention and Control (ECDC). All rights reserved.</t>
  </si>
  <si>
    <t>J510</t>
  </si>
  <si>
    <t>Treatment for hepatorenal syndrome in people with decompensated liver cirrhosis: a network metaâ€analysis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</si>
  <si>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metaâ€analysis with OpenBUGS using Bayesian methods and calculated the odds ratio (OR), rate ratio, hazard ratio (HR), and mean difference (MD) with 95% credible intervals (CrI) based on an availableâ€case analysis, according to National Institute of Health and Care Excellence Decision Support Unit guidance. Main results We included a total of 25 trials (1263 participants; 12 interventions) in the review. Twentyâ€three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followâ€up between the different interventions. None of the trials reported healthâ€related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followâ€up (four trials; 342 participants), or other features of decompensation at maximal followâ€up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lowâ€certainty evidence, there is no evidence of benefit or harm of any of the interventions for hepatorenal syndrome with regards to the following outcomes: allâ€cause mortality, serious adverse events (proportion), number of serious adverse events per participant, any adverse events (proportion), liver transplantation, or other decompensation events. Lowâ€certainty evidence suggests that albumin plus noradrenaline had fewer 'any adverse events per participant' than albumin plus terlipressin. Lowâ€ or very lowâ€certainty evidence also found that albumin plus midodrine plus octreotide and albumin alone had lower recovery from hepatorenal syndrome compared with albumin plus terlipressin. Future randomised clinical trials should be adequately powered; employ blinding, avoid postâ€randomisation dropouts or planned crossâ€overs (or perform an intentionâ€toâ€treat analysis); and report clinically important outcomes such as mortality, healthâ€related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metaâ€analysis' or 'multiple treatment comparisons'). The aim is to gather reliable evidence on the relative benefits and harms of the different treatments. Date of literature search â€¨ December 2018 Key messages 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nonâ€serious complications, time to liver transplantation, recovery from hepatorenal syndrome, and disappearance of symptoms. What were the main results of the review? The 25 studies included a small number of participants (1263 participants). Study data were sparse. Twentyâ€three studies with 1185 participants provided data for analyses. The followâ€up in the trials ranged from one week to six months. The review shows that: â€ About 60 out of every 100 people died within three months, and 35 out of every 100 people recovered from hepatorenal syndrome. 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â€ None of the trials reported healthâ€related quality of life. â€ The number of complications of any severity was lower with albumin plus noradrenaline than albumin plus terlipressin. â€ Recovery from hepatorenal syndrome may be lower with albumin plus midodrine plus octreotide and albumin alone than albumin plus terlipressin and albumin plus noradrenaline. â€ We have very low confidence in the overall results. â€ Future trials with proper design and quality are needed to clarify the best treatment for people with advanced liver disease having hepatorenal syndrome.</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</si>
  <si>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</si>
  <si>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</si>
  <si>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</si>
  <si>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</si>
  <si>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</si>
  <si>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</si>
  <si>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</si>
  <si>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Onceâ€daily versus multipleâ€daily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</si>
  <si>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onceâ€daily versus multipleâ€daily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onceâ€daily dosing of aminoglycosides has been compared with multipleâ€daily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onceâ€daily dosing with thriceâ€daily dosing. One crossâ€over trial had 26 participants who received the firstâ€arm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â€2.81 to 3.48, moderateâ€quality evidence); forced vital capacity, MD 0.29 (95% CI â€6.58 to 7.16, lowâ€quality evidence); % weight for height, MD â€0.82 (95% CI â€3.77 to 2.13, lowâ€quality evidence); body mass index, MD 0.00 (95% CI â€0.42 to 0.42, lowâ€quality evidence); or in the incidence of ototoxicity, relative risk 0.56 (95% CI 0.04 to 7.96, moderateâ€quality evidence). Onceâ€daily treatment in children probably improved the percentage change in creatinine, MD â€8.20 (95% CI â€15.32 to â€1.08, moderateâ€quality evidence), but showed no difference in adults, MD 3.25 (95% CI â€1.82 to 8.33, moderateâ€quality evidence). The included trials did not report antibiotic resistance patterns or quality of life. Authors' conclusions Onceâ€ and threeâ€times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onceâ€aâ€day dosing with three timesâ€aâ€day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onceâ€daily treatment can be just as effective and more convenient than threeâ€times daily treatment, we recommend further studies to look at the longâ€term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</si>
  <si>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J514</t>
  </si>
  <si>
    <t>â€‹Primary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</si>
  <si>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Inâ€Process &amp; Other Nonâ€Indexed Citations); Ovid Embase and EBSCO CINAHL Plus. We also searched clinical trials registries for ongoing and unpublished studies, and scanned reference lists of relevant included studies as well as reviews, metaâ€analyses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fullâ€text publications, applied the inclusion criteria, and extracted data. We pooled data using a randomâ€effects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â€1.31, 95% CI â€2.03 to â€0.59; 1 study, 182 participants). The certainty of evidence for this outcome was judged to be moderate (we downgraded our assessment by one level for imprecision). We are uncertain whether primary closure improves the proportion of dog bite wounds that are infectionâ€free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lowerâ€income countries bites can also be caused by wild animals. Dogs are generally responsible for the majority of bites. Bite wounds are at high risk of infection as microbes are transmitted into the wound from the animal's mouth. In lowerâ€income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infectionâ€free compared with no closure (very lowâ€certainty evidence from two studies including a total of 782 people) and compared with delayed closure (very lowâ€certainty evidence from one study with a total of 120 people). There is little difference in the appearance of dog bite wounds when primary closure is compared with no closure (moderateâ€certainty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</si>
  <si>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</si>
  <si>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</si>
  <si>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(XpressIveÂ©) and Discrete-Even Simulation (Simul8 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</si>
  <si>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</si>
  <si>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</si>
  <si>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nonâ€exercise (e.g. biofeedback), and other exercise interventions. Design flaws across studies led to selection, performance, detection, and selective reporting biases. We prioritised the findings of mixed exercise compared to control and present them fully here. Twentyâ€one trials (1253 participants) provided moderateâ€quality evidence for all major outcomes but stiffness (low quality). With the exception of withdrawals and adverse events, major outcome measures were selfâ€reported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moderateâ€quality risk ratio for allâ€cause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lowâ€quality evidence on longâ€term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Lowâ€quality evidence suggests that mixed exercise may slightly improve stiffness. Very lowâ€quality evidence indicates that we are 'uncertain' whether the longâ€term effects of mixed exercise are maintained for all outcomes; allâ€cause withdrawals and adverse events were not measured. Compared to other exercise or nonâ€exercise interventions, we are uncertain about the effects of mixed exercise because we found only very lowâ€quality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â€“ mixed exercise vs control Each outcome below is measured on a scale that goes from 0 to 100, where lower sco es are better. Healthâ€related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â€“ 11% of control participants left the study early compared with 12% of exercisers. Longâ€term effects â€ Analysis of longâ€term effects of HRQL showed maintenance of mixed exercise effects at 6 to 12 weeks and at 13 to 26 weeks but not at 27 to 52 weeks. Very lowâ€quality evidence suggests that it is uncertain whether mixed exercises improve HRQL in the long term. Withdrawals and adverse events were not measured. Other â€ Reviewers found no evidence that the benefits and harms of mixed exercise were any different from education programmes, cognitiveâ€behavioural training, biofeedback, medication, or other types of exercise. Conclusions and quality of evidence Mixed exercise may improve HRQL and the ability to do daily activities, may decrease pain and tiredness, and may be acceptable to individuals with fibromyalgia. Lowâ€quality evidence suggests that mixed exercise may slightly improve stiffness. When compared to other exercise or nonâ€exercise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</si>
  <si>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J517</t>
  </si>
  <si>
    <t>The health economics of ankle and foot sprains and fractures: A systematic review of English-language published papers. Part 2: The direct and indirect costs of injury</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</si>
  <si>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Â© 2017 Elsevier Ltd</t>
  </si>
  <si>
    <t>Copyright indicates publication in 2017</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</si>
  <si>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</si>
  <si>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</si>
  <si>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Â© 2019</t>
  </si>
  <si>
    <t>J519</t>
  </si>
  <si>
    <t>Lateral flow urine lipoarabinomannan assay for detecting active tuberculosis in people living with HIV</t>
  </si>
  <si>
    <t>- Background The lateral flow urine lipoarabinomannan (LFâ€LAM) assay Alere Determineâ„¢ TB LAM Ag is recommended by the World Health Organization (WHO) to help detect active tuberculosis in HIVâ€positive people with severe HIV disease. This review update asks the question, does new evidence justify the use of LFâ€LAM in a broader group of people?â€, and is part of the WHO process for updating guidance on the use of LFâ€LAM. Objectives To assess the accuracy of LFâ€LAM for the diagnosis of active tuberculosis among HIVâ€positive adults with signs and symptoms of tuberculosis (symptomatic participants) and among HIVâ€positive adults irrespective of signs and symptoms of tuberculosis (unselected participants not assessed for tuberculosis signs and symptoms). The proposed role for LFâ€LAM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crossâ€sectional, and observational cohort studies that evaluated LFâ€LAM for active tuberculosis (pulmonary and extrapulmonary) in HIVâ€positive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Studiesâ€2 (QUADASâ€2) tool and performed metaâ€analyses to estimate pooled sensitivity and specificity using a bivariate randomâ€effects model and a Bayesian approach. We analyzed studies enrolling strictly symptomatic participants separately from those enrolling unselected participants. We investigated preâ€defined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lowâ€ or middleâ€income countries. Risk of bias was high in the patient selection and reference standard domains, mainly because studies excluded participants unable to produce sputum and used a lower quality reference standard. Participants with tuberculosis symptoms LFâ€LAM pooled sensitivity (95% credible interval (CrI) ) was 42% (31% to 55%) (moderateâ€certainty evidence) and pooled specificity was 91% (85% to 95%) (very lowâ€certainty evidence), (8 studies, 3449 participants, 37% with tuberculosis).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LFâ€LAM pooled sensitivity was 35% (22% to 50%), (moderateâ€certainty evidence) and pooled specificity was 95% (89% to 96%), (lowâ€certainty evidence), (7 studies, 3365 participants, 13% with tuberculosis).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LFâ€LAM has a sensitivity of 42% to diagnose tuberculosis in HIVâ€positive individuals with tuberculosis symptoms and 35% in HIVâ€positive individuals not assessed for tuberculosis symptoms, consistent with findings reported previously. Regardless of how people are enrolled, sensitivity is higher in inpatients and those with lower CD4 cell, but a concomitant lower specificity. As a simple pointâ€ofâ€care test that does not depend upon sputum evaluation, LFâ€LAM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(LFâ€LAM, Alere Determineâ„¢ TB LAM Ag assay) is a World Health Organizationâ€recommended rapid test to assist in detection of active tuberculosis in HIVâ€positive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LFâ€LAM is for diagnosing tuberculosis in HIVâ€positive people with tuberculosis symptoms (symptomatic participants) and those not assessed for tuberculosis symptoms (unselected participants). This is an update of the 2016 Cochrane Review. What was studied in this review? LFâ€LAM is a commercially available pointâ€ofâ€care test that detects lipoarabinomannan (LAM), a component of the bacterial cell walls, present in some people with active tuberculosis. The test is simple and shows results in 25 minutes. LFâ€LAM results were measured against culture or molecular tests (benchmark). What are the main results of this review? Fifteen studies: eight studies evaluated LFâ€LAM for tuberculosis among symptomatic participants and seven studies among unselected participants. All studies were conducted in lowâ€ or middleâ€income countries. Tuberculosis diagnosis among symptomatic participants: LFâ€LAM registered positive in 42% (sensitivity) of people who actually had tuberculosis and did not register positive in 91% of people who were actually negative (specificity). Tuberculosis diagnosis among unselected participants: LFâ€LAM sensitivity was 35% and specificity 95%. How confident are we in the reviewâ€™s results? Several studies excluded participants who could not produce sputum and most studies relied on a lower quality benchmark. Few studies and participants were included in some analyses and only one study was conducted outside of subâ€Saharan Africa. Results should be interpreted with caution. What do the results mean? Among symptomatic participants, in theory,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Among unselected participants, in theory,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Who do the reviewâ€™s results apply to? HIVâ€positive people with tuberculosis symptoms and those not assessed for tuberculosis symptoms. What are the implications of this review? LFâ€LAM has sensitivity around 40% to detect tuberculosis. As the test does not require sputum collection, LFâ€LAM may be the only way to diagnose tuberculosis when sputum cannot be produced. How upâ€toâ€date is this review? To 11 May 2018."</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</si>
  <si>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</si>
  <si>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</si>
  <si>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</si>
  <si>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</si>
  <si>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</si>
  <si>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Â©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</si>
  <si>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</si>
  <si>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</si>
  <si>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Â© Published by the BMJ Publishing Group Limited.</t>
  </si>
  <si>
    <t>J523</t>
  </si>
  <si>
    <t>Perioperative betaâ€blockers for preventing surgeryâ€related mortality and morbidity in adults undergoing nonâ€cardiac surgery</t>
  </si>
  <si>
    <t>- Background Randomized controlled trials (RCTs) have yielded conflicting results regarding the ability of betaâ€blockers to influence perioperative cardiovascular morbidity and mortality. Thus routine prescription of these drugs in an unselected population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nonâ€cardiac surgery only. Objectives To assess the effectiveness of perioperatively administered betaâ€blockers for the prevention of surgeryâ€related mortality and morbidity in adults undergoing nonâ€cardiac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nonâ€cardiac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quasiâ€randomized studies. All participants were undergoing nonâ€cardiac surgery, and types of surgery ranged from low to high risk. Types of betaâ€blockers were: propranolol, metoprolol, esmolol, landiolol, nadolol, atenolol, labetalol, oxprenolol, and pindolol. In nine studies, betaâ€blockers were titrated according to heart rate or blood pressure. Duration of administration varied between studies, as did the time at which drugs were administered; in most studies, it was intraoperatively, but in 18 studies it was before surgery, in six postoperatively, one multiâ€arm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openâ€label study design. Only two studies were prospectively registered with clinical trials registers, which limited the assessment of reporting bias. In six studies, participants in the control group were given betaâ€blockers as rescue therapy during the study period. The evidence for allâ€cause mortality at 30 days was uncertain; based on the risk of death in the control group of 25 per 1000, the effect with betaâ€blockers was between two fewer and 13 more per 1000 (risk ratio (RR) 1.17, 95% confidence interval (CI) 0.89 to 1.54; 16 studies, 11,446 participants; lowâ€certainty evidence). Betaâ€blockers may reduce the incidence of myocardial infarction by 13 fewer incidences per 1000 (RR 0.72, 95% CI 0.60 to 0.87; 12 studies, 10,520 participants; lowâ€certainty evidence). We found no evidence of a difference in cerebrovascular events (RR 1.65, 95% CI 0.97 to 2.81; 6 studies, 9460 participants; lowâ€certainty evidence), or in ventricular arrhythmias (RR 0.72, 95% CI 0.35 to 1.47; 5 studies, 47 participants; very lowâ€certainty evidence). Betaâ€blockers may reduce atrial fibrillation or flutter by 26 fewer incidences per 1000 (RR 0.41, 95% CI 0.21 to 0.79; 9 studies, 9080 participants; lowâ€certainty evidence). However, betaâ€blockers may increase bradycardia by 55 more incidences per 1000 (RR 2.49, 95% CI 1.74 to 3.56; 49 studies, 12,239 participants; lowâ€certainty evidence), and hypotension by 44 more per 1000 (RR 1.40, 95% CI 1.29 to 1.51; 49 studies, 12,304 participants; moderateâ€certainty evidence). We downgraded the certainty of the evidence owing to study limitations; some studies had high risks of bias, and the effects were sometimes altered when we excluded studies with a standard care control group (including only placeboâ€controlled trials showed an increase in early mortality and cerebrovascular events with betaâ€blockers). We also downgraded for inconsistency; one large, wellâ€conducted, international study found a reduction in myocardial infarction, and an increase in cerebrovascular events and allâ€cause mortality, when betaâ€blockers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allâ€cause mortality with perioperative betaâ€blockers was uncertain. We found no evidence of a difference in cerebrovascular events or ventricular arrhythmias, and the certainty of the evidence for these outcomes was low and very low. We found lowâ€certainty evidence that betaâ€blockers may reduce atrial fibrillation and myocardial infarctions. However, betaâ€blockers may increase bradycardia (lowâ€certainty evidence) and probably increase hypotension (moderateâ€certainty evidence). Further evidence from large placeboâ€controlled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Betaâ€blockers to prevent death or serious events after surgery not involving the heart This review assessed evidence from randomized controlled trials (RCTs) on whether betaâ€blockers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Betaâ€blockers are drugs that block the action of adrenaline and noradrenaline on the heart. Betaâ€blockers can slow down the heart, and reduce blood pressure, and this may reduce the risk of serious events. However, betaâ€blockers may lead to a very low heart rate or very low blood pressure which could increase the risk of death or a stroke. Prevention of early complications after surgery is important, but using betaâ€blockers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betaâ€blockers used in the studies were: propranolol, metoprolol, esmolol, landiolol, nadolol, atenolol, labetalol, oxprenolol, and pindolol. Studies compared these betaâ€blockers with either a placebo (disguised to look like a betaâ€blocker but containing no medicine) or with standard care. Key results Betaâ€blockers may make l ttle or no difference to the number of people who die within 30 days of surgery (16 studies, 11,446 participants; lowâ€certainty evidence), have a stroke (6 studies, 9460 participants; lowâ€certainty evidence), or experience ventricular arrhythmias (irregular heartbeat rhythms, starting in the main chambers of the heart, that are potentially lifeâ€threatening and may need immediate medical treatment; 5 studies, 476 participants; very lowâ€certainty evidence). We found that betaâ€blockers may reduce atrial fibrillation (an irregular heartbeat, starting in the atrial chambers of the heart, that increases the risk of stroke if untreated; 9 studies, 9080 participants; low certaintyâ€evidence), and the number of people who have a heart attack (12 studies, 10,520 participants; lowâ€certainty evidence). However, taking betaâ€blockers may increase the number of people who experience a very low heart rate (49 studies, 12,239 participants; lowâ€certainty evidence), or very low blood pressure (49 studies, 12,304 participants; moderateâ€certainty evidence), around the time of surgery. In a few studies, we also found little or no difference in the number of people who died after 30 days, who died because of a heart problem, or had heart failure. We found no evidence of whether betaâ€blockers alter the length of time in hospital. No studies assessed whether people who were given betaâ€blockers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placeboâ€controlled studies or studies that reported how participants were randomized. We also found one large, wellâ€conducted, international study that had different findings to the smaller studies. It showed a reduction in heart attacks and an increase in stroke and allâ€cause mortality when betaâ€blockers were used, whilst the other studies did not show a clear effect. We were also less certain of the findings for outcomes with few studies, such as for ventricular arrhythmias. Conclusion Although betaâ€blockers may make little or no difference to the number of people who die within 30 days, have a stroke, or have ventricular arrhythmias, they may reduce atrial fibrillation and heart attacks. Taking betaâ€blockers may increase the number of people with a very low heart rate or very low blood pressure around the time of surgery. Further evidence from large, placeboâ€controlled trials is likely to increase the certainty of these findings, and we recommend the assessment of impact on quality of life.</t>
  </si>
  <si>
    <t>J524</t>
  </si>
  <si>
    <t>Perioperative betaâ€blockers for preventing surgeryâ€related mortality and morbidity in adults undergoing cardiac surgery</t>
  </si>
  <si>
    <t>- Background Randomized controlled trials (RCTs) have yielded conflicting results regarding the ability of betaâ€blockers to influence perioperative cardiovascular morbidity and mortality. Thus routine prescription of these drugs in unselected patients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cardiac surgery only. Objectives To assess the effectiveness of perioperatively administered betaâ€blockers for the prevention of surgeryâ€related mortality and morbidity in adults undergoing 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quasiâ€randomized and the remaining were RCTs. All participants were undergoing cardiac surgery, and in most studies, at least some of the participants were previously taking betaâ€blockers. Types of betaâ€blockers were: propranolol, metoprolol, sotalol, esmolol, landiolol, acebutolol, timolol, carvedilol, nadolol, and atenolol. In twelve studies, betaâ€blockers were titrated according to heart rate or blood pressure. Duration of administration varied between studies, as did the time at which drugs were administered; in nine studies this was before surgery, in 20 studies during surgery, and in the remaining studies betaâ€blockers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betaâ€blockers as rescue therapy during the study period, and all studies in which the control was standard care were at high risk of performance bias because of the openâ€label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lowâ€certainty evidence that betaâ€blockers may make little or no difference to allâ€cause mortality at 30 days (risk ratio (RR) 0.95, 95% confidence interval (CI) 0.47 to 1.90; 29 studies, 4099 participants). For myocardial infarctions, we found no evidence of a difference in events (RR 1.05, 95% CI 0.72 to 1.52; 25 studies, 3946 participants; lowâ€certainty evidence). Few study authors reported cerebrovascular events, and the evidence was uncertain (RR 1.37, 95% CI 0.51 to 3.67; 5 studies, 1471 participants; very lowâ€certainty evidence). Based on a control risk of 54 per 1000, we found lowâ€certainty evidence that betaâ€blockers may reduce episodes of ventr cular arrhythmias by 32 episodes per 1000 (RR 0.40, 95% CI 0.25 to 0.63; 12 studies, 2296 participants). For atrial fibrillation or flutter, there may be 163 fewer incidences with betaâ€blockers, based on a control risk of 327 incidences per 1000 (RR 0.50, 95% CI 0.42 to 0.59; 40 studies, 5650 participants; lowâ€certainty evidence). However, the evidence for bradycardia and hypotension was less certain. We found that betaâ€blockers may make little or no difference to bradycardia (RR 1.63, 95% CI 0.92 to 2.91; 12 studies, 1640 participants; lowâ€certainty evidence), or hypotension (RR 1.84, 95% CI 0.89 to 3.80; 10 studies, 1538 participants; lowâ€certainty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allâ€cause mortality, myocardial infarction, cerebrovascular events, hypotension and bradycardia. However, there may be a reduction in atrial fibrillation and ventricular arrhythmias when betaâ€blockers are used. A larger sample size is likely to increase the certainty of this evidence. Four studies awaiting classification may alter the conclusions of this review. Plain language summary Betaâ€blockers to prevent death or serious events after heart surgery This review assessed evidence of whether betaâ€blockers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Betaâ€blockers are drugs that block the action of adrenaline and noradrenaline on the heart. Betaâ€blockers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quasiâ€randomized (participants were allocated to groups by methods such as using hospital record numbers or dates of birth). The types of betaâ€blockers were: propranolol, metoprolol, sotalol, esmolol, landiolol, acebutolol, timolol, carvedilol, nadolol, and atenolol. These betaâ€blockers were compared with either a placebo (disguised to look like a betaâ€blocker but containing no medicine) or with standard care. Betaâ€blockers were started before surgery, during surgery or at the latest by the end of the first day after surgery. The length of time betaâ€blockers were given varied between studies. In most studies, at least some of the people were already taking betaâ€blockers, which would be expected for people who had conditions that needed heart surgery. Key results Betaâ€blockers probably make little or no difference to the number of people who die (29 studies, 4099 participants) or have a heart attack (25 studies, 3946 participants) within 30 days of surgery. This w s supported by lowâ€certainty evidence. Few studies reported on people who had a stroke, and we were uncertain whether or not betaâ€blockers reduced strokes because the certainty of the evidence was very low (5 studies, 1471 participants). Betaâ€blockers may reduce atrial fibrillation, which is an irregular heartbeat starting in the atrial chambers of the heart that increases the risk of stroke if untreated (40 studies, 5650 participants; lowâ€certainty evidence). Betaâ€blockers may also reduce ventricular arrhythmias, which are potentially lifeâ€threatening irregular heartbeat rhythms originating in the main chambers of the heart, and which may need immediate medical treatment (12 studies, 2296 participants). We found that betaâ€blockers may make little or no difference to whether people experience a very low heart rate or very low blood pressure. We were uncertain whether betaâ€blockers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betaâ€blockers had a shorter hospital stay by about half a day (14 studies, 2450 participants; lowâ€certainty evidence). No studies assessed whether people on betaâ€blockers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Betaâ€blockers may be beneficial for people who are undergoing cardiac surgery because they may reduce the number of people who experience atrial fibrillation and ventricular arrhythmias. Betaâ€blockers may make little or no difference to the other outcomes in this review, including death, heart attacks or stroke.</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</si>
  <si>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</si>
  <si>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</si>
  <si>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</si>
  <si>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</si>
  <si>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</si>
  <si>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</si>
  <si>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</si>
  <si>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</si>
  <si>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 Background Cerebral palsy (CP) is the most common cause of physical disabilities in children in highâ€income countries. Spasticity is the most common motor disturbance in CP. Botulinum toxin type A (BoNTâ€A) is considered the firstâ€line treatment for focal spasticity in people with CP. Objectives To evaluate the effectiveness and safety of BoNTâ€A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BoNTâ€A versus usual care or physiotherapy BoNTâ€A might improve overall gait scores at mediumâ€term followâ€up (MD 2.80, 95% CI 1.55 to 4.05; 1 study, 40 children; very lowâ€quality evidence) and is moderately effective at improving function at shortâ€term (SMD 0.59, 95% CI 0.23 to 0.95; 2 studies, 123 children) and mediumâ€term (SMD 1.04, 95% CI 0.16 to 1.91; 4 studies, 191 children) followâ€up (all very lowâ€quality evidence). BoNTâ€A improves ankle range of motion, satisfaction, and ankle plantarflexors spasticity at one or more time points (very lowâ€quality evidence). The proportion of adverse events in the BoNTâ€A group was 0.37 (95% CI 0.08 to 0.66; I 2 = 95%; very lowâ€quality evidence). No adverse events were reported in the control group. BoNTâ€A versus placebo or sham BoNTâ€A improves overall gait scores at shortâ€term (RR 1.66, 95% CI 1.16 to 2.37, P = 0.006; 4 studies, 261 assessments) and mediumâ€term (RR 1.90, 95% CI 1.32 to 2.74, P &lt; 0.001; 3 studies, 248 assessments) followâ€up, and may improve peak ankle dorsiflexion in stance (MD 15.90 degrees, 95% CI 4.87 to 26.93, P = 0.005; 1 study, 19 children) and in swing (MD 10.20 degrees, 95% CI 4.01 to 16.39, P = 0.001; 1 study, 19 children) at shortâ€term followâ€up (all moderateâ€quality evidence). BoNTâ€A is not more effective than placebo or sham at improving function at shortâ€term (SMD 0.24, 95% CI âˆ’0.35 to 0.83, P = 0.42; 4 studies, 305 children) or longâ€term (SMD âˆ’0.07, 95% CI âˆ’0.48 to 0.35, P = 0.76; 2 studies, 91 children) followâ€up, but has a small positive effect at mediumâ€term followâ€up (SMD 0.28, 95% CI 0.06 to 0.49, P = 0.01; 5 studies, 327 children) (all moderateâ€quality evidence). BoNTâ€A improves passive ankle range of motion, satisfaction, and ankle plantarflexors spasticity at one or more time points (moderateâ€quality evidence). There was no difference between groups in the rate of adverse events at shortâ€term followâ€up (RR 1.29, 95% CI 0.87 to 1.93, P = 0.21; 12 studies, 918 children; moderateâ€quality evidence). BoNTâ€A versus serial casting There was no difference between groups for overall gait scores at shortâ€term (MD 0.00, 95% CI âˆ’1.66 to 1.66); mediumâ€term (MD 0.65, 95% CI âˆ’1.21 to 2.51); or longâ€term (MD 0.46, 95% CI âˆ’1.33 to 2.25) followâ€up in one study with 18 children (moderateâ€quality evidence). BoNTâ€A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(moderateâ€ and lowâ€quality evidence). BoNTâ€A is not more effective than serial casting at improving function, ankle range of motion, and spasticity at any time point (moderateâ€ and lowâ€quality evidence). BoNTâ€A is not associated with a higher risk of adverse events than serial casting (RR 0.59, 95% CI 0.03 to 11.03; 3 studies, 64 children; lowâ€quality evidence). BoNTâ€A versus orthoses There was no difference between groups for function at mediumâ€term followâ€up (MD 11.14, 95% CI âˆ’0.05 to 22.33; 1 study, 43 children), but BoNTâ€A is more effective than orthoses at improving hip range of motion and hip adductors spasticity (all very lowâ€quality evidence). Authors' conclusions The quality of the evidence was low or very low for most of the outcomes analysed. We found limited evidence that BoNTâ€A is more effective than placebo or a nonâ€placebo control at improving gait, joint range of motion, satisfaction, and lower limb spasticity in children with CP, whereas the results for function were contradictory. The rate of adverse events with BoNTâ€A is similar to placebo. BoNTâ€A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(BoNTâ€A; a poisonous biological substance that is thought to relieve spasticity by reducing muscle overactivity when injected into the muscle). This review looked at the effects of BoNTâ€A. Review question The aim of this review was to assess and summarise scientific studies comparing BoNTâ€A injections to other treatments for lower limb spasticity in children with CP. Study characteristics We found 31 studies assessing 1508 participants. The use of BoNTâ€A in the lower limb muscles was compared to: (1) children's regular care or physiotherapy, (2) placebo (fake injections), (3) a series of belowâ€knee plaster casts, and (4) leg splints. Key results Children receiving BoNTâ€A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BoNTâ€A injections. The rate of side effects was similar when comparing BoNTâ€A injections to placebo. BoNTâ€A injections and plaster cas s below the knee produced similar benefits in walking and joint motion and relieving spasms. In addition, BoNTâ€A provided better results in terms of joint range of motion compared to a specific type of splinting (Johnstone pressure splints). Quality of the evidence We considered the quality of the evidence as very low for the comparison BoNTâ€A versus usual care or physiotherapy; moderate for the comparison BoNTâ€A versus placebo; moderate and low for the comparison BoNTâ€A versus plaster casts; and very low for the comparison BoNTâ€A versus splints. Conclusion There is limited evidence that, compared to placebo or regular care, BoNTâ€A improves walking, joint motion, satisfaction with the outcome of treatment, and muscle spasticity in children with CP. The rate of side effects with BoNTâ€A was similar to placebo. BoNTâ€A was no better than plaster casts in any of our analyses, but was better than splints at improving range of motion and spasticity.</t>
  </si>
  <si>
    <t>J528</t>
  </si>
  <si>
    <t>Nonâ€steroidal antiâ€inflammatory drugs for heavy menstrual bleeding</t>
  </si>
  <si>
    <t>- Background Heavy menstrual bleeding (HMB) is an important cause of ill health in premenopausal women. Although surgery is often used as a treatment, a range of medical therapies are also available. Nonâ€steroidal antiâ€inflammatory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progesteroneâ€releasing intrauterine system. Plain language summary Are nonâ€steroidal antiâ€inflammatory drugs safe and effective for treating heavy menstrual bleeding? Review question Cochrane authors investigated whether nonâ€steroidal antiâ€inflammatory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levonorgestrelâ€releasing intrauterine system (LNG IUS), are more effective. These results were based on a small number of lowâ€ to moderateâ€quality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</si>
  <si>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</si>
  <si>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</si>
  <si>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Firstâ€line treatment has traditionally consisted of medical therapy (hormonal and nonâ€hormonal),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Firstâ€generation techniques require visualisation of the uterus with a hysteroscope during the procedure; although it is safe, this procedure requires specific technical skills. Newer techniques for endometrial ablation (secondâ€ and thirdâ€generation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firstâ€ and secondâ€generation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secondâ€generation versus firstâ€generation (i.e. gold standard hysteroscopic ablative) techniques revealed no evidence of differences in amenorrhoea at 1 year and 2 to 5 years' followâ€up (risk ratio (RR) 0.99, 95% confidence interval (CI) 0.78 to 1.27; 12 studies; 2145 women; IÂ² = 77%; and RR 1.16, 95% CI 0.78 to 1.72; 672 women; 4 studies; IÂ² = 80%; very lowâ€quality evidence) and showed subjective improvement at 1 year followâ€up based on a Pictorial Blood Assessment Chart (PBAC) (&lt; 75 or acceptable improvement) (RR 1.03, 95% CI 0.98 to 1.09; 5 studies; 1282 women; IÂ² = 0%; and RR 1.12, 95% CI 0.97 to 1.28; 236 women; 1 study; lowâ€quality evidence). Study results showed no difference in patient satisfaction between secondâ€ and firstâ€generation techniques at 1 year followâ€up (RR 1.01, 95% CI 0.98 to 1.04; 11 studies; 1750 women; IÂ² = 36%; lowâ€quality evidence) nor at 2 to 5 years' followâ€up (RR 1.02, 95% CI 0.93 t 1.13; 672 women; 4 studies; IÂ² = 81%). Compared with firstâ€generation techniques, secondâ€generation endometrial ablation techniques were associated with shorter operating times (mean difference (MD) â€13.52 minutes, 95% CI â€16.90 to â€10.13; 9 studies; 1822 women; lowâ€quality evidence) and more often were performed under local rather than general anaesthesia (RR 2.8, 95% CI 1.8 to 4.4; 6 studies; 1434 women; lowâ€quality evidence). We are uncertain whether perforation rates differed between secondâ€ and firstâ€generation techniques (RR 0.32, 95% CI 0.10 to 1.01; 1885 women; 8 studies; IÂ² = 0%). Trials reported little or no difference between secondâ€ and firstâ€generation techniques in requirement for additional surgery (ablation or hysterectomy) at 1 year followâ€up (RR 0.72, 95% CI 0.41 to 1.26; 6 studies: 935 women; lowâ€quality evidence). At 5 years, results showed probably little or no difference between groups in the requirement for hysterectomy (RR 0.85, 95% CI 0.59 to 1.22; 4 studies; 758 women; moderateâ€quality evidence). Authors' conclusions Approaches to endometrial ablation have evolved from firstâ€generation techniques to newer secondâ€ and thirdâ€generation approaches. Current evidence suggests that compared to firstâ€generation techniques (endometrial laser ablation, transcervical resection of the endometrium, rollerball endometrial ablation), secondâ€generation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Secondâ€generation techniques are associated with shorter operating times and are performed more often under local rather than general anaesthesia. It is uncertain whether perforation rates differed between secondâ€ and firstâ€generation techniques. Evidence was insufficient to show which secondâ€generation approaches were superior to others and to reveal the efficacy and safety of thirdâ€generation approaches versus firstâ€ and secondâ€generation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firstâ€, secondâ€ and thirdâ€generation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Moderateâ€ to very lowâ€quality evidence suggests that firstâ€ and secondâ€generation approaches were equally effective in the treatment of HMB. Newer (secondâ€generation) treatment approaches were safer in terms of rate of fluid overload, cervical lacerations, and haematometra, with similar rates of uterine perforation. The newer approaches (secondâ€generation ablation) w re quicker and were more likely to be done under local (rather than general) anaesthesia compared with firstâ€generation approaches. Most women in both groups were satisfied with results of the procedure. Not enough evidence is available to show which secondâ€generation approaches are superior to others, and information about thirdâ€generation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</si>
  <si>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</si>
  <si>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</si>
  <si>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Shortâ€cycle progestogen therapy during the luteal phase (medroxyprogesterone acetate or norethisterone for 7 to 10 days, from day 15 to 19) was inferior to other medical therapy, including tranexamic acid, danazol and the progestogenâ€releasing intrauterine system (Pgâ€IUS (off the market since 2001)), releasing 60 mcg of progesterone daily, with respect to reduction of menstrual blood loss (mean difference (MD) 37.29, 95% confidence interval (CI) 17.67 to 56.91; I 2 = 50%; 6 trials, 145 women, lowâ€quality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Longâ€cycle progestogen therapy (medroxyprogesterone acetate or norethisterone), from day 5 to day 26 of the menstrual cycle, is also inferior compared to the levonorgestrelâ€releasing intrauterine system (LNGâ€IUS), tranexamic acid and ormeloxifene, ut may be similar to the combined vaginal ring with respect to reduction of menstrual blood loss (MD 16.88, 95% CI 10.93 to 22.84; I 2 = 87%; 4 trials, 355 women, very lowâ€quality evidence). There was no clear evidence of a difference between progestogen therapy long cycle and other medical therapy in terms of headache (OR 1.45, 95% CI 0.40 to 5.31; I 2 = 0%; 2 trials, 189 women; lowâ€quality evidence). Breakthrough bleeding or spotting was more likely in women with the LNGâ€IUS (OR 0.18, 95% CI 0.06 to 0.55; I 2 = 0%; 3 trials, 220 women; lowâ€quality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Lowâ€ or very lowâ€quality evidence suggests that shortâ€course progestogen was inferior to other medical therapy, including tranexamic acid, danazol and the Pgâ€IUS with respect to reduction of menstrual blood loss. Long cycle progestogen therapy (medroxyprogesterone acetate or norethisterone) was also inferior to the LNGâ€IUS,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levonorgestrelâ€releasing intrauterine device. No studies in this comparison reported on quality of life. Satisfaction with treatment was similar to women using the combined vaginal ring, but there were no data to compare satisfaction between long cycle and LNGâ€IUS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</si>
  <si>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English and published in 2019.</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</si>
  <si>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</si>
  <si>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</si>
  <si>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Â© 2019</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</si>
  <si>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</si>
  <si>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</si>
  <si>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</si>
  <si>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</si>
  <si>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</si>
  <si>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Â© 2019 Author(s).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</si>
  <si>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</si>
  <si>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</si>
  <si>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</si>
  <si>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</si>
  <si>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</si>
  <si>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â€˜transition to psychosisâ€™. For details of other main outcomes please see 'Summary of findings' tables. In Group A (comparisons of absolute effects) we found no clear difference between amino acids and placebo (risk ratio (RR) 0.48 95% confidence interval (CI) 0.08 to 2.98; 2 RCTs, 52 participants; very lowâ€quality evidence). When omegaâ€3 fatty acids were compared to placebo, fewer participants given the omegaâ€3 (10%) transitioned to psychosis compared to the placebo group (33%) during longâ€term followâ€up of seven years (RR 0.24 95% CI 0.09 to 0.67; 1 RCT, 81 participants; lowâ€quality evidence). In Group B (comparisons where complex interactions are probable) and in the subgroup focusing on antipsychotic drugs added to specific care packages, the amisulpiride + needsâ€focused intervention (NFI) compared to NFI comparison (no reporting of transition to psychosis; 1 RCT, 102 participants; very lowâ€quality evidence) and the olanzapine + supportive intervention compared to supportive intervention alone comparison (RR 0.58 95% CI 0.28 to 1.18; 1 RCT, 60 participants; very lowâ€quality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followâ€up by 18 months, compared with double that percentage in the supportive therapy alone group (RR 0.45 95% CI 0.23 to 0.89; 2 RCTs, 252 participants; very lowâ€quality evidence). The CBT + risperidone versus CBT + placebo comparison identified no clear difference between treatments (RR 1.02 95% CI 0.39 to 2.67; 1 RCT, 87 participants; very lowâ€quality evidence) and this also applies to the CBT + needsâ€based intervention (NBI) + risperidone versus NBI comparison (RR 0.75 95% CI 0.39 to 1.46; 1 RCT, 59 participants; very lowâ€quality evidence). Group C (differential effects) also involved six comparisons. The first compared CBT with supportive therapy. No clear difference was found for the â€˜transition to psychosisâ€™ outcome (RR 0.74 95% CI 0.28 to 1.98; 1 RCT, 72 participants; very lowâ€quality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lowâ€quality evidence) and integrated treatment compared to standard treatment comparison (RR 0.57 95% CI 0.28 to 1.15; 1 RCT, 79 participants; very lowâ€quality evidence) no effects of any of these approaches was evident. Authors' conclusions There has been considerable research effort in this area and several interventions have been trialled. The evidence available suggests that omegaâ€3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omegaâ€3 fatty acids in terms of reduced transition to psychosis. Other studies found adding antipsychotic drugs to supportiveâ€care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lowâ€quality evidence suggesting that omegaâ€3 fatty acids may be effective, but there is no highâ€quality evidence to suggest that any type of treatment is effective, and no firm conclusions can be made.</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</si>
  <si>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</si>
  <si>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</si>
  <si>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Â© 2019 Cambridge University Press.</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</si>
  <si>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</si>
  <si>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</si>
  <si>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Â© 2019</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</si>
  <si>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</si>
  <si>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</si>
  <si>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crossâ€over designs) of doubleâ€blind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participantâ€reported pain relief of 30%, or 50%, or greater, and participantâ€reported global impression of clinical change (PGIC). We also collected information on adverse events. We assessed evidence using GRADE and created a 'Summary of findings' table. Main results We included two studies (128 participants). Both diabetic neuropathy and nonâ€diabetic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Î¼g total hypericin each, taken three times daily, giving a total concentration of 2700 mg for five weeks). Both studies allowed the use of concurrent analgesia. Both reported at least one painâ€related outcome but we could not carry out metaâ€analysis of effectiveness due to heterogeneity between the primary outcomes and could not draw any conclusions of effect. Other outcomes included PGIC, adverse events and withdrawals. There were no data for participantâ€reported pain relief of 50% or greater or PGIC (moderate and substantial) outcomes. When looking at participantâ€reported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Johnâ€™s wort compared to placebo, as there was only a reduction of 1 point when looking at median differences in change from baseline on a 0 to 10â€point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Johnâ€™s wort. There were also no reductions in dropout rates or number of side effects between the treatment and placebo. Quality of the evidence We rated the quality of the evidence from studies using four levels: very low, low, moderate, or high. Very lowâ€quality evidence means that we are very uncertain about the results. Highâ€quality evidence means that we are very confident. Only two small studies met this reviewâ€™s search criteria. Neither provided any highâ€quality evidence for either possible benefits or harms. We judged the evidence to b of very low quality. Thus, results from the studies contained in this review are very uncertain and prevent any meaningful conclusions. Larger, highâ€quality studies are needed to assess accurately if herbal products are of any benefit or have the potential to harm when used to treat adults with neuropathic pain.</t>
  </si>
  <si>
    <t>J539</t>
  </si>
  <si>
    <t>Contact tracing strategies in household and congregate environments to identify cases of tuberculosis in lowâ€ and moderateâ€incidence populations</t>
  </si>
  <si>
    <t>- Background Tuberculosis is an infectious bacterial disease that is spread via respiratory droplets from infected individuals to susceptible contacts. To eliminate this disease from lowâ€ and mediumâ€incidence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lowâ€ to moderateâ€incidence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highâ€certainty evidence comparing current contact tracing methods used against alternate options; further research is therefore needed. How upâ€toâ€date is this review We searched for studies published up to 15 July 2019.</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</si>
  <si>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</si>
  <si>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</si>
  <si>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reâ€dislocation, patientâ€reported shoulder instability measures and return to preâ€injury activities. Secondary outcomes included participant satisfaction, healthâ€related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reâ€dislocation after 12 months' or longer followâ€up compared with immobilisation in internal rotation (55/245 versus 73/243; risk ratio (RR) 0.67, 95% confidence interval (CI) 0.38 to 1.19; 488 participants; 6 studies; IÂ² = 61%; very low certainty evidence). In a moderateâ€risk population with an illustrative risk of 312 per 1000 people experiencing a dislocation in the internal rotation group, this equates to 103 fewer (95% CI 194 fewer to 60 more) reâ€dislocations after immobilisation in external rotation. Thus this result covers the possibility of a benefit for each intervention. Individually, the four studies (380 participants) reporting on validated patientâ€reported outcome measures for shoulder instability at a minimum of 12 months' followâ€up found no evidence of a clinically important difference between the two interventions. We are uncertain of the relative effects of the two methods of immobilisat on on resumption of preâ€injury activities or sports. One study (169 participants) found no evidence of a difference between interventions in the return to preâ€injury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goodâ€quality, wellâ€reported randomised controlled trials with longâ€term followâ€up. Future research should aim to determine the optimal immobilisation duration, precise indications for immobilisation, optimal rehabilitation interventions, and the acceptability of these different interventions. Plain language summary Nonâ€surgical management after nonâ€surgical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reâ€dislocation, especially in active young adults. Initial treatment involves putting the joint back in place. This is called â€˜closed reductionâ€™ when it is done without surgery. Subsequent treatment is often conservative (nonâ€surgical)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reâ€dislocation, patientâ€reported shoulder instability measures (usually questionnaires) and return to preâ€injury activities. Further outcomes of interest included patientsâ€™ satisfaction with the intervention, healthâ€related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reâ€dislocation at oneâ€year or more followâ€up compared with immobilisation in internal rotation. None of the four studies reporting on patientâ€reported outcome measures for shoulder instability at a minimum of oneâ€year followâ€up found evidence of any important difference between the two interventions. We are uncertain of the relative effects of the two methods of immobilisation on resumption of preâ€injury activities or sports. One study found no evidence of a difference between interventions in the return to preâ€injury activity of the affected arm. Two other studies found greater return to sports in the external rotation group in a small 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(a partial dislocation). The reporting of adverse events (complications) was unsatisfactory. There were reports of nine cases of shortâ€term shoulder stiffness in the external rotation group and two cases of underâ€arm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</si>
  <si>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</si>
  <si>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</si>
  <si>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</si>
  <si>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</si>
  <si>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Clobazam addâ€on therapy for drugâ€resistant epilepsy</t>
  </si>
  <si>
    <t>- Background Epilepsy affects approximately 1% of the population, with up to 30% of patients continuing to have seizures, despite antiepileptic drug treatment. Clobazam is a 1,5â€benzodiazepine and is commonly used as an addâ€on treatment for drugâ€resistant epilepsy. This review is an updated version of the original Cochrane Review, first published in 2008, and examines the most current literature regarding clobazam as an addâ€on for drugâ€resistant epilepsy. Objectives To assess the efficacy, effectiveness and tolerability of clobazam as an addâ€on therapy for drugâ€resistant generalisedâ€onset and focalâ€onset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quasiâ€randomised controlled trials in EMBASE are now included in CENTRAL; DARE ceased operation at the end of March 2015; BIOSIS Previews yielded no relevant items that were not found in the other databases). Selection criteria Randomised trials of addâ€on clobazam, with adequate methods of allocation concealment, recruiting patients with drugâ€resistant focal or generalisedâ€onset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doubleâ€blind, placeboâ€controlled, crossâ€over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metaâ€analysis. Instead, findings were summarised in a narrative data synthesis, Only two of the studies reported 50% or greater seizure reduction. They respectively reported that 57.7% and 52.4% of participants receiving addâ€on clobazam experienced a 50% or greater reduction in seizure frequency, although publication bias needs to be considered (2 RCTs, n = 47, very lowâ€quality evidence). Seizure freedom was reported by three of the included studies. Collectively, 27 out of 175 patients were seizureâ€free during treatment with clobazam (3 RCTs, n = 175, very lowâ€quality evidence). Two studies specifically stated that seizure freedom was not observed in any of the participants receiving addâ€on placebo. Treatment withdrawal was reported by all four studies. There was a slightly higher incidence of treatment withdrawal associated with receiving clobazam, although the overall incidence was still fairly low (4 RCTs, n = 197, very lowâ€quality evidence). Adverse events were only described in two of the studies, reportedly 36% and 85% of participants experienced one or more adverse events whilst receiving clobazam. The most commonly reported adverse event was drowsiness. Authors' conclusions Clobazam as an addâ€on treatment may reduce seizure frequency and may be most effective in focalâ€onset seizures. It is important to recognise that this finding has been derived from very lowâ€quality evidence and from studies judged to have an unclear risk of bias. It remains unclear which population demographic will best benefit from clobazam and over what timeâ€frame. A largeâ€scale, randomised controlled trial, conducted over a greater peri d of time, incorporating subgroups with differing seizure types, is required to effectively inform clinical practice. Plain language summary Clobazam as an addâ€on treatment in the management of drugâ€resistant epilepsy Background â€¨ Epilepsy is a disorder of repeated seizures. Whilst many people will achieve freedom from seizures on one antiepileptic medication, some may require multiple medications to try to reduce the number of seizures that they have. These people are said to have drugâ€resistant epilepsy. Aim of the review â€¨ Clobazam is an antiepileptic medication. Here, we examine the evidence from medical studies to determine how effective clobazam is at reducing the number of seizures that people have when used as an addâ€on treatment by people with drugâ€resistant epilepsy. Results â€¨ We found four studies which had assessed clobazam as an addâ€on treatment for drugâ€resistant epilepsy. They included a total of 197 people. Two studies reported that more than half of the people given clobazam reached a 50% of greater reduction in the number of their seizures. Three of the studies reported how many people were seizureâ€free whilst taking clobazam. In total, approximately 15% of people were seizureâ€free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</si>
  <si>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</si>
  <si>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</si>
  <si>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Â© Â© Author(s) (or their employer(s)) 2019. Re-use permitted under CC BY. Published by BMJ.</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</si>
  <si>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</si>
  <si>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</si>
  <si>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</si>
  <si>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</si>
  <si>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</si>
  <si>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</si>
  <si>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</si>
  <si>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</si>
  <si>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Â© 2019 BMJ Publishing Group Limited.</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</si>
  <si>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</si>
  <si>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</si>
  <si>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</si>
  <si>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</si>
  <si>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nonâ€standard care for schizophrenia</t>
  </si>
  <si>
    <t>- Background Yoga is an ancient bodyâ€mind practice which originated in India and is popular in the Western world as a form of relaxation and exercise. It has been of interest for people with schizophrenia to determine the efficacy of yoga delivered as a package of care versus nonâ€standard care. Objectives To examine the effects of yoga as part of a package of care versus nonâ€standard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nonâ€standard care. Plain language summary Yoga as part of a package of care versus nonâ€standard care Review question Is yoga, delivered as part of a larger package of care, effective for people with schizophrenia compared with nonâ€standard care? Background Yoga involves physical postures and breathing exercises to promote balance between mind and body. Yoga has now been widely adopted as a method of relaxation and exercise for reduction of stress and promotion of health and feelings of wellâ€being.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addâ€on treatment could be beneficial and help improve the quality of life of people with schizophrenia. Yoga can be combined with other therapies such as counselling or other forms of exercise into a 'package of care'. Nonâ€standard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fullâ€text versions of these studies, checking that they were randomised controlled trials that randomised people with schizophrenia to receive, in addition to their ongoing care, either yoga as part of a package of care or another type of nonâ€standard care intervention. Twentyâ€nine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nonâ€standard care for people with schizophrenia. Quality of the evidence Currenlty, there is no highâ€quality evidence to support or discourage the use of yoga as part of a package of care versus nonâ€standard care. Schizophrenia is often a longâ€term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</si>
  <si>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</si>
  <si>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</si>
  <si>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</si>
  <si>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</si>
  <si>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</si>
  <si>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Â© 2019 Elsevier Ltd. All rights reserved.</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</si>
  <si>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</si>
  <si>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</si>
  <si>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</si>
  <si>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</si>
  <si>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</si>
  <si>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Date and language ok</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</si>
  <si>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</si>
  <si>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</si>
  <si>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</si>
  <si>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</si>
  <si>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</si>
  <si>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</si>
  <si>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</si>
  <si>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</si>
  <si>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</si>
  <si>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</si>
  <si>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</si>
  <si>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</si>
  <si>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</si>
  <si>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</si>
  <si>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</si>
  <si>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</si>
  <si>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</si>
  <si>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</si>
  <si>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</si>
  <si>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</si>
  <si>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</si>
  <si>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</si>
  <si>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</si>
  <si>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</si>
  <si>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</si>
  <si>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</si>
  <si>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</si>
  <si>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</si>
  <si>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</si>
  <si>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</si>
  <si>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</si>
  <si>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</si>
  <si>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</si>
  <si>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</si>
  <si>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</si>
  <si>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</si>
  <si>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</si>
  <si>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</si>
  <si>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</si>
  <si>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</si>
  <si>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</si>
  <si>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</si>
  <si>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</si>
  <si>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</si>
  <si>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</si>
  <si>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</si>
  <si>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</si>
  <si>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</si>
  <si>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API_include_stage1</t>
  </si>
  <si>
    <t>API_reason_stage1</t>
  </si>
  <si>
    <t>FF_include_stage1</t>
  </si>
  <si>
    <t>Duplicate of above</t>
  </si>
  <si>
    <t>API_Include</t>
  </si>
  <si>
    <t>API_Exclude</t>
  </si>
  <si>
    <t>FF_Include</t>
  </si>
  <si>
    <t>FF_Exclude</t>
  </si>
  <si>
    <t>Confusion Matrix</t>
  </si>
  <si>
    <t>Accuracy</t>
  </si>
  <si>
    <t>Precision</t>
  </si>
  <si>
    <t>True Positives</t>
  </si>
  <si>
    <t>True Negatives</t>
  </si>
  <si>
    <t>False Positives</t>
  </si>
  <si>
    <t>False Negatives</t>
  </si>
  <si>
    <t>Notes</t>
  </si>
  <si>
    <t>J517 is a false negative</t>
  </si>
  <si>
    <t>API reason: Copyright indicates publication in 2017</t>
  </si>
  <si>
    <t>FF reason: Date and language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</si>
</sst>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I52"/>
  <sheetViews>
    <sheetView workbookViewId="0">
      <selection activeCell="B9" sqref="A1:I52"/>
    </sheetView>
  </sheetViews>
  <sheetFormatPr defaultRowHeight="14.5" x14ac:dyDescent="0.35"/>
  <sheetData>
    <row r="1" spans="1:9" x14ac:dyDescent="0.35">
      <c r="A1" t="s">
        <v>0</v>
      </c>
      <c r="B1" t="s">
        <v>1</v>
      </c>
      <c r="C1" t="s">
        <v>2</v>
      </c>
      <c r="D1" t="s">
        <v>3</v>
      </c>
      <c r="E1" t="s">
        <v>218</v>
      </c>
      <c r="F1" t="s">
        <v>219</v>
      </c>
      <c r="G1" t="s">
        <v>4</v>
      </c>
      <c r="H1" t="s">
        <v>5</v>
      </c>
      <c r="I1" t="s">
        <v>6</v>
      </c>
    </row>
    <row r="2" spans="1:9" x14ac:dyDescent="0.35">
      <c r="A2" t="s">
        <v>7</v>
      </c>
      <c r="B2">
        <v>2019</v>
      </c>
      <c r="C2" t="s">
        <v>8</v>
      </c>
      <c r="D2" t="s">
        <v>9</v>
      </c>
      <c r="E2" t="b">
        <v>1</v>
      </c>
      <c r="F2" t="s">
        <v>10</v>
      </c>
      <c r="G2" t="s">
        <v>11</v>
      </c>
      <c r="H2">
        <v>2019</v>
      </c>
      <c r="I2">
        <v>1</v>
      </c>
    </row>
    <row r="3" spans="1:9" x14ac:dyDescent="0.35">
      <c r="A3" t="s">
        <v>12</v>
      </c>
      <c r="B3">
        <v>2019</v>
      </c>
      <c r="C3" t="s">
        <v>13</v>
      </c>
      <c r="D3" t="s">
        <v>14</v>
      </c>
      <c r="E3" t="b">
        <v>1</v>
      </c>
      <c r="F3" t="s">
        <v>10</v>
      </c>
      <c r="G3" t="s">
        <v>11</v>
      </c>
      <c r="H3">
        <v>2019</v>
      </c>
      <c r="I3">
        <v>1</v>
      </c>
    </row>
    <row r="4" spans="1:9" x14ac:dyDescent="0.35">
      <c r="A4" t="s">
        <v>15</v>
      </c>
      <c r="B4">
        <v>2019</v>
      </c>
      <c r="C4" t="s">
        <v>16</v>
      </c>
      <c r="D4" t="s">
        <v>17</v>
      </c>
      <c r="E4" t="b">
        <v>1</v>
      </c>
      <c r="F4" t="s">
        <v>10</v>
      </c>
      <c r="G4" t="s">
        <v>11</v>
      </c>
      <c r="H4">
        <v>2019</v>
      </c>
      <c r="I4">
        <v>1</v>
      </c>
    </row>
    <row r="5" spans="1:9" x14ac:dyDescent="0.35">
      <c r="A5" t="s">
        <v>18</v>
      </c>
      <c r="B5">
        <v>2019</v>
      </c>
      <c r="C5" t="s">
        <v>19</v>
      </c>
      <c r="D5" t="s">
        <v>20</v>
      </c>
      <c r="E5" t="b">
        <v>1</v>
      </c>
      <c r="F5" t="s">
        <v>10</v>
      </c>
      <c r="G5" t="s">
        <v>11</v>
      </c>
      <c r="H5">
        <v>2019</v>
      </c>
      <c r="I5">
        <v>1</v>
      </c>
    </row>
    <row r="6" spans="1:9" x14ac:dyDescent="0.35">
      <c r="A6" t="s">
        <v>21</v>
      </c>
      <c r="B6">
        <v>2019</v>
      </c>
      <c r="C6" t="s">
        <v>22</v>
      </c>
      <c r="D6" t="s">
        <v>23</v>
      </c>
      <c r="E6" t="b">
        <v>1</v>
      </c>
      <c r="F6" t="s">
        <v>10</v>
      </c>
      <c r="G6" t="s">
        <v>11</v>
      </c>
      <c r="H6">
        <v>2019</v>
      </c>
      <c r="I6">
        <v>1</v>
      </c>
    </row>
    <row r="7" spans="1:9" x14ac:dyDescent="0.35">
      <c r="A7" t="s">
        <v>24</v>
      </c>
      <c r="B7">
        <v>2019</v>
      </c>
      <c r="C7" t="s">
        <v>25</v>
      </c>
      <c r="D7" t="s">
        <v>26</v>
      </c>
      <c r="E7" t="b">
        <v>1</v>
      </c>
      <c r="F7" t="s">
        <v>10</v>
      </c>
      <c r="G7" t="s">
        <v>11</v>
      </c>
      <c r="H7">
        <v>2019</v>
      </c>
      <c r="I7">
        <v>1</v>
      </c>
    </row>
    <row r="8" spans="1:9" x14ac:dyDescent="0.35">
      <c r="A8" t="s">
        <v>27</v>
      </c>
      <c r="B8">
        <v>2019</v>
      </c>
      <c r="C8" t="s">
        <v>28</v>
      </c>
      <c r="D8" t="s">
        <v>29</v>
      </c>
      <c r="E8" t="b">
        <v>1</v>
      </c>
      <c r="F8" t="s">
        <v>10</v>
      </c>
      <c r="G8" t="s">
        <v>11</v>
      </c>
      <c r="H8">
        <v>2019</v>
      </c>
      <c r="I8">
        <v>1</v>
      </c>
    </row>
    <row r="9" spans="1:9" x14ac:dyDescent="0.35">
      <c r="A9" t="s">
        <v>30</v>
      </c>
      <c r="B9">
        <v>2019</v>
      </c>
      <c r="C9" t="s">
        <v>31</v>
      </c>
      <c r="D9" t="s">
        <v>32</v>
      </c>
      <c r="E9" t="b">
        <v>1</v>
      </c>
      <c r="F9" t="s">
        <v>10</v>
      </c>
      <c r="G9" t="s">
        <v>11</v>
      </c>
      <c r="H9">
        <v>2019</v>
      </c>
      <c r="I9">
        <v>1</v>
      </c>
    </row>
    <row r="10" spans="1:9" x14ac:dyDescent="0.35">
      <c r="A10" t="s">
        <v>33</v>
      </c>
      <c r="B10">
        <v>2019</v>
      </c>
      <c r="C10" t="s">
        <v>34</v>
      </c>
      <c r="D10" t="s">
        <v>35</v>
      </c>
      <c r="E10" t="b">
        <v>1</v>
      </c>
      <c r="F10" t="s">
        <v>10</v>
      </c>
      <c r="G10" t="s">
        <v>11</v>
      </c>
      <c r="H10">
        <v>2019</v>
      </c>
      <c r="I10">
        <v>1</v>
      </c>
    </row>
    <row r="11" spans="1:9" x14ac:dyDescent="0.35">
      <c r="A11" t="s">
        <v>36</v>
      </c>
      <c r="B11">
        <v>2019</v>
      </c>
      <c r="C11" t="s">
        <v>37</v>
      </c>
      <c r="D11" t="s">
        <v>38</v>
      </c>
      <c r="E11" t="b">
        <v>1</v>
      </c>
      <c r="F11" t="s">
        <v>10</v>
      </c>
      <c r="G11" t="s">
        <v>11</v>
      </c>
      <c r="H11">
        <v>2019</v>
      </c>
      <c r="I11">
        <v>1</v>
      </c>
    </row>
    <row r="12" spans="1:9" x14ac:dyDescent="0.35">
      <c r="A12" t="s">
        <v>39</v>
      </c>
      <c r="B12">
        <v>2019</v>
      </c>
      <c r="C12" t="s">
        <v>40</v>
      </c>
      <c r="D12" t="s">
        <v>41</v>
      </c>
      <c r="E12" t="b">
        <v>1</v>
      </c>
      <c r="F12" t="s">
        <v>10</v>
      </c>
      <c r="G12" t="s">
        <v>11</v>
      </c>
      <c r="H12">
        <v>2019</v>
      </c>
      <c r="I12">
        <v>1</v>
      </c>
    </row>
    <row r="13" spans="1:9" x14ac:dyDescent="0.35">
      <c r="A13" t="s">
        <v>42</v>
      </c>
      <c r="B13">
        <v>2019</v>
      </c>
      <c r="C13" t="s">
        <v>43</v>
      </c>
      <c r="D13" t="s">
        <v>44</v>
      </c>
      <c r="E13" t="b">
        <v>1</v>
      </c>
      <c r="F13" t="s">
        <v>10</v>
      </c>
      <c r="G13" t="s">
        <v>11</v>
      </c>
      <c r="H13">
        <v>2019</v>
      </c>
      <c r="I13">
        <v>1</v>
      </c>
    </row>
    <row r="14" spans="1:9" x14ac:dyDescent="0.35">
      <c r="A14" t="s">
        <v>45</v>
      </c>
      <c r="B14">
        <v>2019</v>
      </c>
      <c r="C14" t="s">
        <v>46</v>
      </c>
      <c r="D14" t="s">
        <v>47</v>
      </c>
      <c r="E14" t="b">
        <v>1</v>
      </c>
      <c r="F14" t="s">
        <v>10</v>
      </c>
      <c r="G14" t="s">
        <v>11</v>
      </c>
      <c r="H14">
        <v>2019</v>
      </c>
      <c r="I14">
        <v>1</v>
      </c>
    </row>
    <row r="15" spans="1:9" x14ac:dyDescent="0.35">
      <c r="A15" t="s">
        <v>48</v>
      </c>
      <c r="B15">
        <v>2019</v>
      </c>
      <c r="C15" t="s">
        <v>49</v>
      </c>
      <c r="D15" t="s">
        <v>50</v>
      </c>
      <c r="E15" t="b">
        <v>1</v>
      </c>
      <c r="F15" t="s">
        <v>10</v>
      </c>
      <c r="G15" t="s">
        <v>11</v>
      </c>
      <c r="H15">
        <v>2019</v>
      </c>
      <c r="I15">
        <v>1</v>
      </c>
    </row>
    <row r="16" spans="1:9" x14ac:dyDescent="0.35">
      <c r="A16" t="s">
        <v>51</v>
      </c>
      <c r="B16">
        <v>2019</v>
      </c>
      <c r="C16" t="s">
        <v>52</v>
      </c>
      <c r="D16" t="s">
        <v>53</v>
      </c>
      <c r="E16" t="b">
        <v>1</v>
      </c>
      <c r="F16" t="s">
        <v>10</v>
      </c>
      <c r="G16" t="s">
        <v>11</v>
      </c>
      <c r="H16">
        <v>2019</v>
      </c>
      <c r="I16">
        <v>1</v>
      </c>
    </row>
    <row r="17" spans="1:9" x14ac:dyDescent="0.35">
      <c r="A17" t="s">
        <v>54</v>
      </c>
      <c r="B17">
        <v>2019</v>
      </c>
      <c r="C17" t="s">
        <v>55</v>
      </c>
      <c r="D17" t="s">
        <v>56</v>
      </c>
      <c r="E17" t="b">
        <v>1</v>
      </c>
      <c r="F17" t="s">
        <v>10</v>
      </c>
      <c r="G17" t="s">
        <v>11</v>
      </c>
      <c r="H17">
        <v>2019</v>
      </c>
      <c r="I17">
        <v>1</v>
      </c>
    </row>
    <row r="18" spans="1:9" x14ac:dyDescent="0.35">
      <c r="A18" t="s">
        <v>57</v>
      </c>
      <c r="B18">
        <v>2019</v>
      </c>
      <c r="C18" t="s">
        <v>58</v>
      </c>
      <c r="D18" t="s">
        <v>59</v>
      </c>
      <c r="E18" t="b">
        <v>1</v>
      </c>
      <c r="F18" t="s">
        <v>10</v>
      </c>
      <c r="G18" t="s">
        <v>11</v>
      </c>
      <c r="H18">
        <v>2019</v>
      </c>
      <c r="I18">
        <v>1</v>
      </c>
    </row>
    <row r="19" spans="1:9" x14ac:dyDescent="0.35">
      <c r="A19" t="s">
        <v>60</v>
      </c>
      <c r="B19">
        <v>2019</v>
      </c>
      <c r="C19" t="s">
        <v>61</v>
      </c>
      <c r="D19" t="s">
        <v>62</v>
      </c>
      <c r="E19" t="b">
        <v>0</v>
      </c>
      <c r="F19" t="s">
        <v>63</v>
      </c>
      <c r="G19" t="s">
        <v>11</v>
      </c>
      <c r="I19">
        <v>1</v>
      </c>
    </row>
    <row r="20" spans="1:9" x14ac:dyDescent="0.35">
      <c r="A20" t="s">
        <v>64</v>
      </c>
      <c r="B20">
        <v>2019</v>
      </c>
      <c r="C20" t="s">
        <v>65</v>
      </c>
      <c r="D20" t="s">
        <v>66</v>
      </c>
      <c r="E20" t="b">
        <v>1</v>
      </c>
      <c r="F20" t="s">
        <v>10</v>
      </c>
      <c r="G20" t="s">
        <v>11</v>
      </c>
      <c r="H20">
        <v>2019</v>
      </c>
      <c r="I20">
        <v>1</v>
      </c>
    </row>
    <row r="21" spans="1:9" x14ac:dyDescent="0.35">
      <c r="A21" t="s">
        <v>67</v>
      </c>
      <c r="B21">
        <v>2019</v>
      </c>
      <c r="C21" t="s">
        <v>68</v>
      </c>
      <c r="D21" t="s">
        <v>69</v>
      </c>
      <c r="E21" t="b">
        <v>1</v>
      </c>
      <c r="F21" t="s">
        <v>10</v>
      </c>
      <c r="G21" t="s">
        <v>11</v>
      </c>
      <c r="H21">
        <v>2019</v>
      </c>
      <c r="I21">
        <v>1</v>
      </c>
    </row>
    <row r="22" spans="1:9" x14ac:dyDescent="0.35">
      <c r="A22" t="s">
        <v>70</v>
      </c>
      <c r="B22">
        <v>2019</v>
      </c>
      <c r="C22" t="s">
        <v>71</v>
      </c>
      <c r="D22" t="s">
        <v>72</v>
      </c>
      <c r="E22" t="b">
        <v>1</v>
      </c>
      <c r="F22" t="s">
        <v>10</v>
      </c>
      <c r="G22" t="s">
        <v>11</v>
      </c>
      <c r="H22">
        <v>2019</v>
      </c>
      <c r="I22">
        <v>1</v>
      </c>
    </row>
    <row r="23" spans="1:9" x14ac:dyDescent="0.35">
      <c r="A23" t="s">
        <v>73</v>
      </c>
      <c r="B23">
        <v>2019</v>
      </c>
      <c r="C23" t="s">
        <v>74</v>
      </c>
      <c r="D23" t="s">
        <v>75</v>
      </c>
      <c r="E23" t="b">
        <v>1</v>
      </c>
      <c r="F23" t="s">
        <v>10</v>
      </c>
      <c r="G23" t="s">
        <v>11</v>
      </c>
      <c r="H23">
        <v>2019</v>
      </c>
      <c r="I23">
        <v>1</v>
      </c>
    </row>
    <row r="24" spans="1:9" x14ac:dyDescent="0.35">
      <c r="A24" t="s">
        <v>76</v>
      </c>
      <c r="B24">
        <v>2019</v>
      </c>
      <c r="C24" t="s">
        <v>77</v>
      </c>
      <c r="D24" t="s">
        <v>78</v>
      </c>
      <c r="E24" t="b">
        <v>1</v>
      </c>
      <c r="F24" t="s">
        <v>10</v>
      </c>
      <c r="G24" t="s">
        <v>11</v>
      </c>
      <c r="H24">
        <v>2019</v>
      </c>
      <c r="I24">
        <v>1</v>
      </c>
    </row>
    <row r="25" spans="1:9" x14ac:dyDescent="0.35">
      <c r="A25" t="s">
        <v>79</v>
      </c>
      <c r="B25">
        <v>2019</v>
      </c>
      <c r="C25" t="s">
        <v>80</v>
      </c>
      <c r="D25" t="s">
        <v>81</v>
      </c>
      <c r="E25" t="b">
        <v>1</v>
      </c>
      <c r="F25" t="s">
        <v>10</v>
      </c>
      <c r="G25" t="s">
        <v>11</v>
      </c>
      <c r="H25">
        <v>2019</v>
      </c>
      <c r="I25">
        <v>1</v>
      </c>
    </row>
    <row r="26" spans="1:9" x14ac:dyDescent="0.35">
      <c r="A26" t="s">
        <v>82</v>
      </c>
      <c r="B26">
        <v>2019</v>
      </c>
      <c r="C26" t="s">
        <v>83</v>
      </c>
      <c r="D26" t="s">
        <v>84</v>
      </c>
      <c r="E26" t="b">
        <v>1</v>
      </c>
      <c r="F26" t="s">
        <v>10</v>
      </c>
      <c r="G26" t="s">
        <v>11</v>
      </c>
      <c r="H26">
        <v>2019</v>
      </c>
      <c r="I26">
        <v>1</v>
      </c>
    </row>
    <row r="27" spans="1:9" x14ac:dyDescent="0.35">
      <c r="A27" t="s">
        <v>85</v>
      </c>
      <c r="B27">
        <v>2019</v>
      </c>
      <c r="C27" t="s">
        <v>86</v>
      </c>
      <c r="D27" t="s">
        <v>87</v>
      </c>
      <c r="E27" t="b">
        <v>1</v>
      </c>
      <c r="F27" t="s">
        <v>10</v>
      </c>
      <c r="G27" t="s">
        <v>11</v>
      </c>
      <c r="H27">
        <v>2019</v>
      </c>
      <c r="I27">
        <v>1</v>
      </c>
    </row>
    <row r="28" spans="1:9" x14ac:dyDescent="0.35">
      <c r="A28" t="s">
        <v>88</v>
      </c>
      <c r="B28">
        <v>2019</v>
      </c>
      <c r="C28" t="s">
        <v>89</v>
      </c>
      <c r="D28" t="s">
        <v>90</v>
      </c>
      <c r="E28" t="b">
        <v>1</v>
      </c>
      <c r="F28" t="s">
        <v>10</v>
      </c>
      <c r="G28" t="s">
        <v>11</v>
      </c>
      <c r="H28">
        <v>2019</v>
      </c>
      <c r="I28">
        <v>1</v>
      </c>
    </row>
    <row r="29" spans="1:9" x14ac:dyDescent="0.35">
      <c r="A29" t="s">
        <v>91</v>
      </c>
      <c r="B29">
        <v>2019</v>
      </c>
      <c r="C29" t="s">
        <v>92</v>
      </c>
      <c r="D29" t="s">
        <v>93</v>
      </c>
      <c r="E29" t="b">
        <v>1</v>
      </c>
      <c r="F29" t="s">
        <v>10</v>
      </c>
      <c r="G29" t="s">
        <v>11</v>
      </c>
      <c r="H29">
        <v>2019</v>
      </c>
      <c r="I29">
        <v>1</v>
      </c>
    </row>
    <row r="30" spans="1:9" x14ac:dyDescent="0.35">
      <c r="A30" t="s">
        <v>94</v>
      </c>
      <c r="B30">
        <v>2019</v>
      </c>
      <c r="C30" t="s">
        <v>95</v>
      </c>
      <c r="D30" t="s">
        <v>96</v>
      </c>
      <c r="E30" t="b">
        <v>1</v>
      </c>
      <c r="F30" t="s">
        <v>10</v>
      </c>
      <c r="G30" t="s">
        <v>11</v>
      </c>
      <c r="H30">
        <v>2019</v>
      </c>
      <c r="I30">
        <v>1</v>
      </c>
    </row>
    <row r="31" spans="1:9" x14ac:dyDescent="0.35">
      <c r="A31" t="s">
        <v>97</v>
      </c>
      <c r="B31">
        <v>2019</v>
      </c>
      <c r="C31" t="s">
        <v>98</v>
      </c>
      <c r="D31" t="s">
        <v>99</v>
      </c>
      <c r="E31" t="b">
        <v>1</v>
      </c>
      <c r="F31" t="s">
        <v>10</v>
      </c>
      <c r="G31" t="s">
        <v>11</v>
      </c>
      <c r="H31">
        <v>2019</v>
      </c>
      <c r="I31">
        <v>1</v>
      </c>
    </row>
    <row r="32" spans="1:9" x14ac:dyDescent="0.35">
      <c r="A32" t="s">
        <v>100</v>
      </c>
      <c r="B32">
        <v>2019</v>
      </c>
      <c r="C32" t="s">
        <v>101</v>
      </c>
      <c r="D32" t="s">
        <v>102</v>
      </c>
      <c r="E32" t="b">
        <v>1</v>
      </c>
      <c r="F32" t="s">
        <v>103</v>
      </c>
      <c r="G32" t="s">
        <v>11</v>
      </c>
      <c r="H32">
        <v>2019</v>
      </c>
      <c r="I32">
        <v>1</v>
      </c>
    </row>
    <row r="33" spans="1:9" x14ac:dyDescent="0.35">
      <c r="A33" t="s">
        <v>104</v>
      </c>
      <c r="B33">
        <v>2019</v>
      </c>
      <c r="C33" t="s">
        <v>105</v>
      </c>
      <c r="D33" t="s">
        <v>106</v>
      </c>
      <c r="E33" t="b">
        <v>1</v>
      </c>
      <c r="F33" t="s">
        <v>10</v>
      </c>
      <c r="G33" t="s">
        <v>11</v>
      </c>
      <c r="H33">
        <v>2019</v>
      </c>
      <c r="I33">
        <v>1</v>
      </c>
    </row>
    <row r="34" spans="1:9" x14ac:dyDescent="0.35">
      <c r="A34" t="s">
        <v>107</v>
      </c>
      <c r="B34">
        <v>2019</v>
      </c>
      <c r="C34" t="s">
        <v>108</v>
      </c>
      <c r="D34" t="s">
        <v>109</v>
      </c>
      <c r="E34" t="b">
        <v>1</v>
      </c>
      <c r="F34" t="s">
        <v>10</v>
      </c>
      <c r="G34" t="s">
        <v>11</v>
      </c>
      <c r="H34">
        <v>2019</v>
      </c>
      <c r="I34">
        <v>1</v>
      </c>
    </row>
    <row r="35" spans="1:9" x14ac:dyDescent="0.35">
      <c r="A35" t="s">
        <v>110</v>
      </c>
      <c r="B35">
        <v>2019</v>
      </c>
      <c r="C35" t="s">
        <v>111</v>
      </c>
      <c r="D35" t="s">
        <v>112</v>
      </c>
      <c r="E35" t="b">
        <v>1</v>
      </c>
      <c r="F35" t="s">
        <v>10</v>
      </c>
      <c r="G35" t="s">
        <v>11</v>
      </c>
      <c r="H35">
        <v>2019</v>
      </c>
      <c r="I35">
        <v>1</v>
      </c>
    </row>
    <row r="36" spans="1:9" ht="409.5" x14ac:dyDescent="0.35">
      <c r="A36" t="s">
        <v>113</v>
      </c>
      <c r="B36">
        <v>2019</v>
      </c>
      <c r="C36" t="s">
        <v>114</v>
      </c>
      <c r="D36" s="1" t="s">
        <v>115</v>
      </c>
      <c r="E36" t="b">
        <v>1</v>
      </c>
      <c r="F36" t="s">
        <v>10</v>
      </c>
      <c r="G36" t="s">
        <v>11</v>
      </c>
      <c r="H36">
        <v>2019</v>
      </c>
      <c r="I36">
        <v>1</v>
      </c>
    </row>
    <row r="37" spans="1:9" x14ac:dyDescent="0.35">
      <c r="A37" t="s">
        <v>116</v>
      </c>
      <c r="B37">
        <v>2019</v>
      </c>
      <c r="C37" t="s">
        <v>117</v>
      </c>
      <c r="D37" t="s">
        <v>118</v>
      </c>
      <c r="E37" t="b">
        <v>1</v>
      </c>
      <c r="F37" t="s">
        <v>10</v>
      </c>
      <c r="G37" t="s">
        <v>11</v>
      </c>
      <c r="H37">
        <v>2019</v>
      </c>
      <c r="I37">
        <v>1</v>
      </c>
    </row>
    <row r="38" spans="1:9" x14ac:dyDescent="0.35">
      <c r="A38" t="s">
        <v>119</v>
      </c>
      <c r="B38">
        <v>2019</v>
      </c>
      <c r="C38" t="s">
        <v>120</v>
      </c>
      <c r="D38" t="s">
        <v>121</v>
      </c>
      <c r="E38" t="b">
        <v>1</v>
      </c>
      <c r="F38" t="s">
        <v>10</v>
      </c>
      <c r="G38" t="s">
        <v>11</v>
      </c>
      <c r="H38">
        <v>2019</v>
      </c>
      <c r="I38">
        <v>1</v>
      </c>
    </row>
    <row r="39" spans="1:9" x14ac:dyDescent="0.35">
      <c r="A39" t="s">
        <v>122</v>
      </c>
      <c r="B39">
        <v>2019</v>
      </c>
      <c r="C39" t="s">
        <v>123</v>
      </c>
      <c r="D39" t="s">
        <v>124</v>
      </c>
      <c r="E39" t="b">
        <v>1</v>
      </c>
      <c r="F39" t="s">
        <v>10</v>
      </c>
      <c r="G39" t="s">
        <v>11</v>
      </c>
      <c r="H39">
        <v>2019</v>
      </c>
      <c r="I39">
        <v>1</v>
      </c>
    </row>
    <row r="40" spans="1:9" x14ac:dyDescent="0.35">
      <c r="A40" t="s">
        <v>125</v>
      </c>
      <c r="B40">
        <v>2019</v>
      </c>
      <c r="C40" t="s">
        <v>126</v>
      </c>
      <c r="D40" t="s">
        <v>127</v>
      </c>
      <c r="E40" t="b">
        <v>1</v>
      </c>
      <c r="F40" t="s">
        <v>10</v>
      </c>
      <c r="G40" t="s">
        <v>11</v>
      </c>
      <c r="H40">
        <v>2019</v>
      </c>
      <c r="I40">
        <v>1</v>
      </c>
    </row>
    <row r="41" spans="1:9" x14ac:dyDescent="0.35">
      <c r="A41" t="s">
        <v>128</v>
      </c>
      <c r="B41">
        <v>2019</v>
      </c>
      <c r="C41" t="s">
        <v>129</v>
      </c>
      <c r="D41" t="s">
        <v>130</v>
      </c>
      <c r="E41" t="b">
        <v>1</v>
      </c>
      <c r="F41" t="s">
        <v>10</v>
      </c>
      <c r="G41" t="s">
        <v>11</v>
      </c>
      <c r="H41">
        <v>2019</v>
      </c>
      <c r="I41">
        <v>1</v>
      </c>
    </row>
    <row r="42" spans="1:9" x14ac:dyDescent="0.35">
      <c r="A42" t="s">
        <v>131</v>
      </c>
      <c r="B42">
        <v>2019</v>
      </c>
      <c r="C42" t="s">
        <v>132</v>
      </c>
      <c r="D42" t="s">
        <v>133</v>
      </c>
      <c r="E42" t="b">
        <v>1</v>
      </c>
      <c r="F42" t="s">
        <v>10</v>
      </c>
      <c r="G42" t="s">
        <v>11</v>
      </c>
      <c r="H42">
        <v>2019</v>
      </c>
      <c r="I42">
        <v>1</v>
      </c>
    </row>
    <row r="43" spans="1:9" ht="409.5" x14ac:dyDescent="0.35">
      <c r="A43" t="s">
        <v>134</v>
      </c>
      <c r="B43">
        <v>2019</v>
      </c>
      <c r="C43" t="s">
        <v>135</v>
      </c>
      <c r="D43" s="1" t="s">
        <v>136</v>
      </c>
      <c r="E43" t="b">
        <v>1</v>
      </c>
      <c r="F43" t="s">
        <v>10</v>
      </c>
      <c r="G43" t="s">
        <v>11</v>
      </c>
      <c r="H43">
        <v>2019</v>
      </c>
      <c r="I43">
        <v>1</v>
      </c>
    </row>
    <row r="44" spans="1:9" x14ac:dyDescent="0.35">
      <c r="A44" t="s">
        <v>137</v>
      </c>
      <c r="B44">
        <v>2019</v>
      </c>
      <c r="C44" t="s">
        <v>138</v>
      </c>
      <c r="D44" t="s">
        <v>139</v>
      </c>
      <c r="E44" t="b">
        <v>1</v>
      </c>
      <c r="F44" t="s">
        <v>10</v>
      </c>
      <c r="G44" t="s">
        <v>11</v>
      </c>
      <c r="H44">
        <v>2019</v>
      </c>
      <c r="I44">
        <v>1</v>
      </c>
    </row>
    <row r="45" spans="1:9" x14ac:dyDescent="0.35">
      <c r="A45" t="s">
        <v>140</v>
      </c>
      <c r="B45">
        <v>2019</v>
      </c>
      <c r="C45" t="s">
        <v>141</v>
      </c>
      <c r="D45" t="s">
        <v>142</v>
      </c>
      <c r="E45" t="b">
        <v>1</v>
      </c>
      <c r="F45" t="s">
        <v>10</v>
      </c>
      <c r="G45" t="s">
        <v>11</v>
      </c>
      <c r="H45">
        <v>2019</v>
      </c>
      <c r="I45">
        <v>1</v>
      </c>
    </row>
    <row r="46" spans="1:9" x14ac:dyDescent="0.35">
      <c r="A46" t="s">
        <v>143</v>
      </c>
      <c r="B46">
        <v>2019</v>
      </c>
      <c r="C46" t="s">
        <v>144</v>
      </c>
      <c r="D46" t="s">
        <v>145</v>
      </c>
      <c r="E46" t="b">
        <v>1</v>
      </c>
      <c r="F46" t="s">
        <v>10</v>
      </c>
      <c r="G46" t="s">
        <v>11</v>
      </c>
      <c r="H46">
        <v>2019</v>
      </c>
      <c r="I46">
        <v>1</v>
      </c>
    </row>
    <row r="47" spans="1:9" x14ac:dyDescent="0.35">
      <c r="A47" t="s">
        <v>146</v>
      </c>
      <c r="B47">
        <v>2019</v>
      </c>
      <c r="C47" t="s">
        <v>147</v>
      </c>
      <c r="D47" t="s">
        <v>148</v>
      </c>
      <c r="E47" t="b">
        <v>1</v>
      </c>
      <c r="F47" t="s">
        <v>10</v>
      </c>
      <c r="G47" t="s">
        <v>11</v>
      </c>
      <c r="H47">
        <v>2019</v>
      </c>
      <c r="I47">
        <v>1</v>
      </c>
    </row>
    <row r="48" spans="1:9" x14ac:dyDescent="0.35">
      <c r="A48" t="s">
        <v>149</v>
      </c>
      <c r="B48">
        <v>2019</v>
      </c>
      <c r="C48" t="s">
        <v>150</v>
      </c>
      <c r="D48" t="s">
        <v>151</v>
      </c>
      <c r="E48" t="b">
        <v>1</v>
      </c>
      <c r="F48" t="s">
        <v>10</v>
      </c>
      <c r="G48" t="s">
        <v>11</v>
      </c>
      <c r="H48">
        <v>2019</v>
      </c>
      <c r="I48">
        <v>1</v>
      </c>
    </row>
    <row r="49" spans="1:9" x14ac:dyDescent="0.35">
      <c r="A49" t="s">
        <v>152</v>
      </c>
      <c r="B49">
        <v>2019</v>
      </c>
      <c r="C49" t="s">
        <v>153</v>
      </c>
      <c r="D49" t="s">
        <v>154</v>
      </c>
      <c r="E49" t="b">
        <v>1</v>
      </c>
      <c r="F49" t="s">
        <v>10</v>
      </c>
      <c r="G49" t="s">
        <v>11</v>
      </c>
      <c r="H49">
        <v>2019</v>
      </c>
      <c r="I49">
        <v>1</v>
      </c>
    </row>
    <row r="50" spans="1:9" x14ac:dyDescent="0.35">
      <c r="A50" t="s">
        <v>155</v>
      </c>
      <c r="B50">
        <v>2019</v>
      </c>
      <c r="C50" t="s">
        <v>156</v>
      </c>
      <c r="D50" t="s">
        <v>157</v>
      </c>
      <c r="E50" t="b">
        <v>1</v>
      </c>
      <c r="F50" t="s">
        <v>10</v>
      </c>
      <c r="G50" t="s">
        <v>11</v>
      </c>
      <c r="H50">
        <v>2019</v>
      </c>
      <c r="I50">
        <v>1</v>
      </c>
    </row>
    <row r="51" spans="1:9" x14ac:dyDescent="0.35">
      <c r="A51" t="s">
        <v>158</v>
      </c>
      <c r="B51">
        <v>2019</v>
      </c>
      <c r="C51" t="s">
        <v>159</v>
      </c>
      <c r="D51" t="s">
        <v>160</v>
      </c>
      <c r="E51" t="b">
        <v>1</v>
      </c>
      <c r="F51" t="s">
        <v>10</v>
      </c>
      <c r="G51" t="s">
        <v>11</v>
      </c>
      <c r="H51">
        <v>2019</v>
      </c>
      <c r="I51">
        <v>1</v>
      </c>
    </row>
    <row r="52" spans="1:9" x14ac:dyDescent="0.35">
      <c r="A52" t="s">
        <v>161</v>
      </c>
      <c r="B52">
        <v>2019</v>
      </c>
      <c r="C52" t="s">
        <v>162</v>
      </c>
      <c r="D52" t="s">
        <v>163</v>
      </c>
      <c r="E52" t="b">
        <v>1</v>
      </c>
      <c r="F52" t="s">
        <v>10</v>
      </c>
      <c r="G52" t="s">
        <v>11</v>
      </c>
      <c r="H52">
        <v>2019</v>
      </c>
      <c r="I5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dimension ref="A1:G52"/>
  <sheetViews>
    <sheetView workbookViewId="0">
      <selection activeCell="E1" sqref="E1:G1048576"/>
    </sheetView>
  </sheetViews>
  <sheetFormatPr defaultRowHeight="14.5" x14ac:dyDescent="0.35"/>
  <sheetData>
    <row r="1" spans="1:7" x14ac:dyDescent="0.35">
      <c r="A1" t="s">
        <v>164</v>
      </c>
      <c r="B1" t="s">
        <v>1</v>
      </c>
      <c r="C1" t="s">
        <v>2</v>
      </c>
      <c r="D1" t="s">
        <v>3</v>
      </c>
      <c r="E1" t="s">
        <v>165</v>
      </c>
      <c r="F1" t="s">
        <v>166</v>
      </c>
      <c r="G1" t="s">
        <v>220</v>
      </c>
    </row>
    <row r="2" spans="1:7" x14ac:dyDescent="0.35">
      <c r="A2" t="s">
        <v>7</v>
      </c>
      <c r="B2">
        <v>2019</v>
      </c>
      <c r="C2" t="s">
        <v>8</v>
      </c>
      <c r="D2" t="s">
        <v>167</v>
      </c>
      <c r="E2" t="s">
        <v>168</v>
      </c>
      <c r="F2" t="s">
        <v>169</v>
      </c>
      <c r="G2" t="b">
        <f>IF(E2="Include", TRUE, FALSE)</f>
        <v>1</v>
      </c>
    </row>
    <row r="3" spans="1:7" x14ac:dyDescent="0.35">
      <c r="A3" t="s">
        <v>12</v>
      </c>
      <c r="B3">
        <v>2019</v>
      </c>
      <c r="C3" t="s">
        <v>13</v>
      </c>
      <c r="D3" t="s">
        <v>170</v>
      </c>
      <c r="E3" t="s">
        <v>168</v>
      </c>
      <c r="F3" t="s">
        <v>169</v>
      </c>
      <c r="G3" t="b">
        <f t="shared" ref="G3:G52" si="0">IF(E3="Include", TRUE, FALSE)</f>
        <v>1</v>
      </c>
    </row>
    <row r="4" spans="1:7" x14ac:dyDescent="0.35">
      <c r="A4" t="s">
        <v>15</v>
      </c>
      <c r="B4">
        <v>2019</v>
      </c>
      <c r="C4" t="s">
        <v>16</v>
      </c>
      <c r="D4" t="s">
        <v>171</v>
      </c>
      <c r="E4" t="s">
        <v>168</v>
      </c>
      <c r="F4" t="s">
        <v>169</v>
      </c>
      <c r="G4" t="b">
        <f t="shared" si="0"/>
        <v>1</v>
      </c>
    </row>
    <row r="5" spans="1:7" x14ac:dyDescent="0.35">
      <c r="A5" t="s">
        <v>18</v>
      </c>
      <c r="B5">
        <v>2019</v>
      </c>
      <c r="C5" t="s">
        <v>19</v>
      </c>
      <c r="D5" t="s">
        <v>172</v>
      </c>
      <c r="E5" t="s">
        <v>168</v>
      </c>
      <c r="F5" t="s">
        <v>169</v>
      </c>
      <c r="G5" t="b">
        <f t="shared" si="0"/>
        <v>1</v>
      </c>
    </row>
    <row r="6" spans="1:7" x14ac:dyDescent="0.35">
      <c r="A6" t="s">
        <v>21</v>
      </c>
      <c r="B6">
        <v>2019</v>
      </c>
      <c r="C6" t="s">
        <v>22</v>
      </c>
      <c r="D6" t="s">
        <v>173</v>
      </c>
      <c r="E6" t="s">
        <v>168</v>
      </c>
      <c r="F6" t="s">
        <v>169</v>
      </c>
      <c r="G6" t="b">
        <f t="shared" si="0"/>
        <v>1</v>
      </c>
    </row>
    <row r="7" spans="1:7" x14ac:dyDescent="0.35">
      <c r="A7" t="s">
        <v>24</v>
      </c>
      <c r="B7">
        <v>2019</v>
      </c>
      <c r="C7" t="s">
        <v>25</v>
      </c>
      <c r="D7" t="s">
        <v>174</v>
      </c>
      <c r="E7" t="s">
        <v>168</v>
      </c>
      <c r="F7" t="s">
        <v>169</v>
      </c>
      <c r="G7" t="b">
        <f t="shared" si="0"/>
        <v>1</v>
      </c>
    </row>
    <row r="8" spans="1:7" x14ac:dyDescent="0.35">
      <c r="A8" t="s">
        <v>27</v>
      </c>
      <c r="B8">
        <v>2019</v>
      </c>
      <c r="C8" t="s">
        <v>28</v>
      </c>
      <c r="D8" t="s">
        <v>175</v>
      </c>
      <c r="E8" t="s">
        <v>168</v>
      </c>
      <c r="F8" t="s">
        <v>169</v>
      </c>
      <c r="G8" t="b">
        <f t="shared" si="0"/>
        <v>1</v>
      </c>
    </row>
    <row r="9" spans="1:7" x14ac:dyDescent="0.35">
      <c r="A9" t="s">
        <v>30</v>
      </c>
      <c r="B9">
        <v>2019</v>
      </c>
      <c r="C9" t="s">
        <v>176</v>
      </c>
      <c r="D9" t="s">
        <v>177</v>
      </c>
      <c r="E9" t="s">
        <v>168</v>
      </c>
      <c r="F9" t="s">
        <v>169</v>
      </c>
      <c r="G9" t="b">
        <f t="shared" si="0"/>
        <v>1</v>
      </c>
    </row>
    <row r="10" spans="1:7" x14ac:dyDescent="0.35">
      <c r="A10" t="s">
        <v>33</v>
      </c>
      <c r="B10">
        <v>2019</v>
      </c>
      <c r="C10" t="s">
        <v>34</v>
      </c>
      <c r="D10" t="s">
        <v>178</v>
      </c>
      <c r="E10" t="s">
        <v>168</v>
      </c>
      <c r="F10" t="s">
        <v>169</v>
      </c>
      <c r="G10" t="b">
        <f t="shared" si="0"/>
        <v>1</v>
      </c>
    </row>
    <row r="11" spans="1:7" x14ac:dyDescent="0.35">
      <c r="A11" t="s">
        <v>36</v>
      </c>
      <c r="B11">
        <v>2019</v>
      </c>
      <c r="C11" t="s">
        <v>37</v>
      </c>
      <c r="D11" t="s">
        <v>179</v>
      </c>
      <c r="E11" t="s">
        <v>168</v>
      </c>
      <c r="F11" t="s">
        <v>169</v>
      </c>
      <c r="G11" t="b">
        <f t="shared" si="0"/>
        <v>1</v>
      </c>
    </row>
    <row r="12" spans="1:7" x14ac:dyDescent="0.35">
      <c r="A12" t="s">
        <v>39</v>
      </c>
      <c r="B12">
        <v>2019</v>
      </c>
      <c r="C12" t="s">
        <v>180</v>
      </c>
      <c r="D12" t="s">
        <v>181</v>
      </c>
      <c r="E12" t="s">
        <v>168</v>
      </c>
      <c r="F12" t="s">
        <v>169</v>
      </c>
      <c r="G12" t="b">
        <f t="shared" si="0"/>
        <v>1</v>
      </c>
    </row>
    <row r="13" spans="1:7" x14ac:dyDescent="0.35">
      <c r="A13" t="s">
        <v>42</v>
      </c>
      <c r="B13">
        <v>2019</v>
      </c>
      <c r="C13" t="s">
        <v>43</v>
      </c>
      <c r="D13" t="s">
        <v>44</v>
      </c>
      <c r="E13" t="s">
        <v>168</v>
      </c>
      <c r="F13" t="s">
        <v>169</v>
      </c>
      <c r="G13" t="b">
        <f t="shared" si="0"/>
        <v>1</v>
      </c>
    </row>
    <row r="14" spans="1:7" x14ac:dyDescent="0.35">
      <c r="A14" t="s">
        <v>45</v>
      </c>
      <c r="B14">
        <v>2019</v>
      </c>
      <c r="C14" t="s">
        <v>46</v>
      </c>
      <c r="D14" t="s">
        <v>47</v>
      </c>
      <c r="E14" t="s">
        <v>168</v>
      </c>
      <c r="F14" t="s">
        <v>221</v>
      </c>
      <c r="G14" t="b">
        <f t="shared" si="0"/>
        <v>1</v>
      </c>
    </row>
    <row r="15" spans="1:7" x14ac:dyDescent="0.35">
      <c r="A15" t="s">
        <v>48</v>
      </c>
      <c r="B15">
        <v>2019</v>
      </c>
      <c r="C15" t="s">
        <v>182</v>
      </c>
      <c r="D15" t="s">
        <v>183</v>
      </c>
      <c r="E15" t="s">
        <v>168</v>
      </c>
      <c r="F15" t="s">
        <v>169</v>
      </c>
      <c r="G15" t="b">
        <f t="shared" si="0"/>
        <v>1</v>
      </c>
    </row>
    <row r="16" spans="1:7" x14ac:dyDescent="0.35">
      <c r="A16" t="s">
        <v>51</v>
      </c>
      <c r="B16">
        <v>2019</v>
      </c>
      <c r="C16" t="s">
        <v>184</v>
      </c>
      <c r="D16" t="s">
        <v>185</v>
      </c>
      <c r="E16" t="s">
        <v>168</v>
      </c>
      <c r="F16" t="s">
        <v>169</v>
      </c>
      <c r="G16" t="b">
        <f t="shared" si="0"/>
        <v>1</v>
      </c>
    </row>
    <row r="17" spans="1:7" x14ac:dyDescent="0.35">
      <c r="A17" t="s">
        <v>54</v>
      </c>
      <c r="B17">
        <v>2019</v>
      </c>
      <c r="C17" t="s">
        <v>55</v>
      </c>
      <c r="D17" t="s">
        <v>186</v>
      </c>
      <c r="E17" t="s">
        <v>168</v>
      </c>
      <c r="F17" t="s">
        <v>169</v>
      </c>
      <c r="G17" t="b">
        <f t="shared" si="0"/>
        <v>1</v>
      </c>
    </row>
    <row r="18" spans="1:7" x14ac:dyDescent="0.35">
      <c r="A18" t="s">
        <v>57</v>
      </c>
      <c r="B18">
        <v>2019</v>
      </c>
      <c r="C18" t="s">
        <v>58</v>
      </c>
      <c r="D18" t="s">
        <v>187</v>
      </c>
      <c r="E18" t="s">
        <v>168</v>
      </c>
      <c r="F18" t="s">
        <v>169</v>
      </c>
      <c r="G18" t="b">
        <f t="shared" si="0"/>
        <v>1</v>
      </c>
    </row>
    <row r="19" spans="1:7" x14ac:dyDescent="0.35">
      <c r="A19" t="s">
        <v>60</v>
      </c>
      <c r="B19">
        <v>2019</v>
      </c>
      <c r="C19" t="s">
        <v>61</v>
      </c>
      <c r="D19" t="s">
        <v>188</v>
      </c>
      <c r="E19" t="s">
        <v>168</v>
      </c>
      <c r="F19" t="s">
        <v>169</v>
      </c>
      <c r="G19" t="b">
        <f t="shared" si="0"/>
        <v>1</v>
      </c>
    </row>
    <row r="20" spans="1:7" x14ac:dyDescent="0.35">
      <c r="A20" t="s">
        <v>64</v>
      </c>
      <c r="B20">
        <v>2019</v>
      </c>
      <c r="C20" t="s">
        <v>65</v>
      </c>
      <c r="D20" t="s">
        <v>189</v>
      </c>
      <c r="E20" t="s">
        <v>168</v>
      </c>
      <c r="F20" t="s">
        <v>169</v>
      </c>
      <c r="G20" t="b">
        <f t="shared" si="0"/>
        <v>1</v>
      </c>
    </row>
    <row r="21" spans="1:7" x14ac:dyDescent="0.35">
      <c r="A21" t="s">
        <v>67</v>
      </c>
      <c r="B21">
        <v>2019</v>
      </c>
      <c r="C21" t="s">
        <v>68</v>
      </c>
      <c r="D21" t="s">
        <v>190</v>
      </c>
      <c r="E21" t="s">
        <v>168</v>
      </c>
      <c r="F21" t="s">
        <v>169</v>
      </c>
      <c r="G21" t="b">
        <f t="shared" si="0"/>
        <v>1</v>
      </c>
    </row>
    <row r="22" spans="1:7" x14ac:dyDescent="0.35">
      <c r="A22" t="s">
        <v>70</v>
      </c>
      <c r="B22">
        <v>2019</v>
      </c>
      <c r="C22" t="s">
        <v>71</v>
      </c>
      <c r="D22" t="s">
        <v>72</v>
      </c>
      <c r="E22" t="s">
        <v>168</v>
      </c>
      <c r="F22" t="s">
        <v>169</v>
      </c>
      <c r="G22" t="b">
        <f t="shared" si="0"/>
        <v>1</v>
      </c>
    </row>
    <row r="23" spans="1:7" x14ac:dyDescent="0.35">
      <c r="A23" t="s">
        <v>73</v>
      </c>
      <c r="B23">
        <v>2019</v>
      </c>
      <c r="C23" t="s">
        <v>74</v>
      </c>
      <c r="D23" t="s">
        <v>191</v>
      </c>
      <c r="E23" t="s">
        <v>168</v>
      </c>
      <c r="F23" t="s">
        <v>169</v>
      </c>
      <c r="G23" t="b">
        <f t="shared" si="0"/>
        <v>1</v>
      </c>
    </row>
    <row r="24" spans="1:7" x14ac:dyDescent="0.35">
      <c r="A24" t="s">
        <v>76</v>
      </c>
      <c r="B24">
        <v>2019</v>
      </c>
      <c r="C24" t="s">
        <v>77</v>
      </c>
      <c r="D24" t="s">
        <v>192</v>
      </c>
      <c r="E24" t="s">
        <v>168</v>
      </c>
      <c r="F24" t="s">
        <v>169</v>
      </c>
      <c r="G24" t="b">
        <f t="shared" si="0"/>
        <v>1</v>
      </c>
    </row>
    <row r="25" spans="1:7" x14ac:dyDescent="0.35">
      <c r="A25" t="s">
        <v>79</v>
      </c>
      <c r="B25">
        <v>2019</v>
      </c>
      <c r="C25" t="s">
        <v>193</v>
      </c>
      <c r="D25" t="s">
        <v>194</v>
      </c>
      <c r="E25" t="s">
        <v>168</v>
      </c>
      <c r="F25" t="s">
        <v>169</v>
      </c>
      <c r="G25" t="b">
        <f t="shared" si="0"/>
        <v>1</v>
      </c>
    </row>
    <row r="26" spans="1:7" x14ac:dyDescent="0.35">
      <c r="A26" t="s">
        <v>82</v>
      </c>
      <c r="B26">
        <v>2019</v>
      </c>
      <c r="C26" t="s">
        <v>195</v>
      </c>
      <c r="D26" t="s">
        <v>196</v>
      </c>
      <c r="E26" t="s">
        <v>168</v>
      </c>
      <c r="F26" t="s">
        <v>169</v>
      </c>
      <c r="G26" t="b">
        <f t="shared" si="0"/>
        <v>1</v>
      </c>
    </row>
    <row r="27" spans="1:7" x14ac:dyDescent="0.35">
      <c r="A27" t="s">
        <v>85</v>
      </c>
      <c r="B27">
        <v>2019</v>
      </c>
      <c r="C27" t="s">
        <v>86</v>
      </c>
      <c r="D27" t="s">
        <v>87</v>
      </c>
      <c r="E27" t="s">
        <v>168</v>
      </c>
      <c r="F27" t="s">
        <v>169</v>
      </c>
      <c r="G27" t="b">
        <f t="shared" si="0"/>
        <v>1</v>
      </c>
    </row>
    <row r="28" spans="1:7" x14ac:dyDescent="0.35">
      <c r="A28" t="s">
        <v>88</v>
      </c>
      <c r="B28">
        <v>2019</v>
      </c>
      <c r="C28" t="s">
        <v>89</v>
      </c>
      <c r="D28" t="s">
        <v>90</v>
      </c>
      <c r="E28" t="s">
        <v>168</v>
      </c>
      <c r="F28" t="s">
        <v>169</v>
      </c>
      <c r="G28" t="b">
        <f t="shared" si="0"/>
        <v>1</v>
      </c>
    </row>
    <row r="29" spans="1:7" x14ac:dyDescent="0.35">
      <c r="A29" t="s">
        <v>91</v>
      </c>
      <c r="B29">
        <v>2019</v>
      </c>
      <c r="C29" t="s">
        <v>92</v>
      </c>
      <c r="D29" t="s">
        <v>197</v>
      </c>
      <c r="E29" t="s">
        <v>168</v>
      </c>
      <c r="F29" t="s">
        <v>169</v>
      </c>
      <c r="G29" t="b">
        <f t="shared" si="0"/>
        <v>1</v>
      </c>
    </row>
    <row r="30" spans="1:7" x14ac:dyDescent="0.35">
      <c r="A30" t="s">
        <v>94</v>
      </c>
      <c r="B30">
        <v>2019</v>
      </c>
      <c r="C30" t="s">
        <v>198</v>
      </c>
      <c r="D30" t="s">
        <v>199</v>
      </c>
      <c r="E30" t="s">
        <v>168</v>
      </c>
      <c r="F30" t="s">
        <v>169</v>
      </c>
      <c r="G30" t="b">
        <f t="shared" si="0"/>
        <v>1</v>
      </c>
    </row>
    <row r="31" spans="1:7" x14ac:dyDescent="0.35">
      <c r="A31" t="s">
        <v>97</v>
      </c>
      <c r="B31">
        <v>2019</v>
      </c>
      <c r="C31" t="s">
        <v>98</v>
      </c>
      <c r="D31" t="s">
        <v>200</v>
      </c>
      <c r="E31" t="s">
        <v>168</v>
      </c>
      <c r="F31" t="s">
        <v>169</v>
      </c>
      <c r="G31" t="b">
        <f t="shared" si="0"/>
        <v>1</v>
      </c>
    </row>
    <row r="32" spans="1:7" x14ac:dyDescent="0.35">
      <c r="A32" t="s">
        <v>100</v>
      </c>
      <c r="B32">
        <v>2019</v>
      </c>
      <c r="C32" t="s">
        <v>101</v>
      </c>
      <c r="D32" t="s">
        <v>201</v>
      </c>
      <c r="E32" t="s">
        <v>168</v>
      </c>
      <c r="F32" t="s">
        <v>169</v>
      </c>
      <c r="G32" t="b">
        <f t="shared" si="0"/>
        <v>1</v>
      </c>
    </row>
    <row r="33" spans="1:7" x14ac:dyDescent="0.35">
      <c r="A33" t="s">
        <v>104</v>
      </c>
      <c r="B33">
        <v>2019</v>
      </c>
      <c r="C33" t="s">
        <v>105</v>
      </c>
      <c r="D33" t="s">
        <v>202</v>
      </c>
      <c r="E33" t="s">
        <v>168</v>
      </c>
      <c r="F33" t="s">
        <v>169</v>
      </c>
      <c r="G33" t="b">
        <f t="shared" si="0"/>
        <v>1</v>
      </c>
    </row>
    <row r="34" spans="1:7" x14ac:dyDescent="0.35">
      <c r="A34" t="s">
        <v>107</v>
      </c>
      <c r="B34">
        <v>2019</v>
      </c>
      <c r="C34" t="s">
        <v>108</v>
      </c>
      <c r="D34" t="s">
        <v>109</v>
      </c>
      <c r="E34" t="s">
        <v>168</v>
      </c>
      <c r="F34" t="s">
        <v>169</v>
      </c>
      <c r="G34" t="b">
        <f t="shared" si="0"/>
        <v>1</v>
      </c>
    </row>
    <row r="35" spans="1:7" x14ac:dyDescent="0.35">
      <c r="A35" t="s">
        <v>110</v>
      </c>
      <c r="B35">
        <v>2019</v>
      </c>
      <c r="C35" t="s">
        <v>111</v>
      </c>
      <c r="D35" t="s">
        <v>203</v>
      </c>
      <c r="E35" t="s">
        <v>168</v>
      </c>
      <c r="F35" t="s">
        <v>169</v>
      </c>
      <c r="G35" t="b">
        <f t="shared" si="0"/>
        <v>1</v>
      </c>
    </row>
    <row r="36" spans="1:7" ht="409.5" x14ac:dyDescent="0.35">
      <c r="A36" t="s">
        <v>113</v>
      </c>
      <c r="B36">
        <v>2019</v>
      </c>
      <c r="C36" t="s">
        <v>114</v>
      </c>
      <c r="D36" s="1" t="s">
        <v>115</v>
      </c>
      <c r="E36" t="s">
        <v>168</v>
      </c>
      <c r="F36" t="s">
        <v>169</v>
      </c>
      <c r="G36" t="b">
        <f t="shared" si="0"/>
        <v>1</v>
      </c>
    </row>
    <row r="37" spans="1:7" x14ac:dyDescent="0.35">
      <c r="A37" t="s">
        <v>116</v>
      </c>
      <c r="B37">
        <v>2019</v>
      </c>
      <c r="C37" t="s">
        <v>117</v>
      </c>
      <c r="D37" t="s">
        <v>204</v>
      </c>
      <c r="E37" t="s">
        <v>168</v>
      </c>
      <c r="F37" t="s">
        <v>169</v>
      </c>
      <c r="G37" t="b">
        <f t="shared" si="0"/>
        <v>1</v>
      </c>
    </row>
    <row r="38" spans="1:7" x14ac:dyDescent="0.35">
      <c r="A38" t="s">
        <v>119</v>
      </c>
      <c r="B38">
        <v>2019</v>
      </c>
      <c r="C38" t="s">
        <v>120</v>
      </c>
      <c r="D38" t="s">
        <v>205</v>
      </c>
      <c r="E38" t="s">
        <v>168</v>
      </c>
      <c r="F38" t="s">
        <v>169</v>
      </c>
      <c r="G38" t="b">
        <f t="shared" si="0"/>
        <v>1</v>
      </c>
    </row>
    <row r="39" spans="1:7" x14ac:dyDescent="0.35">
      <c r="A39" t="s">
        <v>122</v>
      </c>
      <c r="B39">
        <v>2019</v>
      </c>
      <c r="C39" t="s">
        <v>123</v>
      </c>
      <c r="D39" t="s">
        <v>206</v>
      </c>
      <c r="E39" t="s">
        <v>168</v>
      </c>
      <c r="F39" t="s">
        <v>169</v>
      </c>
      <c r="G39" t="b">
        <f t="shared" si="0"/>
        <v>1</v>
      </c>
    </row>
    <row r="40" spans="1:7" x14ac:dyDescent="0.35">
      <c r="A40" t="s">
        <v>125</v>
      </c>
      <c r="B40">
        <v>2019</v>
      </c>
      <c r="C40" t="s">
        <v>126</v>
      </c>
      <c r="D40" t="s">
        <v>207</v>
      </c>
      <c r="E40" t="s">
        <v>168</v>
      </c>
      <c r="F40" t="s">
        <v>169</v>
      </c>
      <c r="G40" t="b">
        <f t="shared" si="0"/>
        <v>1</v>
      </c>
    </row>
    <row r="41" spans="1:7" x14ac:dyDescent="0.35">
      <c r="A41" t="s">
        <v>128</v>
      </c>
      <c r="B41">
        <v>2019</v>
      </c>
      <c r="C41" t="s">
        <v>208</v>
      </c>
      <c r="D41" t="s">
        <v>209</v>
      </c>
      <c r="E41" t="s">
        <v>168</v>
      </c>
      <c r="F41" t="s">
        <v>169</v>
      </c>
      <c r="G41" t="b">
        <f t="shared" si="0"/>
        <v>1</v>
      </c>
    </row>
    <row r="42" spans="1:7" x14ac:dyDescent="0.35">
      <c r="A42" t="s">
        <v>131</v>
      </c>
      <c r="B42">
        <v>2019</v>
      </c>
      <c r="C42" t="s">
        <v>132</v>
      </c>
      <c r="D42" t="s">
        <v>210</v>
      </c>
      <c r="E42" t="s">
        <v>168</v>
      </c>
      <c r="F42" t="s">
        <v>169</v>
      </c>
      <c r="G42" t="b">
        <f t="shared" si="0"/>
        <v>1</v>
      </c>
    </row>
    <row r="43" spans="1:7" ht="409.5" x14ac:dyDescent="0.35">
      <c r="A43" t="s">
        <v>134</v>
      </c>
      <c r="B43">
        <v>2019</v>
      </c>
      <c r="C43" t="s">
        <v>135</v>
      </c>
      <c r="D43" s="1" t="s">
        <v>136</v>
      </c>
      <c r="E43" t="s">
        <v>168</v>
      </c>
      <c r="F43" t="s">
        <v>169</v>
      </c>
      <c r="G43" t="b">
        <f t="shared" si="0"/>
        <v>1</v>
      </c>
    </row>
    <row r="44" spans="1:7" x14ac:dyDescent="0.35">
      <c r="A44" t="s">
        <v>137</v>
      </c>
      <c r="B44">
        <v>2019</v>
      </c>
      <c r="C44" t="s">
        <v>211</v>
      </c>
      <c r="D44" t="s">
        <v>212</v>
      </c>
      <c r="E44" t="s">
        <v>168</v>
      </c>
      <c r="F44" t="s">
        <v>169</v>
      </c>
      <c r="G44" t="b">
        <f t="shared" si="0"/>
        <v>1</v>
      </c>
    </row>
    <row r="45" spans="1:7" x14ac:dyDescent="0.35">
      <c r="A45" t="s">
        <v>140</v>
      </c>
      <c r="B45">
        <v>2019</v>
      </c>
      <c r="C45" t="s">
        <v>141</v>
      </c>
      <c r="D45" t="s">
        <v>213</v>
      </c>
      <c r="E45" t="s">
        <v>168</v>
      </c>
      <c r="F45" t="s">
        <v>169</v>
      </c>
      <c r="G45" t="b">
        <f t="shared" si="0"/>
        <v>1</v>
      </c>
    </row>
    <row r="46" spans="1:7" x14ac:dyDescent="0.35">
      <c r="A46" t="s">
        <v>143</v>
      </c>
      <c r="B46">
        <v>2019</v>
      </c>
      <c r="C46" t="s">
        <v>144</v>
      </c>
      <c r="D46" t="s">
        <v>145</v>
      </c>
      <c r="E46" t="s">
        <v>168</v>
      </c>
      <c r="F46" t="s">
        <v>169</v>
      </c>
      <c r="G46" t="b">
        <f t="shared" si="0"/>
        <v>1</v>
      </c>
    </row>
    <row r="47" spans="1:7" x14ac:dyDescent="0.35">
      <c r="A47" t="s">
        <v>146</v>
      </c>
      <c r="B47">
        <v>2019</v>
      </c>
      <c r="C47" t="s">
        <v>147</v>
      </c>
      <c r="D47" t="s">
        <v>148</v>
      </c>
      <c r="E47" t="s">
        <v>168</v>
      </c>
      <c r="F47" t="s">
        <v>169</v>
      </c>
      <c r="G47" t="b">
        <f t="shared" si="0"/>
        <v>1</v>
      </c>
    </row>
    <row r="48" spans="1:7" x14ac:dyDescent="0.35">
      <c r="A48" t="s">
        <v>149</v>
      </c>
      <c r="B48">
        <v>2019</v>
      </c>
      <c r="C48" t="s">
        <v>150</v>
      </c>
      <c r="D48" t="s">
        <v>214</v>
      </c>
      <c r="E48" t="s">
        <v>168</v>
      </c>
      <c r="F48" t="s">
        <v>169</v>
      </c>
      <c r="G48" t="b">
        <f t="shared" si="0"/>
        <v>1</v>
      </c>
    </row>
    <row r="49" spans="1:7" x14ac:dyDescent="0.35">
      <c r="A49" t="s">
        <v>152</v>
      </c>
      <c r="B49">
        <v>2019</v>
      </c>
      <c r="C49" t="s">
        <v>153</v>
      </c>
      <c r="D49" t="s">
        <v>154</v>
      </c>
      <c r="E49" t="s">
        <v>168</v>
      </c>
      <c r="F49" t="s">
        <v>169</v>
      </c>
      <c r="G49" t="b">
        <f t="shared" si="0"/>
        <v>1</v>
      </c>
    </row>
    <row r="50" spans="1:7" x14ac:dyDescent="0.35">
      <c r="A50" t="s">
        <v>155</v>
      </c>
      <c r="B50">
        <v>2019</v>
      </c>
      <c r="C50" t="s">
        <v>215</v>
      </c>
      <c r="D50" t="s">
        <v>216</v>
      </c>
      <c r="E50" t="s">
        <v>168</v>
      </c>
      <c r="F50" t="s">
        <v>169</v>
      </c>
      <c r="G50" t="b">
        <f t="shared" si="0"/>
        <v>1</v>
      </c>
    </row>
    <row r="51" spans="1:7" x14ac:dyDescent="0.35">
      <c r="A51" t="s">
        <v>158</v>
      </c>
      <c r="B51">
        <v>2019</v>
      </c>
      <c r="C51" t="s">
        <v>159</v>
      </c>
      <c r="D51" t="s">
        <v>160</v>
      </c>
      <c r="E51" t="s">
        <v>168</v>
      </c>
      <c r="F51" t="s">
        <v>169</v>
      </c>
      <c r="G51" t="b">
        <f t="shared" si="0"/>
        <v>1</v>
      </c>
    </row>
    <row r="52" spans="1:7" x14ac:dyDescent="0.35">
      <c r="A52" t="s">
        <v>161</v>
      </c>
      <c r="B52">
        <v>2019</v>
      </c>
      <c r="C52" t="s">
        <v>162</v>
      </c>
      <c r="D52" t="s">
        <v>217</v>
      </c>
      <c r="E52" t="s">
        <v>168</v>
      </c>
      <c r="F52" t="s">
        <v>169</v>
      </c>
      <c r="G52" t="b">
        <f t="shared" si="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L52"/>
  <sheetViews>
    <sheetView workbookViewId="0">
      <selection activeCell="K19" sqref="K19"/>
    </sheetView>
  </sheetViews>
  <sheetFormatPr defaultRowHeight="14.5" x14ac:dyDescent="0.35"/>
  <cols>
    <col min="10" max="10" width="8.7265625" style="2"/>
  </cols>
  <sheetData>
    <row r="1" spans="1:12" x14ac:dyDescent="0.35">
      <c r="A1" t="s">
        <v>0</v>
      </c>
      <c r="B1" t="s">
        <v>1</v>
      </c>
      <c r="C1" t="s">
        <v>2</v>
      </c>
      <c r="D1" t="s">
        <v>3</v>
      </c>
      <c r="E1" t="s">
        <v>218</v>
      </c>
      <c r="F1" t="s">
        <v>219</v>
      </c>
      <c r="G1" t="s">
        <v>4</v>
      </c>
      <c r="H1" t="s">
        <v>5</v>
      </c>
      <c r="I1" t="s">
        <v>6</v>
      </c>
      <c r="J1" s="2" t="s">
        <v>165</v>
      </c>
      <c r="K1" t="s">
        <v>166</v>
      </c>
      <c r="L1" t="s">
        <v>220</v>
      </c>
    </row>
    <row r="2" spans="1:12" hidden="1" x14ac:dyDescent="0.35">
      <c r="A2" t="s">
        <v>7</v>
      </c>
      <c r="B2">
        <v>2019</v>
      </c>
      <c r="C2" t="s">
        <v>8</v>
      </c>
      <c r="D2" t="s">
        <v>9</v>
      </c>
      <c r="E2" t="b">
        <v>1</v>
      </c>
      <c r="F2" t="s">
        <v>10</v>
      </c>
      <c r="G2" t="s">
        <v>11</v>
      </c>
      <c r="H2">
        <v>2019</v>
      </c>
      <c r="I2">
        <v>1</v>
      </c>
      <c r="J2" s="2" t="s">
        <v>168</v>
      </c>
      <c r="K2" t="s">
        <v>169</v>
      </c>
      <c r="L2" t="b">
        <f>IF(J2="Include", TRUE, FALSE)</f>
        <v>1</v>
      </c>
    </row>
    <row r="3" spans="1:12" hidden="1" x14ac:dyDescent="0.35">
      <c r="A3" t="s">
        <v>12</v>
      </c>
      <c r="B3">
        <v>2019</v>
      </c>
      <c r="C3" t="s">
        <v>13</v>
      </c>
      <c r="D3" t="s">
        <v>14</v>
      </c>
      <c r="E3" t="b">
        <v>1</v>
      </c>
      <c r="F3" t="s">
        <v>10</v>
      </c>
      <c r="G3" t="s">
        <v>11</v>
      </c>
      <c r="H3">
        <v>2019</v>
      </c>
      <c r="I3">
        <v>1</v>
      </c>
      <c r="J3" s="2" t="s">
        <v>168</v>
      </c>
      <c r="K3" t="s">
        <v>169</v>
      </c>
      <c r="L3" t="b">
        <f t="shared" ref="L3:L52" si="0">IF(J3="Include", TRUE, FALSE)</f>
        <v>1</v>
      </c>
    </row>
    <row r="4" spans="1:12" hidden="1" x14ac:dyDescent="0.35">
      <c r="A4" t="s">
        <v>15</v>
      </c>
      <c r="B4">
        <v>2019</v>
      </c>
      <c r="C4" t="s">
        <v>16</v>
      </c>
      <c r="D4" t="s">
        <v>17</v>
      </c>
      <c r="E4" t="b">
        <v>1</v>
      </c>
      <c r="F4" t="s">
        <v>10</v>
      </c>
      <c r="G4" t="s">
        <v>11</v>
      </c>
      <c r="H4">
        <v>2019</v>
      </c>
      <c r="I4">
        <v>1</v>
      </c>
      <c r="J4" s="2" t="s">
        <v>168</v>
      </c>
      <c r="K4" t="s">
        <v>169</v>
      </c>
      <c r="L4" t="b">
        <f t="shared" si="0"/>
        <v>1</v>
      </c>
    </row>
    <row r="5" spans="1:12" hidden="1" x14ac:dyDescent="0.35">
      <c r="A5" t="s">
        <v>18</v>
      </c>
      <c r="B5">
        <v>2019</v>
      </c>
      <c r="C5" t="s">
        <v>19</v>
      </c>
      <c r="D5" t="s">
        <v>20</v>
      </c>
      <c r="E5" t="b">
        <v>1</v>
      </c>
      <c r="F5" t="s">
        <v>10</v>
      </c>
      <c r="G5" t="s">
        <v>11</v>
      </c>
      <c r="H5">
        <v>2019</v>
      </c>
      <c r="I5">
        <v>1</v>
      </c>
      <c r="J5" s="2" t="s">
        <v>168</v>
      </c>
      <c r="K5" t="s">
        <v>169</v>
      </c>
      <c r="L5" t="b">
        <f t="shared" si="0"/>
        <v>1</v>
      </c>
    </row>
    <row r="6" spans="1:12" hidden="1" x14ac:dyDescent="0.35">
      <c r="A6" t="s">
        <v>21</v>
      </c>
      <c r="B6">
        <v>2019</v>
      </c>
      <c r="C6" t="s">
        <v>22</v>
      </c>
      <c r="D6" t="s">
        <v>23</v>
      </c>
      <c r="E6" t="b">
        <v>1</v>
      </c>
      <c r="F6" t="s">
        <v>10</v>
      </c>
      <c r="G6" t="s">
        <v>11</v>
      </c>
      <c r="H6">
        <v>2019</v>
      </c>
      <c r="I6">
        <v>1</v>
      </c>
      <c r="J6" s="2" t="s">
        <v>168</v>
      </c>
      <c r="K6" t="s">
        <v>169</v>
      </c>
      <c r="L6" t="b">
        <f t="shared" si="0"/>
        <v>1</v>
      </c>
    </row>
    <row r="7" spans="1:12" hidden="1" x14ac:dyDescent="0.35">
      <c r="A7" t="s">
        <v>24</v>
      </c>
      <c r="B7">
        <v>2019</v>
      </c>
      <c r="C7" t="s">
        <v>25</v>
      </c>
      <c r="D7" t="s">
        <v>26</v>
      </c>
      <c r="E7" t="b">
        <v>1</v>
      </c>
      <c r="F7" t="s">
        <v>10</v>
      </c>
      <c r="G7" t="s">
        <v>11</v>
      </c>
      <c r="H7">
        <v>2019</v>
      </c>
      <c r="I7">
        <v>1</v>
      </c>
      <c r="J7" s="2" t="s">
        <v>168</v>
      </c>
      <c r="K7" t="s">
        <v>169</v>
      </c>
      <c r="L7" t="b">
        <f t="shared" si="0"/>
        <v>1</v>
      </c>
    </row>
    <row r="8" spans="1:12" hidden="1" x14ac:dyDescent="0.35">
      <c r="A8" t="s">
        <v>27</v>
      </c>
      <c r="B8">
        <v>2019</v>
      </c>
      <c r="C8" t="s">
        <v>28</v>
      </c>
      <c r="D8" t="s">
        <v>29</v>
      </c>
      <c r="E8" t="b">
        <v>1</v>
      </c>
      <c r="F8" t="s">
        <v>10</v>
      </c>
      <c r="G8" t="s">
        <v>11</v>
      </c>
      <c r="H8">
        <v>2019</v>
      </c>
      <c r="I8">
        <v>1</v>
      </c>
      <c r="J8" s="2" t="s">
        <v>168</v>
      </c>
      <c r="K8" t="s">
        <v>169</v>
      </c>
      <c r="L8" t="b">
        <f t="shared" si="0"/>
        <v>1</v>
      </c>
    </row>
    <row r="9" spans="1:12" hidden="1" x14ac:dyDescent="0.35">
      <c r="A9" t="s">
        <v>30</v>
      </c>
      <c r="B9">
        <v>2019</v>
      </c>
      <c r="C9" t="s">
        <v>31</v>
      </c>
      <c r="D9" t="s">
        <v>32</v>
      </c>
      <c r="E9" t="b">
        <v>1</v>
      </c>
      <c r="F9" t="s">
        <v>10</v>
      </c>
      <c r="G9" t="s">
        <v>11</v>
      </c>
      <c r="H9">
        <v>2019</v>
      </c>
      <c r="I9">
        <v>1</v>
      </c>
      <c r="J9" s="2" t="s">
        <v>168</v>
      </c>
      <c r="K9" t="s">
        <v>169</v>
      </c>
      <c r="L9" t="b">
        <f t="shared" si="0"/>
        <v>1</v>
      </c>
    </row>
    <row r="10" spans="1:12" hidden="1" x14ac:dyDescent="0.35">
      <c r="A10" t="s">
        <v>33</v>
      </c>
      <c r="B10">
        <v>2019</v>
      </c>
      <c r="C10" t="s">
        <v>34</v>
      </c>
      <c r="D10" t="s">
        <v>35</v>
      </c>
      <c r="E10" t="b">
        <v>1</v>
      </c>
      <c r="F10" t="s">
        <v>10</v>
      </c>
      <c r="G10" t="s">
        <v>11</v>
      </c>
      <c r="H10">
        <v>2019</v>
      </c>
      <c r="I10">
        <v>1</v>
      </c>
      <c r="J10" s="2" t="s">
        <v>168</v>
      </c>
      <c r="K10" t="s">
        <v>169</v>
      </c>
      <c r="L10" t="b">
        <f t="shared" si="0"/>
        <v>1</v>
      </c>
    </row>
    <row r="11" spans="1:12" hidden="1" x14ac:dyDescent="0.35">
      <c r="A11" t="s">
        <v>36</v>
      </c>
      <c r="B11">
        <v>2019</v>
      </c>
      <c r="C11" t="s">
        <v>37</v>
      </c>
      <c r="D11" t="s">
        <v>38</v>
      </c>
      <c r="E11" t="b">
        <v>1</v>
      </c>
      <c r="F11" t="s">
        <v>10</v>
      </c>
      <c r="G11" t="s">
        <v>11</v>
      </c>
      <c r="H11">
        <v>2019</v>
      </c>
      <c r="I11">
        <v>1</v>
      </c>
      <c r="J11" s="2" t="s">
        <v>168</v>
      </c>
      <c r="K11" t="s">
        <v>169</v>
      </c>
      <c r="L11" t="b">
        <f t="shared" si="0"/>
        <v>1</v>
      </c>
    </row>
    <row r="12" spans="1:12" hidden="1" x14ac:dyDescent="0.35">
      <c r="A12" t="s">
        <v>39</v>
      </c>
      <c r="B12">
        <v>2019</v>
      </c>
      <c r="C12" t="s">
        <v>40</v>
      </c>
      <c r="D12" t="s">
        <v>41</v>
      </c>
      <c r="E12" t="b">
        <v>1</v>
      </c>
      <c r="F12" t="s">
        <v>10</v>
      </c>
      <c r="G12" t="s">
        <v>11</v>
      </c>
      <c r="H12">
        <v>2019</v>
      </c>
      <c r="I12">
        <v>1</v>
      </c>
      <c r="J12" s="2" t="s">
        <v>168</v>
      </c>
      <c r="K12" t="s">
        <v>169</v>
      </c>
      <c r="L12" t="b">
        <f t="shared" si="0"/>
        <v>1</v>
      </c>
    </row>
    <row r="13" spans="1:12" hidden="1" x14ac:dyDescent="0.35">
      <c r="A13" t="s">
        <v>42</v>
      </c>
      <c r="B13">
        <v>2019</v>
      </c>
      <c r="C13" t="s">
        <v>43</v>
      </c>
      <c r="D13" t="s">
        <v>44</v>
      </c>
      <c r="E13" t="b">
        <v>1</v>
      </c>
      <c r="F13" t="s">
        <v>10</v>
      </c>
      <c r="G13" t="s">
        <v>11</v>
      </c>
      <c r="H13">
        <v>2019</v>
      </c>
      <c r="I13">
        <v>1</v>
      </c>
      <c r="J13" s="2" t="s">
        <v>168</v>
      </c>
      <c r="K13" t="s">
        <v>169</v>
      </c>
      <c r="L13" t="b">
        <f t="shared" si="0"/>
        <v>1</v>
      </c>
    </row>
    <row r="14" spans="1:12" hidden="1" x14ac:dyDescent="0.35">
      <c r="A14" t="s">
        <v>45</v>
      </c>
      <c r="B14">
        <v>2019</v>
      </c>
      <c r="C14" t="s">
        <v>46</v>
      </c>
      <c r="D14" t="s">
        <v>47</v>
      </c>
      <c r="E14" t="b">
        <v>1</v>
      </c>
      <c r="F14" t="s">
        <v>10</v>
      </c>
      <c r="G14" t="s">
        <v>11</v>
      </c>
      <c r="H14">
        <v>2019</v>
      </c>
      <c r="I14">
        <v>1</v>
      </c>
      <c r="J14" s="2" t="s">
        <v>168</v>
      </c>
      <c r="K14" t="s">
        <v>221</v>
      </c>
      <c r="L14" t="b">
        <f t="shared" si="0"/>
        <v>1</v>
      </c>
    </row>
    <row r="15" spans="1:12" hidden="1" x14ac:dyDescent="0.35">
      <c r="A15" t="s">
        <v>48</v>
      </c>
      <c r="B15">
        <v>2019</v>
      </c>
      <c r="C15" t="s">
        <v>49</v>
      </c>
      <c r="D15" t="s">
        <v>50</v>
      </c>
      <c r="E15" t="b">
        <v>1</v>
      </c>
      <c r="F15" t="s">
        <v>10</v>
      </c>
      <c r="G15" t="s">
        <v>11</v>
      </c>
      <c r="H15">
        <v>2019</v>
      </c>
      <c r="I15">
        <v>1</v>
      </c>
      <c r="J15" s="2" t="s">
        <v>168</v>
      </c>
      <c r="K15" t="s">
        <v>169</v>
      </c>
      <c r="L15" t="b">
        <f t="shared" si="0"/>
        <v>1</v>
      </c>
    </row>
    <row r="16" spans="1:12" hidden="1" x14ac:dyDescent="0.35">
      <c r="A16" t="s">
        <v>51</v>
      </c>
      <c r="B16">
        <v>2019</v>
      </c>
      <c r="C16" t="s">
        <v>52</v>
      </c>
      <c r="D16" t="s">
        <v>53</v>
      </c>
      <c r="E16" t="b">
        <v>1</v>
      </c>
      <c r="F16" t="s">
        <v>10</v>
      </c>
      <c r="G16" t="s">
        <v>11</v>
      </c>
      <c r="H16">
        <v>2019</v>
      </c>
      <c r="I16">
        <v>1</v>
      </c>
      <c r="J16" s="2" t="s">
        <v>168</v>
      </c>
      <c r="K16" t="s">
        <v>169</v>
      </c>
      <c r="L16" t="b">
        <f t="shared" si="0"/>
        <v>1</v>
      </c>
    </row>
    <row r="17" spans="1:12" hidden="1" x14ac:dyDescent="0.35">
      <c r="A17" t="s">
        <v>54</v>
      </c>
      <c r="B17">
        <v>2019</v>
      </c>
      <c r="C17" t="s">
        <v>55</v>
      </c>
      <c r="D17" t="s">
        <v>56</v>
      </c>
      <c r="E17" t="b">
        <v>1</v>
      </c>
      <c r="F17" t="s">
        <v>10</v>
      </c>
      <c r="G17" t="s">
        <v>11</v>
      </c>
      <c r="H17">
        <v>2019</v>
      </c>
      <c r="I17">
        <v>1</v>
      </c>
      <c r="J17" s="2" t="s">
        <v>168</v>
      </c>
      <c r="K17" t="s">
        <v>169</v>
      </c>
      <c r="L17" t="b">
        <f t="shared" si="0"/>
        <v>1</v>
      </c>
    </row>
    <row r="18" spans="1:12" hidden="1" x14ac:dyDescent="0.35">
      <c r="A18" t="s">
        <v>57</v>
      </c>
      <c r="B18">
        <v>2019</v>
      </c>
      <c r="C18" t="s">
        <v>58</v>
      </c>
      <c r="D18" t="s">
        <v>59</v>
      </c>
      <c r="E18" t="b">
        <v>1</v>
      </c>
      <c r="F18" t="s">
        <v>10</v>
      </c>
      <c r="G18" t="s">
        <v>11</v>
      </c>
      <c r="H18">
        <v>2019</v>
      </c>
      <c r="I18">
        <v>1</v>
      </c>
      <c r="J18" s="2" t="s">
        <v>168</v>
      </c>
      <c r="K18" t="s">
        <v>169</v>
      </c>
      <c r="L18" t="b">
        <f t="shared" si="0"/>
        <v>1</v>
      </c>
    </row>
    <row r="19" spans="1:12" x14ac:dyDescent="0.35">
      <c r="A19" t="s">
        <v>60</v>
      </c>
      <c r="B19">
        <v>2019</v>
      </c>
      <c r="C19" t="s">
        <v>61</v>
      </c>
      <c r="D19" t="s">
        <v>62</v>
      </c>
      <c r="E19" t="b">
        <v>0</v>
      </c>
      <c r="F19" t="s">
        <v>63</v>
      </c>
      <c r="G19" t="s">
        <v>11</v>
      </c>
      <c r="I19">
        <v>1</v>
      </c>
      <c r="J19" s="2" t="s">
        <v>168</v>
      </c>
      <c r="K19" t="s">
        <v>169</v>
      </c>
      <c r="L19" t="b">
        <f t="shared" si="0"/>
        <v>1</v>
      </c>
    </row>
    <row r="20" spans="1:12" hidden="1" x14ac:dyDescent="0.35">
      <c r="A20" t="s">
        <v>64</v>
      </c>
      <c r="B20">
        <v>2019</v>
      </c>
      <c r="C20" t="s">
        <v>65</v>
      </c>
      <c r="D20" t="s">
        <v>66</v>
      </c>
      <c r="E20" t="b">
        <v>1</v>
      </c>
      <c r="F20" t="s">
        <v>10</v>
      </c>
      <c r="G20" t="s">
        <v>11</v>
      </c>
      <c r="H20">
        <v>2019</v>
      </c>
      <c r="I20">
        <v>1</v>
      </c>
      <c r="J20" s="2" t="s">
        <v>168</v>
      </c>
      <c r="K20" t="s">
        <v>169</v>
      </c>
      <c r="L20" t="b">
        <f t="shared" si="0"/>
        <v>1</v>
      </c>
    </row>
    <row r="21" spans="1:12" hidden="1" x14ac:dyDescent="0.35">
      <c r="A21" t="s">
        <v>67</v>
      </c>
      <c r="B21">
        <v>2019</v>
      </c>
      <c r="C21" t="s">
        <v>68</v>
      </c>
      <c r="D21" t="s">
        <v>69</v>
      </c>
      <c r="E21" t="b">
        <v>1</v>
      </c>
      <c r="F21" t="s">
        <v>10</v>
      </c>
      <c r="G21" t="s">
        <v>11</v>
      </c>
      <c r="H21">
        <v>2019</v>
      </c>
      <c r="I21">
        <v>1</v>
      </c>
      <c r="J21" s="2" t="s">
        <v>168</v>
      </c>
      <c r="K21" t="s">
        <v>169</v>
      </c>
      <c r="L21" t="b">
        <f t="shared" si="0"/>
        <v>1</v>
      </c>
    </row>
    <row r="22" spans="1:12" hidden="1" x14ac:dyDescent="0.35">
      <c r="A22" t="s">
        <v>70</v>
      </c>
      <c r="B22">
        <v>2019</v>
      </c>
      <c r="C22" t="s">
        <v>71</v>
      </c>
      <c r="D22" t="s">
        <v>72</v>
      </c>
      <c r="E22" t="b">
        <v>1</v>
      </c>
      <c r="F22" t="s">
        <v>10</v>
      </c>
      <c r="G22" t="s">
        <v>11</v>
      </c>
      <c r="H22">
        <v>2019</v>
      </c>
      <c r="I22">
        <v>1</v>
      </c>
      <c r="J22" s="2" t="s">
        <v>168</v>
      </c>
      <c r="K22" t="s">
        <v>169</v>
      </c>
      <c r="L22" t="b">
        <f t="shared" si="0"/>
        <v>1</v>
      </c>
    </row>
    <row r="23" spans="1:12" hidden="1" x14ac:dyDescent="0.35">
      <c r="A23" t="s">
        <v>73</v>
      </c>
      <c r="B23">
        <v>2019</v>
      </c>
      <c r="C23" t="s">
        <v>74</v>
      </c>
      <c r="D23" t="s">
        <v>75</v>
      </c>
      <c r="E23" t="b">
        <v>1</v>
      </c>
      <c r="F23" t="s">
        <v>10</v>
      </c>
      <c r="G23" t="s">
        <v>11</v>
      </c>
      <c r="H23">
        <v>2019</v>
      </c>
      <c r="I23">
        <v>1</v>
      </c>
      <c r="J23" s="2" t="s">
        <v>168</v>
      </c>
      <c r="K23" t="s">
        <v>169</v>
      </c>
      <c r="L23" t="b">
        <f t="shared" si="0"/>
        <v>1</v>
      </c>
    </row>
    <row r="24" spans="1:12" hidden="1" x14ac:dyDescent="0.35">
      <c r="A24" t="s">
        <v>76</v>
      </c>
      <c r="B24">
        <v>2019</v>
      </c>
      <c r="C24" t="s">
        <v>77</v>
      </c>
      <c r="D24" t="s">
        <v>78</v>
      </c>
      <c r="E24" t="b">
        <v>1</v>
      </c>
      <c r="F24" t="s">
        <v>10</v>
      </c>
      <c r="G24" t="s">
        <v>11</v>
      </c>
      <c r="H24">
        <v>2019</v>
      </c>
      <c r="I24">
        <v>1</v>
      </c>
      <c r="J24" s="2" t="s">
        <v>168</v>
      </c>
      <c r="K24" t="s">
        <v>169</v>
      </c>
      <c r="L24" t="b">
        <f t="shared" si="0"/>
        <v>1</v>
      </c>
    </row>
    <row r="25" spans="1:12" hidden="1" x14ac:dyDescent="0.35">
      <c r="A25" t="s">
        <v>79</v>
      </c>
      <c r="B25">
        <v>2019</v>
      </c>
      <c r="C25" t="s">
        <v>80</v>
      </c>
      <c r="D25" t="s">
        <v>81</v>
      </c>
      <c r="E25" t="b">
        <v>1</v>
      </c>
      <c r="F25" t="s">
        <v>10</v>
      </c>
      <c r="G25" t="s">
        <v>11</v>
      </c>
      <c r="H25">
        <v>2019</v>
      </c>
      <c r="I25">
        <v>1</v>
      </c>
      <c r="J25" s="2" t="s">
        <v>168</v>
      </c>
      <c r="K25" t="s">
        <v>169</v>
      </c>
      <c r="L25" t="b">
        <f t="shared" si="0"/>
        <v>1</v>
      </c>
    </row>
    <row r="26" spans="1:12" hidden="1" x14ac:dyDescent="0.35">
      <c r="A26" t="s">
        <v>82</v>
      </c>
      <c r="B26">
        <v>2019</v>
      </c>
      <c r="C26" t="s">
        <v>83</v>
      </c>
      <c r="D26" t="s">
        <v>84</v>
      </c>
      <c r="E26" t="b">
        <v>1</v>
      </c>
      <c r="F26" t="s">
        <v>10</v>
      </c>
      <c r="G26" t="s">
        <v>11</v>
      </c>
      <c r="H26">
        <v>2019</v>
      </c>
      <c r="I26">
        <v>1</v>
      </c>
      <c r="J26" s="2" t="s">
        <v>168</v>
      </c>
      <c r="K26" t="s">
        <v>169</v>
      </c>
      <c r="L26" t="b">
        <f t="shared" si="0"/>
        <v>1</v>
      </c>
    </row>
    <row r="27" spans="1:12" hidden="1" x14ac:dyDescent="0.35">
      <c r="A27" t="s">
        <v>85</v>
      </c>
      <c r="B27">
        <v>2019</v>
      </c>
      <c r="C27" t="s">
        <v>86</v>
      </c>
      <c r="D27" t="s">
        <v>87</v>
      </c>
      <c r="E27" t="b">
        <v>1</v>
      </c>
      <c r="F27" t="s">
        <v>10</v>
      </c>
      <c r="G27" t="s">
        <v>11</v>
      </c>
      <c r="H27">
        <v>2019</v>
      </c>
      <c r="I27">
        <v>1</v>
      </c>
      <c r="J27" s="2" t="s">
        <v>168</v>
      </c>
      <c r="K27" t="s">
        <v>169</v>
      </c>
      <c r="L27" t="b">
        <f t="shared" si="0"/>
        <v>1</v>
      </c>
    </row>
    <row r="28" spans="1:12" hidden="1" x14ac:dyDescent="0.35">
      <c r="A28" t="s">
        <v>88</v>
      </c>
      <c r="B28">
        <v>2019</v>
      </c>
      <c r="C28" t="s">
        <v>89</v>
      </c>
      <c r="D28" t="s">
        <v>90</v>
      </c>
      <c r="E28" t="b">
        <v>1</v>
      </c>
      <c r="F28" t="s">
        <v>10</v>
      </c>
      <c r="G28" t="s">
        <v>11</v>
      </c>
      <c r="H28">
        <v>2019</v>
      </c>
      <c r="I28">
        <v>1</v>
      </c>
      <c r="J28" s="2" t="s">
        <v>168</v>
      </c>
      <c r="K28" t="s">
        <v>169</v>
      </c>
      <c r="L28" t="b">
        <f t="shared" si="0"/>
        <v>1</v>
      </c>
    </row>
    <row r="29" spans="1:12" hidden="1" x14ac:dyDescent="0.35">
      <c r="A29" t="s">
        <v>91</v>
      </c>
      <c r="B29">
        <v>2019</v>
      </c>
      <c r="C29" t="s">
        <v>92</v>
      </c>
      <c r="D29" t="s">
        <v>93</v>
      </c>
      <c r="E29" t="b">
        <v>1</v>
      </c>
      <c r="F29" t="s">
        <v>10</v>
      </c>
      <c r="G29" t="s">
        <v>11</v>
      </c>
      <c r="H29">
        <v>2019</v>
      </c>
      <c r="I29">
        <v>1</v>
      </c>
      <c r="J29" s="2" t="s">
        <v>168</v>
      </c>
      <c r="K29" t="s">
        <v>169</v>
      </c>
      <c r="L29" t="b">
        <f t="shared" si="0"/>
        <v>1</v>
      </c>
    </row>
    <row r="30" spans="1:12" hidden="1" x14ac:dyDescent="0.35">
      <c r="A30" t="s">
        <v>94</v>
      </c>
      <c r="B30">
        <v>2019</v>
      </c>
      <c r="C30" t="s">
        <v>95</v>
      </c>
      <c r="D30" t="s">
        <v>96</v>
      </c>
      <c r="E30" t="b">
        <v>1</v>
      </c>
      <c r="F30" t="s">
        <v>10</v>
      </c>
      <c r="G30" t="s">
        <v>11</v>
      </c>
      <c r="H30">
        <v>2019</v>
      </c>
      <c r="I30">
        <v>1</v>
      </c>
      <c r="J30" s="2" t="s">
        <v>168</v>
      </c>
      <c r="K30" t="s">
        <v>169</v>
      </c>
      <c r="L30" t="b">
        <f t="shared" si="0"/>
        <v>1</v>
      </c>
    </row>
    <row r="31" spans="1:12" hidden="1" x14ac:dyDescent="0.35">
      <c r="A31" t="s">
        <v>97</v>
      </c>
      <c r="B31">
        <v>2019</v>
      </c>
      <c r="C31" t="s">
        <v>98</v>
      </c>
      <c r="D31" t="s">
        <v>99</v>
      </c>
      <c r="E31" t="b">
        <v>1</v>
      </c>
      <c r="F31" t="s">
        <v>10</v>
      </c>
      <c r="G31" t="s">
        <v>11</v>
      </c>
      <c r="H31">
        <v>2019</v>
      </c>
      <c r="I31">
        <v>1</v>
      </c>
      <c r="J31" s="2" t="s">
        <v>168</v>
      </c>
      <c r="K31" t="s">
        <v>169</v>
      </c>
      <c r="L31" t="b">
        <f t="shared" si="0"/>
        <v>1</v>
      </c>
    </row>
    <row r="32" spans="1:12" hidden="1" x14ac:dyDescent="0.35">
      <c r="A32" t="s">
        <v>100</v>
      </c>
      <c r="B32">
        <v>2019</v>
      </c>
      <c r="C32" t="s">
        <v>101</v>
      </c>
      <c r="D32" t="s">
        <v>102</v>
      </c>
      <c r="E32" t="b">
        <v>1</v>
      </c>
      <c r="F32" t="s">
        <v>103</v>
      </c>
      <c r="G32" t="s">
        <v>11</v>
      </c>
      <c r="H32">
        <v>2019</v>
      </c>
      <c r="I32">
        <v>1</v>
      </c>
      <c r="J32" s="2" t="s">
        <v>168</v>
      </c>
      <c r="K32" t="s">
        <v>169</v>
      </c>
      <c r="L32" t="b">
        <f t="shared" si="0"/>
        <v>1</v>
      </c>
    </row>
    <row r="33" spans="1:12" hidden="1" x14ac:dyDescent="0.35">
      <c r="A33" t="s">
        <v>104</v>
      </c>
      <c r="B33">
        <v>2019</v>
      </c>
      <c r="C33" t="s">
        <v>105</v>
      </c>
      <c r="D33" t="s">
        <v>106</v>
      </c>
      <c r="E33" t="b">
        <v>1</v>
      </c>
      <c r="F33" t="s">
        <v>10</v>
      </c>
      <c r="G33" t="s">
        <v>11</v>
      </c>
      <c r="H33">
        <v>2019</v>
      </c>
      <c r="I33">
        <v>1</v>
      </c>
      <c r="J33" s="2" t="s">
        <v>168</v>
      </c>
      <c r="K33" t="s">
        <v>169</v>
      </c>
      <c r="L33" t="b">
        <f t="shared" si="0"/>
        <v>1</v>
      </c>
    </row>
    <row r="34" spans="1:12" hidden="1" x14ac:dyDescent="0.35">
      <c r="A34" t="s">
        <v>107</v>
      </c>
      <c r="B34">
        <v>2019</v>
      </c>
      <c r="C34" t="s">
        <v>108</v>
      </c>
      <c r="D34" t="s">
        <v>109</v>
      </c>
      <c r="E34" t="b">
        <v>1</v>
      </c>
      <c r="F34" t="s">
        <v>10</v>
      </c>
      <c r="G34" t="s">
        <v>11</v>
      </c>
      <c r="H34">
        <v>2019</v>
      </c>
      <c r="I34">
        <v>1</v>
      </c>
      <c r="J34" s="2" t="s">
        <v>168</v>
      </c>
      <c r="K34" t="s">
        <v>169</v>
      </c>
      <c r="L34" t="b">
        <f t="shared" si="0"/>
        <v>1</v>
      </c>
    </row>
    <row r="35" spans="1:12" hidden="1" x14ac:dyDescent="0.35">
      <c r="A35" t="s">
        <v>110</v>
      </c>
      <c r="B35">
        <v>2019</v>
      </c>
      <c r="C35" t="s">
        <v>111</v>
      </c>
      <c r="D35" t="s">
        <v>112</v>
      </c>
      <c r="E35" t="b">
        <v>1</v>
      </c>
      <c r="F35" t="s">
        <v>10</v>
      </c>
      <c r="G35" t="s">
        <v>11</v>
      </c>
      <c r="H35">
        <v>2019</v>
      </c>
      <c r="I35">
        <v>1</v>
      </c>
      <c r="J35" s="2" t="s">
        <v>168</v>
      </c>
      <c r="K35" t="s">
        <v>169</v>
      </c>
      <c r="L35" t="b">
        <f t="shared" si="0"/>
        <v>1</v>
      </c>
    </row>
    <row r="36" spans="1:12" ht="409.5" hidden="1" x14ac:dyDescent="0.35">
      <c r="A36" t="s">
        <v>113</v>
      </c>
      <c r="B36">
        <v>2019</v>
      </c>
      <c r="C36" t="s">
        <v>114</v>
      </c>
      <c r="D36" s="1" t="s">
        <v>115</v>
      </c>
      <c r="E36" t="b">
        <v>1</v>
      </c>
      <c r="F36" t="s">
        <v>10</v>
      </c>
      <c r="G36" t="s">
        <v>11</v>
      </c>
      <c r="H36">
        <v>2019</v>
      </c>
      <c r="I36">
        <v>1</v>
      </c>
      <c r="J36" s="2" t="s">
        <v>168</v>
      </c>
      <c r="K36" t="s">
        <v>169</v>
      </c>
      <c r="L36" t="b">
        <f t="shared" si="0"/>
        <v>1</v>
      </c>
    </row>
    <row r="37" spans="1:12" hidden="1" x14ac:dyDescent="0.35">
      <c r="A37" t="s">
        <v>116</v>
      </c>
      <c r="B37">
        <v>2019</v>
      </c>
      <c r="C37" t="s">
        <v>117</v>
      </c>
      <c r="D37" t="s">
        <v>118</v>
      </c>
      <c r="E37" t="b">
        <v>1</v>
      </c>
      <c r="F37" t="s">
        <v>10</v>
      </c>
      <c r="G37" t="s">
        <v>11</v>
      </c>
      <c r="H37">
        <v>2019</v>
      </c>
      <c r="I37">
        <v>1</v>
      </c>
      <c r="J37" s="2" t="s">
        <v>168</v>
      </c>
      <c r="K37" t="s">
        <v>169</v>
      </c>
      <c r="L37" t="b">
        <f t="shared" si="0"/>
        <v>1</v>
      </c>
    </row>
    <row r="38" spans="1:12" hidden="1" x14ac:dyDescent="0.35">
      <c r="A38" t="s">
        <v>119</v>
      </c>
      <c r="B38">
        <v>2019</v>
      </c>
      <c r="C38" t="s">
        <v>120</v>
      </c>
      <c r="D38" t="s">
        <v>121</v>
      </c>
      <c r="E38" t="b">
        <v>1</v>
      </c>
      <c r="F38" t="s">
        <v>10</v>
      </c>
      <c r="G38" t="s">
        <v>11</v>
      </c>
      <c r="H38">
        <v>2019</v>
      </c>
      <c r="I38">
        <v>1</v>
      </c>
      <c r="J38" s="2" t="s">
        <v>168</v>
      </c>
      <c r="K38" t="s">
        <v>169</v>
      </c>
      <c r="L38" t="b">
        <f t="shared" si="0"/>
        <v>1</v>
      </c>
    </row>
    <row r="39" spans="1:12" hidden="1" x14ac:dyDescent="0.35">
      <c r="A39" t="s">
        <v>122</v>
      </c>
      <c r="B39">
        <v>2019</v>
      </c>
      <c r="C39" t="s">
        <v>123</v>
      </c>
      <c r="D39" t="s">
        <v>124</v>
      </c>
      <c r="E39" t="b">
        <v>1</v>
      </c>
      <c r="F39" t="s">
        <v>10</v>
      </c>
      <c r="G39" t="s">
        <v>11</v>
      </c>
      <c r="H39">
        <v>2019</v>
      </c>
      <c r="I39">
        <v>1</v>
      </c>
      <c r="J39" s="2" t="s">
        <v>168</v>
      </c>
      <c r="K39" t="s">
        <v>169</v>
      </c>
      <c r="L39" t="b">
        <f t="shared" si="0"/>
        <v>1</v>
      </c>
    </row>
    <row r="40" spans="1:12" hidden="1" x14ac:dyDescent="0.35">
      <c r="A40" t="s">
        <v>125</v>
      </c>
      <c r="B40">
        <v>2019</v>
      </c>
      <c r="C40" t="s">
        <v>126</v>
      </c>
      <c r="D40" t="s">
        <v>127</v>
      </c>
      <c r="E40" t="b">
        <v>1</v>
      </c>
      <c r="F40" t="s">
        <v>10</v>
      </c>
      <c r="G40" t="s">
        <v>11</v>
      </c>
      <c r="H40">
        <v>2019</v>
      </c>
      <c r="I40">
        <v>1</v>
      </c>
      <c r="J40" s="2" t="s">
        <v>168</v>
      </c>
      <c r="K40" t="s">
        <v>169</v>
      </c>
      <c r="L40" t="b">
        <f t="shared" si="0"/>
        <v>1</v>
      </c>
    </row>
    <row r="41" spans="1:12" hidden="1" x14ac:dyDescent="0.35">
      <c r="A41" t="s">
        <v>128</v>
      </c>
      <c r="B41">
        <v>2019</v>
      </c>
      <c r="C41" t="s">
        <v>129</v>
      </c>
      <c r="D41" t="s">
        <v>130</v>
      </c>
      <c r="E41" t="b">
        <v>1</v>
      </c>
      <c r="F41" t="s">
        <v>10</v>
      </c>
      <c r="G41" t="s">
        <v>11</v>
      </c>
      <c r="H41">
        <v>2019</v>
      </c>
      <c r="I41">
        <v>1</v>
      </c>
      <c r="J41" s="2" t="s">
        <v>168</v>
      </c>
      <c r="K41" t="s">
        <v>169</v>
      </c>
      <c r="L41" t="b">
        <f t="shared" si="0"/>
        <v>1</v>
      </c>
    </row>
    <row r="42" spans="1:12" hidden="1" x14ac:dyDescent="0.35">
      <c r="A42" t="s">
        <v>131</v>
      </c>
      <c r="B42">
        <v>2019</v>
      </c>
      <c r="C42" t="s">
        <v>132</v>
      </c>
      <c r="D42" t="s">
        <v>133</v>
      </c>
      <c r="E42" t="b">
        <v>1</v>
      </c>
      <c r="F42" t="s">
        <v>10</v>
      </c>
      <c r="G42" t="s">
        <v>11</v>
      </c>
      <c r="H42">
        <v>2019</v>
      </c>
      <c r="I42">
        <v>1</v>
      </c>
      <c r="J42" s="2" t="s">
        <v>168</v>
      </c>
      <c r="K42" t="s">
        <v>169</v>
      </c>
      <c r="L42" t="b">
        <f t="shared" si="0"/>
        <v>1</v>
      </c>
    </row>
    <row r="43" spans="1:12" ht="409.5" hidden="1" x14ac:dyDescent="0.35">
      <c r="A43" t="s">
        <v>134</v>
      </c>
      <c r="B43">
        <v>2019</v>
      </c>
      <c r="C43" t="s">
        <v>135</v>
      </c>
      <c r="D43" s="1" t="s">
        <v>136</v>
      </c>
      <c r="E43" t="b">
        <v>1</v>
      </c>
      <c r="F43" t="s">
        <v>10</v>
      </c>
      <c r="G43" t="s">
        <v>11</v>
      </c>
      <c r="H43">
        <v>2019</v>
      </c>
      <c r="I43">
        <v>1</v>
      </c>
      <c r="J43" s="2" t="s">
        <v>168</v>
      </c>
      <c r="K43" t="s">
        <v>169</v>
      </c>
      <c r="L43" t="b">
        <f t="shared" si="0"/>
        <v>1</v>
      </c>
    </row>
    <row r="44" spans="1:12" hidden="1" x14ac:dyDescent="0.35">
      <c r="A44" t="s">
        <v>137</v>
      </c>
      <c r="B44">
        <v>2019</v>
      </c>
      <c r="C44" t="s">
        <v>138</v>
      </c>
      <c r="D44" t="s">
        <v>139</v>
      </c>
      <c r="E44" t="b">
        <v>1</v>
      </c>
      <c r="F44" t="s">
        <v>10</v>
      </c>
      <c r="G44" t="s">
        <v>11</v>
      </c>
      <c r="H44">
        <v>2019</v>
      </c>
      <c r="I44">
        <v>1</v>
      </c>
      <c r="J44" s="2" t="s">
        <v>168</v>
      </c>
      <c r="K44" t="s">
        <v>169</v>
      </c>
      <c r="L44" t="b">
        <f t="shared" si="0"/>
        <v>1</v>
      </c>
    </row>
    <row r="45" spans="1:12" hidden="1" x14ac:dyDescent="0.35">
      <c r="A45" t="s">
        <v>140</v>
      </c>
      <c r="B45">
        <v>2019</v>
      </c>
      <c r="C45" t="s">
        <v>141</v>
      </c>
      <c r="D45" t="s">
        <v>142</v>
      </c>
      <c r="E45" t="b">
        <v>1</v>
      </c>
      <c r="F45" t="s">
        <v>10</v>
      </c>
      <c r="G45" t="s">
        <v>11</v>
      </c>
      <c r="H45">
        <v>2019</v>
      </c>
      <c r="I45">
        <v>1</v>
      </c>
      <c r="J45" s="2" t="s">
        <v>168</v>
      </c>
      <c r="K45" t="s">
        <v>169</v>
      </c>
      <c r="L45" t="b">
        <f t="shared" si="0"/>
        <v>1</v>
      </c>
    </row>
    <row r="46" spans="1:12" hidden="1" x14ac:dyDescent="0.35">
      <c r="A46" t="s">
        <v>143</v>
      </c>
      <c r="B46">
        <v>2019</v>
      </c>
      <c r="C46" t="s">
        <v>144</v>
      </c>
      <c r="D46" t="s">
        <v>145</v>
      </c>
      <c r="E46" t="b">
        <v>1</v>
      </c>
      <c r="F46" t="s">
        <v>10</v>
      </c>
      <c r="G46" t="s">
        <v>11</v>
      </c>
      <c r="H46">
        <v>2019</v>
      </c>
      <c r="I46">
        <v>1</v>
      </c>
      <c r="J46" s="2" t="s">
        <v>168</v>
      </c>
      <c r="K46" t="s">
        <v>169</v>
      </c>
      <c r="L46" t="b">
        <f t="shared" si="0"/>
        <v>1</v>
      </c>
    </row>
    <row r="47" spans="1:12" hidden="1" x14ac:dyDescent="0.35">
      <c r="A47" t="s">
        <v>146</v>
      </c>
      <c r="B47">
        <v>2019</v>
      </c>
      <c r="C47" t="s">
        <v>147</v>
      </c>
      <c r="D47" t="s">
        <v>148</v>
      </c>
      <c r="E47" t="b">
        <v>1</v>
      </c>
      <c r="F47" t="s">
        <v>10</v>
      </c>
      <c r="G47" t="s">
        <v>11</v>
      </c>
      <c r="H47">
        <v>2019</v>
      </c>
      <c r="I47">
        <v>1</v>
      </c>
      <c r="J47" s="2" t="s">
        <v>168</v>
      </c>
      <c r="K47" t="s">
        <v>169</v>
      </c>
      <c r="L47" t="b">
        <f t="shared" si="0"/>
        <v>1</v>
      </c>
    </row>
    <row r="48" spans="1:12" hidden="1" x14ac:dyDescent="0.35">
      <c r="A48" t="s">
        <v>149</v>
      </c>
      <c r="B48">
        <v>2019</v>
      </c>
      <c r="C48" t="s">
        <v>150</v>
      </c>
      <c r="D48" t="s">
        <v>151</v>
      </c>
      <c r="E48" t="b">
        <v>1</v>
      </c>
      <c r="F48" t="s">
        <v>10</v>
      </c>
      <c r="G48" t="s">
        <v>11</v>
      </c>
      <c r="H48">
        <v>2019</v>
      </c>
      <c r="I48">
        <v>1</v>
      </c>
      <c r="J48" s="2" t="s">
        <v>168</v>
      </c>
      <c r="K48" t="s">
        <v>169</v>
      </c>
      <c r="L48" t="b">
        <f t="shared" si="0"/>
        <v>1</v>
      </c>
    </row>
    <row r="49" spans="1:12" hidden="1" x14ac:dyDescent="0.35">
      <c r="A49" t="s">
        <v>152</v>
      </c>
      <c r="B49">
        <v>2019</v>
      </c>
      <c r="C49" t="s">
        <v>153</v>
      </c>
      <c r="D49" t="s">
        <v>154</v>
      </c>
      <c r="E49" t="b">
        <v>1</v>
      </c>
      <c r="F49" t="s">
        <v>10</v>
      </c>
      <c r="G49" t="s">
        <v>11</v>
      </c>
      <c r="H49">
        <v>2019</v>
      </c>
      <c r="I49">
        <v>1</v>
      </c>
      <c r="J49" s="2" t="s">
        <v>168</v>
      </c>
      <c r="K49" t="s">
        <v>169</v>
      </c>
      <c r="L49" t="b">
        <f t="shared" si="0"/>
        <v>1</v>
      </c>
    </row>
    <row r="50" spans="1:12" hidden="1" x14ac:dyDescent="0.35">
      <c r="A50" t="s">
        <v>155</v>
      </c>
      <c r="B50">
        <v>2019</v>
      </c>
      <c r="C50" t="s">
        <v>156</v>
      </c>
      <c r="D50" t="s">
        <v>157</v>
      </c>
      <c r="E50" t="b">
        <v>1</v>
      </c>
      <c r="F50" t="s">
        <v>10</v>
      </c>
      <c r="G50" t="s">
        <v>11</v>
      </c>
      <c r="H50">
        <v>2019</v>
      </c>
      <c r="I50">
        <v>1</v>
      </c>
      <c r="J50" s="2" t="s">
        <v>168</v>
      </c>
      <c r="K50" t="s">
        <v>169</v>
      </c>
      <c r="L50" t="b">
        <f t="shared" si="0"/>
        <v>1</v>
      </c>
    </row>
    <row r="51" spans="1:12" hidden="1" x14ac:dyDescent="0.35">
      <c r="A51" t="s">
        <v>158</v>
      </c>
      <c r="B51">
        <v>2019</v>
      </c>
      <c r="C51" t="s">
        <v>159</v>
      </c>
      <c r="D51" t="s">
        <v>160</v>
      </c>
      <c r="E51" t="b">
        <v>1</v>
      </c>
      <c r="F51" t="s">
        <v>10</v>
      </c>
      <c r="G51" t="s">
        <v>11</v>
      </c>
      <c r="H51">
        <v>2019</v>
      </c>
      <c r="I51">
        <v>1</v>
      </c>
      <c r="J51" s="2" t="s">
        <v>168</v>
      </c>
      <c r="K51" t="s">
        <v>169</v>
      </c>
      <c r="L51" t="b">
        <f t="shared" si="0"/>
        <v>1</v>
      </c>
    </row>
    <row r="52" spans="1:12" hidden="1" x14ac:dyDescent="0.35">
      <c r="A52" t="s">
        <v>161</v>
      </c>
      <c r="B52">
        <v>2019</v>
      </c>
      <c r="C52" t="s">
        <v>162</v>
      </c>
      <c r="D52" t="s">
        <v>163</v>
      </c>
      <c r="E52" t="b">
        <v>1</v>
      </c>
      <c r="F52" t="s">
        <v>10</v>
      </c>
      <c r="G52" t="s">
        <v>11</v>
      </c>
      <c r="H52">
        <v>2019</v>
      </c>
      <c r="I52">
        <v>1</v>
      </c>
      <c r="J52" s="2" t="s">
        <v>168</v>
      </c>
      <c r="K52" t="s">
        <v>169</v>
      </c>
      <c r="L52" t="b">
        <f t="shared" si="0"/>
        <v>1</v>
      </c>
    </row>
  </sheetData>
  <autoFilter ref="A1:L52" xr:uid="{1235A4A9-643F-403F-8F39-91437DA8F632}">
    <filterColumn colId="4">
      <filters>
        <filter val="FALSE"/>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C17"/>
  <sheetViews>
    <sheetView tabSelected="1" workbookViewId="0"/>
  </sheetViews>
  <sheetFormatPr defaultRowHeight="14.5" x14ac:dyDescent="0.35"/>
  <cols>
    <col min="1" max="1" width="14.453125" bestFit="1" customWidth="1"/>
  </cols>
  <sheetData>
    <row r="1" spans="1:3" x14ac:dyDescent="0.35">
      <c r="A1" t="s">
        <v>226</v>
      </c>
    </row>
    <row r="2" spans="1:3" x14ac:dyDescent="0.35">
      <c r="B2" t="s">
        <v>224</v>
      </c>
      <c r="C2" t="s">
        <v>225</v>
      </c>
    </row>
    <row r="3" spans="1:3" x14ac:dyDescent="0.35">
      <c r="A3" t="s">
        <v>222</v>
      </c>
      <c r="B3">
        <f>COUNTIFS('Merged results table'!$E$1:$E$52,TRUE,'Merged results table'!$L$1:$L$52,TRUE)</f>
        <v>50</v>
      </c>
      <c r="C3">
        <f>COUNTIFS('Merged results table'!$E$1:$E$52,TRUE,'Merged results table'!$L$1:$L$52,FALSE)</f>
        <v>0</v>
      </c>
    </row>
    <row r="4" spans="1:3" x14ac:dyDescent="0.35">
      <c r="A4" t="s">
        <v>223</v>
      </c>
      <c r="B4">
        <f>COUNTIFS('Merged results table'!$E$1:$E$52,FALSE,'Merged results table'!$L$1:$L$52,TRUE)</f>
        <v>1</v>
      </c>
      <c r="C4">
        <f>COUNTIFS('Merged results table'!$E$1:$E$52,FALSE,'Merged results table'!$L$1:$L$52,FALSE)</f>
        <v>0</v>
      </c>
    </row>
    <row r="6" spans="1:3" x14ac:dyDescent="0.35">
      <c r="A6" t="s">
        <v>229</v>
      </c>
      <c r="B6">
        <f>B3</f>
        <v>50</v>
      </c>
    </row>
    <row r="7" spans="1:3" x14ac:dyDescent="0.35">
      <c r="A7" t="s">
        <v>230</v>
      </c>
      <c r="B7">
        <f>C4</f>
        <v>0</v>
      </c>
    </row>
    <row r="8" spans="1:3" x14ac:dyDescent="0.35">
      <c r="A8" t="s">
        <v>231</v>
      </c>
      <c r="B8">
        <f>C3</f>
        <v>0</v>
      </c>
    </row>
    <row r="9" spans="1:3" x14ac:dyDescent="0.35">
      <c r="A9" t="s">
        <v>232</v>
      </c>
      <c r="B9">
        <f>B4</f>
        <v>1</v>
      </c>
    </row>
    <row r="11" spans="1:3" x14ac:dyDescent="0.35">
      <c r="A11" t="s">
        <v>227</v>
      </c>
      <c r="B11">
        <f>(B3+C4)/(B3+B4+C3+C4)</f>
        <v>0.98039215686274506</v>
      </c>
    </row>
    <row r="12" spans="1:3" x14ac:dyDescent="0.35">
      <c r="A12" t="s">
        <v>228</v>
      </c>
      <c r="B12">
        <f>B3/(B3+B4)</f>
        <v>0.98039215686274506</v>
      </c>
    </row>
    <row r="14" spans="1:3" x14ac:dyDescent="0.35">
      <c r="A14" t="s">
        <v>233</v>
      </c>
    </row>
    <row r="15" spans="1:3" x14ac:dyDescent="0.35">
      <c r="A15" t="s">
        <v>234</v>
      </c>
    </row>
    <row r="16" spans="1:3" x14ac:dyDescent="0.35">
      <c r="A16" t="s">
        <v>235</v>
      </c>
    </row>
    <row r="17" spans="1:1" x14ac:dyDescent="0.35">
      <c r="A17"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Stage_1_API_50</vt:lpstr>
      <vt:lpstr>Stage_1_FF_50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2025-09-03T11:01:14Z</dcterms:modified>
</cp:coreProperties>
</file>