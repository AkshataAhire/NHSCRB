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68B6BEBC-08BB-454C-9B4F-2B5337B8E445}" xr6:coauthVersionLast="47" xr6:coauthVersionMax="47" xr10:uidLastSave="{00000000-0000-0000-0000-000000000000}"/>
  <bookViews>
    <workbookView xWindow="-110" yWindow="-110" windowWidth="19420" windowHeight="10300" activeTab="4" xr2:uid="{66513E08-89B8-4D61-A86D-819C01466699}"/>
  </bookViews>
  <sheets>
    <sheet name="Stage_7_API_200" sheetId="1" r:id="rId1"/>
    <sheet name="ID_Lookup" sheetId="5" r:id="rId2"/>
    <sheet name="Stage_7_FF_200" sheetId="2" r:id="rId3"/>
    <sheet name="Merged results table" sheetId="3" r:id="rId4"/>
    <sheet name="Evaluating Results" sheetId="4" r:id="rId5"/>
  </sheets>
  <definedNames>
    <definedName name="_xlnm._FilterDatabase" localSheetId="3" hidden="1">'Merged results table'!$A$1:$L$19</definedName>
    <definedName name="_xlnm._FilterDatabase" localSheetId="2" hidden="1">Stage_7_FF_200!$A$1:$H$201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3" i="4"/>
  <c r="B4" i="4"/>
  <c r="B3" i="4"/>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2" i="2"/>
  <c r="B8" i="4" l="1"/>
  <c r="B7" i="4"/>
  <c r="B9" i="4"/>
  <c r="B12" i="4" l="1"/>
  <c r="B6" i="4"/>
  <c r="B11" i="4"/>
</calcChain>
</file>

<file path=xl/sharedStrings.xml><?xml version="1.0" encoding="utf-8"?>
<sst xmlns="http://schemas.openxmlformats.org/spreadsheetml/2006/main" count="1261" uniqueCount="699">
  <si>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</si>
  <si>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</si>
  <si>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</si>
  <si>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</si>
  <si>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</si>
  <si>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</si>
  <si>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</si>
  <si>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</si>
  <si>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</si>
  <si>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</si>
  <si>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</si>
  <si>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</si>
  <si>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</si>
  <si>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</si>
  <si>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</si>
  <si>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</si>
  <si>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</si>
  <si>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</si>
  <si>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</si>
  <si>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</si>
  <si>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</si>
  <si>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</si>
  <si>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</si>
  <si>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</si>
  <si>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</si>
  <si>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</si>
  <si>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</si>
  <si>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</si>
  <si>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</si>
  <si>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</si>
  <si>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</si>
  <si>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</si>
  <si>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</si>
  <si>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</si>
  <si>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</si>
  <si>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</si>
  <si>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</si>
  <si>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</si>
  <si>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</si>
  <si>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</si>
  <si>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</si>
  <si>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</si>
  <si>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</si>
  <si>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</si>
  <si>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</si>
  <si>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</si>
  <si>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</si>
  <si>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</si>
  <si>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</si>
  <si>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</si>
  <si>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</si>
  <si>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</si>
  <si>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</si>
  <si>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</si>
  <si>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</si>
  <si>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</si>
  <si>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</si>
  <si>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</si>
  <si>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</si>
  <si>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</si>
  <si>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</si>
  <si>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</si>
  <si>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</si>
  <si>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</si>
  <si>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</si>
  <si>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</si>
  <si>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</si>
  <si>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</si>
  <si>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</si>
  <si>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</si>
  <si>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</si>
  <si>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</si>
  <si>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</si>
  <si>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</si>
  <si>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</si>
  <si>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</si>
  <si>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</si>
  <si>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</si>
  <si>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</si>
  <si>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</si>
  <si>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</si>
  <si>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</si>
  <si>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</si>
  <si>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</si>
  <si>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</si>
  <si>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</si>
  <si>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</si>
  <si>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</si>
  <si>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</si>
  <si>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</si>
  <si>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</si>
  <si>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</si>
  <si>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</si>
  <si>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</si>
  <si>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</si>
  <si>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</si>
  <si>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</si>
  <si>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</si>
  <si>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</si>
  <si>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</si>
  <si>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</si>
  <si>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</si>
  <si>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</si>
  <si>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</si>
  <si>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</si>
  <si>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</si>
  <si>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</si>
  <si>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</si>
  <si>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</si>
  <si>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</si>
  <si>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</si>
  <si>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</si>
  <si>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</si>
  <si>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</si>
  <si>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</si>
  <si>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</si>
  <si>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</si>
  <si>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</si>
  <si>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</si>
  <si>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</si>
  <si>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</si>
  <si>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</si>
  <si>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</si>
  <si>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</si>
  <si>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</si>
  <si>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</si>
  <si>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</si>
  <si>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</si>
  <si>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</si>
  <si>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</si>
  <si>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</si>
  <si>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</si>
  <si>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</si>
  <si>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</si>
  <si>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</si>
  <si>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</si>
  <si>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</si>
  <si>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</si>
  <si>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</si>
  <si>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</si>
  <si>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</si>
  <si>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</si>
  <si>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</si>
  <si>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</si>
  <si>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</si>
  <si>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</si>
  <si>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</si>
  <si>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</si>
  <si>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</si>
  <si>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</si>
  <si>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</si>
  <si>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</si>
  <si>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</si>
  <si>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</si>
  <si>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</si>
  <si>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</si>
  <si>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</si>
  <si>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</si>
  <si>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</si>
  <si>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</si>
  <si>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</si>
  <si>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</si>
  <si>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</si>
  <si>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</si>
  <si>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</si>
  <si>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</si>
  <si>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</si>
  <si>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</si>
  <si>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</si>
  <si>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</si>
  <si>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</si>
  <si>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</si>
  <si>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</si>
  <si>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</si>
  <si>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</si>
  <si>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FF_include_stage6</t>
  </si>
  <si>
    <t>False positive (FF=Exclude, API=Include)</t>
  </si>
  <si>
    <t>J547 – Individualised screening for diabetic retinopathy (ISDR RCT)</t>
  </si>
  <si>
    <r>
      <t>Evidence:</t>
    </r>
    <r>
      <rPr>
        <sz val="11"/>
        <color theme="1"/>
        <rFont val="Aptos Narrow"/>
        <family val="2"/>
        <scheme val="minor"/>
      </rPr>
      <t xml:space="preserve"> “</t>
    </r>
    <r>
      <rPr>
        <i/>
        <sz val="11"/>
        <color theme="1"/>
        <rFont val="Aptos Narrow"/>
        <family val="2"/>
        <scheme val="minor"/>
      </rPr>
      <t>…</t>
    </r>
    <r>
      <rPr>
        <b/>
        <i/>
        <sz val="11"/>
        <color theme="1"/>
        <rFont val="Aptos Narrow"/>
        <family val="2"/>
        <scheme val="minor"/>
      </rPr>
      <t>variable-interval risk-based screening</t>
    </r>
    <r>
      <rPr>
        <i/>
        <sz val="11"/>
        <color theme="1"/>
        <rFont val="Aptos Narrow"/>
        <family val="2"/>
        <scheme val="minor"/>
      </rPr>
      <t xml:space="preserve"> vs </t>
    </r>
    <r>
      <rPr>
        <b/>
        <i/>
        <sz val="11"/>
        <color theme="1"/>
        <rFont val="Aptos Narrow"/>
        <family val="2"/>
        <scheme val="minor"/>
      </rPr>
      <t>annual screening</t>
    </r>
    <r>
      <rPr>
        <i/>
        <sz val="11"/>
        <color theme="1"/>
        <rFont val="Aptos Narrow"/>
        <family val="2"/>
        <scheme val="minor"/>
      </rPr>
      <t xml:space="preserve">… </t>
    </r>
    <r>
      <rPr>
        <b/>
        <i/>
        <sz val="11"/>
        <color theme="1"/>
        <rFont val="Aptos Narrow"/>
        <family val="2"/>
        <scheme val="minor"/>
      </rPr>
      <t>39.3% reduction in appointments</t>
    </r>
    <r>
      <rPr>
        <i/>
        <sz val="11"/>
        <color theme="1"/>
        <rFont val="Aptos Narrow"/>
        <family val="2"/>
        <scheme val="minor"/>
      </rPr>
      <t xml:space="preserve">, </t>
    </r>
    <r>
      <rPr>
        <b/>
        <i/>
        <sz val="11"/>
        <color theme="1"/>
        <rFont val="Aptos Narrow"/>
        <family val="2"/>
        <scheme val="minor"/>
      </rPr>
      <t>incremental cost saving</t>
    </r>
    <r>
      <rPr>
        <i/>
        <sz val="11"/>
        <color theme="1"/>
        <rFont val="Aptos Narrow"/>
        <family val="2"/>
        <scheme val="minor"/>
      </rPr>
      <t>, non-inferior safety.</t>
    </r>
    <r>
      <rPr>
        <sz val="11"/>
        <color theme="1"/>
        <rFont val="Aptos Narrow"/>
        <family val="2"/>
        <scheme val="minor"/>
      </rPr>
      <t>”</t>
    </r>
  </si>
  <si>
    <r>
      <t>What API saw (to include):</t>
    </r>
    <r>
      <rPr>
        <sz val="11"/>
        <color theme="1"/>
        <rFont val="Aptos Narrow"/>
        <family val="2"/>
        <scheme val="minor"/>
      </rPr>
      <t xml:space="preserve"> Clear </t>
    </r>
    <r>
      <rPr>
        <b/>
        <sz val="11"/>
        <color theme="1"/>
        <rFont val="Aptos Narrow"/>
        <family val="2"/>
        <scheme val="minor"/>
      </rPr>
      <t>service redesign</t>
    </r>
    <r>
      <rPr>
        <sz val="11"/>
        <color theme="1"/>
        <rFont val="Aptos Narrow"/>
        <family val="2"/>
        <scheme val="minor"/>
      </rPr>
      <t xml:space="preserve"> (risk-stratified intervals), </t>
    </r>
    <r>
      <rPr>
        <b/>
        <sz val="11"/>
        <color theme="1"/>
        <rFont val="Aptos Narrow"/>
        <family val="2"/>
        <scheme val="minor"/>
      </rPr>
      <t>resource shift</t>
    </r>
    <r>
      <rPr>
        <sz val="11"/>
        <color theme="1"/>
        <rFont val="Aptos Narrow"/>
        <family val="2"/>
        <scheme val="minor"/>
      </rPr>
      <t xml:space="preserve"> (fewer appointments), and </t>
    </r>
    <r>
      <rPr>
        <b/>
        <sz val="11"/>
        <color theme="1"/>
        <rFont val="Aptos Narrow"/>
        <family val="2"/>
        <scheme val="minor"/>
      </rPr>
      <t>NHS cost savings</t>
    </r>
    <r>
      <rPr>
        <sz val="11"/>
        <color theme="1"/>
        <rFont val="Aptos Narrow"/>
        <family val="2"/>
        <scheme val="minor"/>
      </rPr>
      <t xml:space="preserve"> → fits </t>
    </r>
    <r>
      <rPr>
        <b/>
        <sz val="11"/>
        <color theme="1"/>
        <rFont val="Aptos Narrow"/>
        <family val="2"/>
        <scheme val="minor"/>
      </rPr>
      <t>Sickness→Prevention</t>
    </r>
    <r>
      <rPr>
        <sz val="11"/>
        <color theme="1"/>
        <rFont val="Aptos Narrow"/>
        <family val="2"/>
        <scheme val="minor"/>
      </rPr>
      <t xml:space="preserve"> (proactive, risk-based) and arguably </t>
    </r>
    <r>
      <rPr>
        <b/>
        <sz val="11"/>
        <color theme="1"/>
        <rFont val="Aptos Narrow"/>
        <family val="2"/>
        <scheme val="minor"/>
      </rPr>
      <t>Analogue→Digital</t>
    </r>
    <r>
      <rPr>
        <sz val="11"/>
        <color theme="1"/>
        <rFont val="Aptos Narrow"/>
        <family val="2"/>
        <scheme val="minor"/>
      </rPr>
      <t xml:space="preserve"> (risk engine).</t>
    </r>
  </si>
  <si>
    <r>
      <t>Why Freddie excluded:</t>
    </r>
    <r>
      <rPr>
        <sz val="11"/>
        <color theme="1"/>
        <rFont val="Aptos Narrow"/>
        <family val="2"/>
        <scheme val="minor"/>
      </rPr>
      <t xml:space="preserve"> Applying a </t>
    </r>
    <r>
      <rPr>
        <b/>
        <sz val="11"/>
        <color theme="1"/>
        <rFont val="Aptos Narrow"/>
        <family val="2"/>
        <scheme val="minor"/>
      </rPr>
      <t>narrow Stage-6</t>
    </r>
    <r>
      <rPr>
        <sz val="11"/>
        <color theme="1"/>
        <rFont val="Aptos Narrow"/>
        <family val="2"/>
        <scheme val="minor"/>
      </rPr>
      <t xml:space="preserve"> definition (clinical prevention only not enough / or wanting more explicit “Three Shifts” language).</t>
    </r>
  </si>
  <si>
    <r>
      <t>Net:</t>
    </r>
    <r>
      <rPr>
        <sz val="11"/>
        <color theme="1"/>
        <rFont val="Aptos Narrow"/>
        <family val="2"/>
        <scheme val="minor"/>
      </rPr>
      <t xml:space="preserve"> This is </t>
    </r>
    <r>
      <rPr>
        <b/>
        <sz val="11"/>
        <color theme="1"/>
        <rFont val="Aptos Narrow"/>
        <family val="2"/>
        <scheme val="minor"/>
      </rPr>
      <t>borderline</t>
    </r>
    <r>
      <rPr>
        <sz val="11"/>
        <color theme="1"/>
        <rFont val="Aptos Narrow"/>
        <family val="2"/>
        <scheme val="minor"/>
      </rPr>
      <t xml:space="preserve">; if Stage-6 requires </t>
    </r>
    <r>
      <rPr>
        <b/>
        <sz val="11"/>
        <color theme="1"/>
        <rFont val="Aptos Narrow"/>
        <family val="2"/>
        <scheme val="minor"/>
      </rPr>
      <t>service-level prevention</t>
    </r>
    <r>
      <rPr>
        <sz val="11"/>
        <color theme="1"/>
        <rFont val="Aptos Narrow"/>
        <family val="2"/>
        <scheme val="minor"/>
      </rPr>
      <t xml:space="preserve">, J547 actually looks on-scope. If Stage-6 is </t>
    </r>
    <r>
      <rPr>
        <b/>
        <sz val="11"/>
        <color theme="1"/>
        <rFont val="Aptos Narrow"/>
        <family val="2"/>
        <scheme val="minor"/>
      </rPr>
      <t>narrow clinical prevention only</t>
    </r>
    <r>
      <rPr>
        <sz val="11"/>
        <color theme="1"/>
        <rFont val="Aptos Narrow"/>
        <family val="2"/>
        <scheme val="minor"/>
      </rPr>
      <t>, then exclude.</t>
    </r>
  </si>
  <si>
    <t>include_stage7</t>
  </si>
  <si>
    <t>reason_stage7</t>
  </si>
  <si>
    <t>cash_release_flags</t>
  </si>
  <si>
    <t>confidence_stage7</t>
  </si>
  <si>
    <t>- Background Fetal fibronectin (FFN) is an extracellular matrix glycoprotein localized at the maternalÃƒÆ’Ã‚Â¢ÃƒÂ¢Ã¢â‚¬Å¡Ã‚Â¬Ãƒâ€šÃ‚Âfetal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ChildbirthÃƒÆ’Ã‚Â¢ÃƒÂ¢Ã¢â‚¬Å¡Ã‚Â¬ÃƒÂ¢Ã¢â‚¬Å¾Ã‚Â¢s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lowÃƒÆ’Ã‚Â¢ÃƒÂ¢Ã¢â‚¬Å¡Ã‚Â¬Ãƒâ€šÃ‚Âquality evidence). However, management based on knowledge of FFN results may make little or no difference to preterm birth before 34 (RR 1.09, 95% CI 0.54 to 2.18; 4 trials; 357 women; lowÃƒÆ’Ã‚Â¢ÃƒÂ¢Ã¢â‚¬Å¡Ã‚Â¬Ãƒâ€šÃ‚Âquality evidence) or maternal hospitalization (RR 1.06, 95% CI 0.79 to 1.43; 5 trials; 441 women; lowÃƒÆ’Ã‚Â¢ÃƒÂ¢Ã¢â‚¬Å¡Ã‚Â¬Ãƒâ€šÃ‚Âquality evidence). The evidence for preterm birth before 32 weeks is uncertain because the quality was found to be very low (average RR 0.79, 95% CI 0.16 to 3.96; 4 trials; 357 women; very lowÃƒÆ’Ã‚Â¢ÃƒÂ¢Ã¢â‚¬Å¡Ã‚Â¬Ãƒâ€šÃ‚Âquality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CostÃƒÆ’Ã‚Â¢ÃƒÂ¢Ã¢â‚¬Å¡Ã‚Â¬Ãƒâ€šÃ‚Âeffectiveness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ÃƒÆ’Ã‚Â¢ÃƒÂ¢Ã¢â‚¬Å¡Ã‚Â¬Ãƒâ€¹Ã…â€œglueÃƒÆ’Ã‚Â¢ÃƒÂ¢Ã¢â‚¬Å¡Ã‚Â¬ÃƒÂ¢Ã¢â‚¬Å¾Ã‚Â¢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womenÃƒÆ’Ã‚Â¢ÃƒÂ¢Ã¢â‚¬Å¡Ã‚Â¬ÃƒÂ¢Ã¢â‚¬Å¾Ã‚Â¢s gestational age at delivery; babies with a birthweight less than 2500 g; newborn deaths; the number of babies with respiratory distress syndrome; giving steroids to mature the unborn babiesÃƒÆ’Ã‚Â¢ÃƒÂ¢Ã¢â‚¬Å¡Ã‚Â¬ÃƒÂ¢Ã¢â‚¬Å¾Ã‚Â¢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</si>
  <si>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No explicit budget reduction or cash-releasing benefits mentioned.</t>
  </si>
  <si>
    <t>no_cost_shift_or_harm</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</si>
  <si>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studyÃƒÆ’Ã‚Â¢ÃƒÂ¢Ã¢â‚¬Å¡Ã‚Â¬Ãƒâ€šÃ‚Âbased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ÃƒÆ’Ã‚Â¢ÃƒÂ¢Ã¢â‚¬Å¡Ã‚Â¬Ãƒâ€¹Ã…â€œtransition to psychosisÃƒÆ’Ã‚Â¢ÃƒÂ¢Ã¢â‚¬Å¡Ã‚Â¬ÃƒÂ¢Ã¢â‚¬Å¾Ã‚Â¢. For details of other main outcomes please see 'Summary of findings' tables. In Group A (comparisons of absolute effects) we found no clear difference between amino acids and placebo (risk ratio (RR) 0.48 95% confidence interval (CI) 0.08 to 2.98; 2 RCTs, 52 participants; very lowÃƒÆ’Ã‚Â¢ÃƒÂ¢Ã¢â‚¬Å¡Ã‚Â¬Ãƒâ€šÃ‚Âquality evidence). When omegaÃƒÆ’Ã‚Â¢ÃƒÂ¢Ã¢â‚¬Å¡Ã‚Â¬Ãƒâ€šÃ‚Â3 fatty acids were compared to placebo, fewer participants given the omegaÃƒÆ’Ã‚Â¢ÃƒÂ¢Ã¢â‚¬Å¡Ã‚Â¬Ãƒâ€šÃ‚Â3 (10%) transitioned to psychosis compared to the placebo group (33%) during longÃƒÆ’Ã‚Â¢ÃƒÂ¢Ã¢â‚¬Å¡Ã‚Â¬Ãƒâ€šÃ‚Âterm followÃƒÆ’Ã‚Â¢ÃƒÂ¢Ã¢â‚¬Å¡Ã‚Â¬Ãƒâ€šÃ‚Âup of seven years (RR 0.24 95% CI 0.09 to 0.67; 1 RCT, 81 participants; lowÃƒÆ’Ã‚Â¢ÃƒÂ¢Ã¢â‚¬Å¡Ã‚Â¬Ãƒâ€šÃ‚Âquality evidence). In Group B (comparisons where complex interactions are probable) and in the subgroup focusing on antipsychotic drugs added to specific care packages, the amisulpiride + needsÃƒÆ’Ã‚Â¢ÃƒÂ¢Ã¢â‚¬Å¡Ã‚Â¬Ãƒâ€šÃ‚Âfocused intervention (NFI) compared to NFI comparison (no reporting of transition to psychosis; 1 RCT, 102 participants; very lowÃƒÆ’Ã‚Â¢ÃƒÂ¢Ã¢â‚¬Å¡Ã‚Â¬Ãƒâ€šÃ‚Âquality evidence) and the olanzapine + supportive intervention compared to supportive intervention alone comparison (RR 0.58 95% CI 0.28 to 1.18; 1 RCT, 60 participants; very lowÃƒÆ’Ã‚Â¢ÃƒÂ¢Ã¢â‚¬Å¡Ã‚Â¬Ãƒâ€šÃ‚Âquality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followÃƒÆ’Ã‚Â¢ÃƒÂ¢Ã¢â‚¬Å¡Ã‚Â¬Ãƒâ€šÃ‚Âup by 18 months, compared with double that percentage in the supportive therapy alone group (RR 0.45 95% CI 0.23 to 0.89; 2 RCTs, 252 participants; very lowÃƒÆ’Ã‚Â¢ÃƒÂ¢Ã¢â‚¬Å¡Ã‚Â¬Ãƒâ€šÃ‚Âquality evidence). The CBT + risperidone versus CBT + placebo comparison identified no clear difference between treatments (RR 1.02 95% CI 0.39 to 2.67; 1 RCT, 87 participants; very lowÃƒÆ’Ã‚Â¢ÃƒÂ¢Ã¢â‚¬Å¡Ã‚Â¬Ãƒâ€šÃ‚Âquality evidence) and this also applies to the CBT + needsÃƒÆ’Ã‚Â¢ÃƒÂ¢Ã¢â‚¬Å¡Ã‚Â¬Ãƒâ€šÃ‚Âbased intervention (NBI) + risperidone versus NBI comparison (RR 0.75 95% CI 0.39 to 1.46; 1 RCT, 59 participants; very lowÃƒÆ’Ã‚Â¢ÃƒÂ¢Ã¢â‚¬Å¡Ã‚Â¬Ãƒâ€šÃ‚Âquality evidence). Group C (differential effects) also involved six comparisons. The first compared CBT with supportive therapy. No clear difference was found for the ÃƒÆ’Ã‚Â¢ÃƒÂ¢Ã¢â‚¬Å¡Ã‚Â¬Ãƒâ€¹Ã…â€œtransition to psychosisÃƒÆ’Ã‚Â¢ÃƒÂ¢Ã¢â‚¬Å¡Ã‚Â¬ÃƒÂ¢Ã¢â‚¬Å¾Ã‚Â¢ outcome (RR 0.74 95% CI 0.28 to 1.98; 1 RCT, 72 participants; very lowÃƒÆ’Ã‚Â¢ÃƒÂ¢Ã¢â‚¬Å¡Ã‚Â¬Ãƒâ€šÃ‚Âquality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lowÃƒÆ’Ã‚Â¢ÃƒÂ¢Ã¢â‚¬Å¡Ã‚Â¬Ãƒâ€šÃ‚Âquality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lowÃƒÆ’Ã‚Â¢ÃƒÂ¢Ã¢â‚¬Å¡Ã‚Â¬Ãƒâ€šÃ‚Âquality evidence) and integrated treatment compared to standard treatment comparison (RR 0.57 95% CI 0.28 to 1.15; 1 RCT, 79 participants; very lowÃƒÆ’Ã‚Â¢ÃƒÂ¢Ã¢â‚¬Å¡Ã‚Â¬Ãƒâ€šÃ‚Âquality evidence) no effects of any of these approaches was evident. Authors' conclusions There has been considerable research effort in this area and several interventions have been trialled. The evidence available suggests that omegaÃƒÆ’Ã‚Â¢ÃƒÂ¢Ã¢â‚¬Å¡Ã‚Â¬Ãƒâ€šÃ‚Â3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highÃƒÆ’Ã‚Â¢ÃƒÂ¢Ã¢â‚¬Å¡Ã‚Â¬Ãƒâ€šÃ‚Âquality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nonÃƒÆ’Ã‚Â¢ÃƒÂ¢Ã¢â‚¬Å¡Ã‚Â¬Ãƒâ€šÃ‚Âspecific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omegaÃƒÆ’Ã‚Â¢ÃƒÂ¢Ã¢â‚¬Å¡Ã‚Â¬Ãƒâ€šÃ‚Â3 fatty acids in terms of reduced transition to psychosis. Other studies found adding antipsychotic drugs to supportiveÃƒÆ’Ã‚Â¢ÃƒÂ¢Ã¢â‚¬Å¡Ã‚Â¬Ãƒâ€šÃ‚Âcare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followÃƒÆ’Ã‚Â¢ÃƒÂ¢Ã¢â‚¬Å¡Ã‚Â¬Ãƒâ€šÃ‚Âup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lowÃƒÆ’Ã‚Â¢ÃƒÂ¢Ã¢â‚¬Å¡Ã‚Â¬Ãƒâ€šÃ‚Âquality evidence suggesting that omegaÃƒÆ’Ã‚Â¢ÃƒÂ¢Ã¢â‚¬Å¡Ã‚Â¬Ãƒâ€šÃ‚Â3 fatty acids may be effective, but there is no highÃƒÆ’Ã‚Â¢ÃƒÂ¢Ã¢â‚¬Å¡Ã‚Â¬Ãƒâ€šÃ‚Âquality evidence to suggest that any type of treatment is effective, and no firm conclusions can be made.</t>
  </si>
  <si>
    <t>Focus on efficacy and safety, not budget or cost reduction.</t>
  </si>
  <si>
    <t>Focuses on cost-effectiveness, not explicit budget reduction.</t>
  </si>
  <si>
    <t>has_baseline_and_counterfactual; no_cost_shift_or_harm</t>
  </si>
  <si>
    <t>Mentions cost savings but lacks explicit budget reduction or cash-releasing mechanism.</t>
  </si>
  <si>
    <t>avoided costs</t>
  </si>
  <si>
    <t>Not cash releasing</t>
  </si>
  <si>
    <t>net monetary benefit</t>
  </si>
  <si>
    <t>limited evidence of cost saving</t>
  </si>
  <si>
    <t>No figure in abstract for costs saved</t>
  </si>
  <si>
    <t>potential to be cost saving, but no figure</t>
  </si>
  <si>
    <t>Cost saving</t>
  </si>
  <si>
    <t>cost saving</t>
  </si>
  <si>
    <t>Not cost effective</t>
  </si>
  <si>
    <t>very little on cost-effectiveness</t>
  </si>
  <si>
    <t>protocol, so cost-effectiveness not demonstrated yet</t>
  </si>
  <si>
    <t>does not meet UK cost-effectiveness criteria</t>
  </si>
  <si>
    <t>No studies identified</t>
  </si>
  <si>
    <t>Will look at cost effectiveness, but Protocol</t>
  </si>
  <si>
    <t>Does have some info on cost effectiveness, but main focus is validation of tool</t>
  </si>
  <si>
    <t>includes cost effectiveness, but only protocol</t>
  </si>
  <si>
    <t>2 False Negatives</t>
  </si>
  <si>
    <t>J552</t>
  </si>
  <si>
    <t>PharmacyÃƒÆ’Ã‚Â¢ÃƒÂ¢Ã¢â‚¬Å¡Ã‚Â¬Ãƒâ€šÃ‚Âbased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</si>
  <si>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pharmacistÃƒÆ’Ã‚Â¢ÃƒÂ¢Ã¢â‚¬Å¡Ã‚Â¬Ãƒâ€šÃ‚Âbased interventions is not yet well understood. The degree to which a pharmacyÃƒÆ’Ã‚Â¢ÃƒÂ¢Ã¢â‚¬Å¡Ã‚Â¬Ãƒâ€šÃ‚Âbased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pharmacyÃƒÆ’Ã‚Â¢ÃƒÂ¢Ã¢â‚¬Å¡Ã‚Â¬Ãƒâ€šÃ‚Âbased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(selfÃƒÆ’Ã‚Â¢ÃƒÂ¢Ã¢â‚¬Å¡Ã‚Â¬Ãƒâ€šÃ‚Â)monitoring of medication adherence offered by a healthcare professional outside the pharmacy team) at improving depression outcomes in adults. Search methods We searched the Cochrane Common Mental Disorders Controlled Trials Register (CCMDÃƒÆ’Ã‚Â¢ÃƒÂ¢Ã¢â‚¬Å¡Ã‚Â¬Ãƒâ€šÃ‚ÂCTR)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clusterÃƒÆ’Ã‚Â¢ÃƒÂ¢Ã¢â‚¬Å¡Ã‚Â¬Ãƒâ€šÃ‚ÂRCTs where a pharmacyÃƒÆ’Ã‚Â¢ÃƒÂ¢Ã¢â‚¬Å¡Ã‚Â¬Ãƒâ€šÃ‚Âbased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nonÃƒÆ’Ã‚Â¢ÃƒÂ¢Ã¢â‚¬Å¡Ã‚Â¬Ãƒâ€šÃ‚Âadherence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metaÃƒÆ’Ã‚Â¢ÃƒÂ¢Ã¢â‚¬Å¡Ã‚Â¬Ãƒâ€šÃ‚Âanalyses, we synthesised results narratively. Main results Twelve studies (2215 participants) met the inclusion criteria and compared pharmacyÃƒÆ’Ã‚Â¢ÃƒÂ¢Ã¢â‚¬Å¡Ã‚Â¬Ãƒâ€šÃ‚Âbased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pharmacyÃƒÆ’Ã‚Â¢ÃƒÂ¢Ã¢â‚¬Å¡Ã‚Â¬Ãƒâ€šÃ‚Âbased management and the other better acceptability of the active control. One study reported that participants in the pharmacyÃƒÆ’Ã‚Â¢ÃƒÂ¢Ã¢â‚¬Å¡Ã‚Â¬Ãƒâ€šÃ‚Âbased management group had better medication adherence than the control participants. One study reported adverse events with no difference between groups. The studies reported no other outcomes. MetaÃƒÆ’Ã‚Â¢ÃƒÂ¢Ã¢â‚¬Å¡Ã‚Â¬Ãƒâ€šÃ‚Âanalyses comparing pharmacyÃƒÆ’Ã‚Â¢ÃƒÂ¢Ã¢â‚¬Å¡Ã‚Â¬Ãƒâ€šÃ‚Âbased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moderateÃƒÆ’Ã‚Â¢ÃƒÂ¢Ã¢â‚¬Å¡Ã‚Â¬Ãƒâ€šÃ‚Âquality evidence; continuous data: standard mean difference (SMD) ÃƒÆ’Ã‚Â¢ÃƒÂ¢Ã¢â‚¬Å¡Ã‚Â¬Ãƒâ€šÃ‚Â0.04, 95%</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</si>
  <si>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</si>
  <si>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</si>
  <si>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</si>
  <si>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Study shows no cost savings; similar costs and outcomes.</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</si>
  <si>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</si>
  <si>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</si>
  <si>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</si>
  <si>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Focuses on cost-effectiveness, not explicit budget reduction or cash-releasing benefits.</t>
  </si>
  <si>
    <t>has_baseline_and_counterfactual</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</si>
  <si>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</si>
  <si>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</si>
  <si>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ÃƒÆ’Ã¢â‚¬Å¡Ãƒâ€šÃ‚Â© 2019 Callender et al. This is an open access article distributed under the terms of the Creative Commons Attribution License, which permits unrestricted use, distribution, and reproduction in any medium, provided the original author and source are credited.</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</si>
  <si>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</si>
  <si>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</si>
  <si>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metaÃƒÆ’Ã‚Â¢ÃƒÂ¢Ã¢â‚¬Å¡Ã‚Â¬Ãƒâ€šÃ‚Âanalysis using a MantelÃƒÆ’Ã‚Â¢ÃƒÂ¢Ã¢â‚¬Å¡Ã‚Â¬Ãƒâ€šÃ‚ÂHaenszel randomÃƒÆ’Ã‚Â¢ÃƒÂ¢Ã¢â‚¬Å¡Ã‚Â¬Ãƒâ€šÃ‚Âeffects model to generate risk ratios (RRs) and 95% confidence intervals (CIs). Main results We identified seven studies including 1774 participants. We judged three studies to be at high risk of bias and four to be at unclear risk. Each study provided faceÃƒÆ’Ã‚Â¢ÃƒÂ¢Ã¢â‚¬Å¡Ã‚Â¬Ãƒâ€šÃ‚ÂtoÃƒÆ’Ã‚Â¢ÃƒÂ¢Ã¢â‚¬Å¡Ã‚Â¬Ãƒâ€šÃ‚Âface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oneÃƒÆ’Ã‚Â¢ÃƒÂ¢Ã¢â‚¬Å¡Ã‚Â¬Ãƒâ€šÃ‚Âoff advice on how to quit. Participants in both intervention and control arms received equivalent smoking cessation pharmacotherapy in all but one study. All studies took place in highÃƒÆ’Ã‚Â¢ÃƒÂ¢Ã¢â‚¬Å¡Ã‚Â¬Ãƒâ€šÃ‚Âincome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followÃƒÆ’Ã‚Â¢ÃƒÂ¢Ã¢â‚¬Å¡Ã‚Â¬Ãƒâ€šÃ‚Âup (RR 2.30, 95% CI 1.33 to 3.97; I 2 = 54%; lowÃƒÆ’Ã‚Â¢ÃƒÂ¢Ã¢â‚¬Å¡Ã‚Â¬Ãƒâ€šÃ‚Âcertainty evidence). Authors' conclusions Community pharmacists can provide effective behavioural support to people trying to stop smoking. However, this conclusion is based on lowÃƒÆ’Ã‚Â¢ÃƒÂ¢Ã¢â‚¬Å¡Ã‚Â¬Ãƒâ€šÃ‚Âcertainty evidence, limited by risk of bias and imprecision. Further research could change this conclusion. Plain language summary Does quitÃƒÆ’Ã‚Â¢ÃƒÂ¢Ã¢â‚¬Å¡Ã‚Â¬Ãƒâ€šÃ‚Âsmoking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faceÃƒÆ’Ã‚Â¢ÃƒÂ¢Ã¢â‚¬Å¡Ã‚Â¬Ãƒâ€šÃ‚ÂtoÃƒÆ’Ã‚Â¢ÃƒÂ¢Ã¢â‚¬Å¡Ã‚Â¬Ãƒâ€šÃ‚Âface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lowÃƒÆ’Ã‚Â¢ÃƒÂ¢Ã¢â‚¬Å¡Ã‚Â¬Ãƒâ€šÃ‚Âquality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</si>
  <si>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Focuses on effectiveness, not budget impact.</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</si>
  <si>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</si>
  <si>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</si>
  <si>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</si>
  <si>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J2833</t>
  </si>
  <si>
    <t>Mobile phoneÃƒÆ’Ã‚Â¢ÃƒÂ¢Ã¢â‚¬Å¡Ã‚Â¬Ãƒâ€šÃ‚Âbased interventions for improving adherence to medication prescribed for the primary prevention of cardiovascular disease in adults</t>
  </si>
  <si>
    <t>- Background Cardiovascular disease (CVD) is a major cause of disability and mortality globally. Premature fatal and nonÃƒÆ’Ã‚Â¢ÃƒÂ¢Ã¢â‚¬Å¡Ã‚Â¬Ãƒâ€šÃ‚Âfatal CVD is considered to be largely preventable through the control of risk factors by lifestyle modifications and preventive medication. LipidÃƒÆ’Ã‚Â¢ÃƒÂ¢Ã¢â‚¬Å¡Ã‚Â¬Ãƒâ€šÃ‚Âlowering and antihypertensive drug therapies for primary prevention are costÃƒÆ’Ã‚Â¢ÃƒÂ¢Ã¢â‚¬Å¡Ã‚Â¬Ãƒâ€šÃ‚Âeffective in reducing CVD morbidity and mortality among highÃƒÆ’Ã‚Â¢ÃƒÂ¢Ã¢â‚¬Å¡Ã‚Â¬Ãƒâ€šÃ‚Ârisk people and are recommended by international guidelines. However, adherence to medication prescribed for the prevention of CVD can be poor. Approximately 9% of CVD cases in the EU are attributed to poor adherence to vascular medications. LowÃƒÆ’Ã‚Â¢ÃƒÂ¢Ã¢â‚¬Å¡Ã‚Â¬Ãƒâ€šÃ‚Âcost,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oneÃƒÆ’Ã‚Â¢ÃƒÂ¢Ã¢â‚¬Å¡Ã‚Â¬Ãƒâ€šÃ‚Âyear followÃƒÆ’Ã‚Â¢ÃƒÂ¢Ã¢â‚¬Å¡Ã‚Â¬Ãƒâ€šÃ‚Âup in order that the outcome measures related to longerÃƒÆ’Ã‚Â¢ÃƒÂ¢Ã¢â‚¬Å¡Ã‚Â¬Ãƒâ€šÃ‚Âterm, sustained medication adherence behaviours and outcomes. Eligible comparators were usual care or control groups receiving no mobile phoneÃƒÆ’Ã‚Â¢ÃƒÂ¢Ã¢â‚¬Å¡Ã‚Â¬Ãƒâ€šÃ‚Âdelivered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communityÃƒÆ’Ã‚Â¢ÃƒÂ¢Ã¢â‚¬Å¡Ã‚Â¬Ãƒâ€šÃ‚Âbased primary and tertiary care or outpatient clinics. The interventions varied widely from those delivered solely through short messaging service (SMS) to those involving a combination of modes of delivery, such as SMS in addition to healthcare worker training, faceÃƒÆ’Ã‚Â¢ÃƒÂ¢Ã¢â‚¬Å¡Ã‚Â¬Ãƒâ€šÃ‚ÂtoÃƒÆ’Ã‚Â¢ÃƒÂ¢Ã¢â‚¬Å¡Ã‚Â¬Ãƒâ€šÃ‚Âface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metaÃƒÆ’Ã‚Â¢ÃƒÂ¢Ã¢â‚¬Å¡Ã‚Â¬Ãƒâ€šÃ‚Âanalyses. The body of evidence for the effect of mobile phoneÃƒÆ’Ã‚Â¢ÃƒÂ¢Ã¢â‚¬Å¡Ã‚Â¬Ãƒâ€šÃ‚Âbased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lowÃƒÆ’Ã‚Â¢ÃƒÂ¢Ã¢â‚¬Å¡Ã‚Â¬Ãƒâ€šÃ‚Âdensity lipoprotein cholesterol (LDLÃƒÆ’Ã‚Â¢ÃƒÂ¢Ã¢â‚¬Å¡Ã‚Â¬Ãƒâ€šÃ‚ÂC), two studies found evidence for a small beneficial intervention effect on reducing LDLÃƒÆ’Ã‚Â¢ÃƒÂ¢Ã¢â‚¬Å¡Ã‚Â¬Ãƒâ€šÃ‚ÂC (ÃƒÆ’Ã‚Â¢Ãƒâ€¹Ã¢â‚¬Â ÃƒÂ¢Ã¢â€šÂ¬Ã¢â€žÂ¢5.30 mg/dL, 95% confidence interval (CI) ÃƒÆ’Ã‚Â¢Ãƒâ€¹Ã¢â‚¬Â ÃƒÂ¢Ã¢â€šÂ¬Ã¢â€žÂ¢8.30 to ÃƒÆ’Ã‚Â¢Ãƒâ€¹Ã¢â‚¬Â ÃƒÂ¢Ã¢â€šÂ¬Ã¢â€žÂ¢2.30; and ÃƒÆ’Ã‚Â¢Ãƒâ€¹Ã¢â‚¬Â ÃƒÂ¢Ã¢â€šÂ¬Ã¢â€žÂ¢9.20 mg/dL, 95% CI ÃƒÆ’Ã‚Â¢Ãƒâ€¹Ã¢â‚¬Â ÃƒÂ¢Ã¢â€šÂ¬Ã¢â€žÂ¢17.70 to ÃƒÆ’Ã‚Â¢Ãƒâ€¹Ã¢â‚¬Â ÃƒÂ¢Ã¢â€šÂ¬Ã¢â€žÂ¢0.70). The other three studies found results varying from a small reduction (ÃƒÆ’Ã‚Â¢Ãƒâ€¹Ã¢â‚¬Â ÃƒÂ¢Ã¢â€šÂ¬Ã¢â€žÂ¢7.7 mg/dL) to a small increase in LDLÃƒÆ’Ã‚Â¢ÃƒÂ¢Ã¢â‚¬Å¡Ã‚Â¬Ãƒâ€šÃ‚ÂC (0.77 mg/dL). All of which had wide confidence intervals that included no effect. Across 13 studies (25,166 participants) measuring systolic blood pressure, effect estimates ranged from a large reduction (MD ÃƒÆ’Ã‚Â¢Ãƒâ€¹Ã¢â‚¬Â ÃƒÂ¢Ã¢â€šÂ¬Ã¢â€žÂ¢12.45 mmHg, 95% CI ÃƒÆ’Ã‚Â¢Ãƒâ€¹Ã¢â‚¬Â ÃƒÂ¢Ã¢â€šÂ¬Ã¢â€žÂ¢15.02 to ÃƒÆ’Ã‚Â¢Ãƒâ€¹Ã¢â‚¬Â ÃƒÂ¢Ã¢â€šÂ¬Ã¢â€žÂ¢9.88) to a small increase (MD 2.80 mmHg, 95% CI 0.30 to 5.30). We found a similar range of effect estimates for diastolic BP, ranging from ÃƒÆ’Ã‚Â¢Ãƒâ€¹Ã¢â‚¬Â ÃƒÂ¢Ã¢â€šÂ¬Ã¢â€žÂ¢12.23 mmHg (95% CI ÃƒÆ’Ã‚Â¢Ãƒâ€¹Ã¢â‚¬Â ÃƒÂ¢Ã¢â€šÂ¬Ã¢â€žÂ¢14.03 to ÃƒÆ’Ã‚Â¢Ãƒâ€¹Ã¢â‚¬Â ÃƒÂ¢Ã¢â€šÂ¬Ã¢â€žÂ¢10.43) to 1.64 mmHg (95% CI ÃƒÆ’Ã‚Â¢Ãƒâ€¹Ã¢â‚¬Â ÃƒÂ¢Ã¢â€šÂ¬Ã¢â€žÂ¢0.55 to 3.83) (11 trials, 19,716 participants). Four trials showed intervention benefits for systolic and diastolic BP with confidence intervals excluding no effect, and among these were all three of the trials evaluating selfÃƒÆ’Ã‚Â¢ÃƒÂ¢Ã¢â‚¬Å¡Ã‚Â¬Ãƒâ€šÃ‚Âmonitoring of blood pressure with mobile phoneÃƒÆ’Ã‚Â¢ÃƒÂ¢Ã¢â‚¬Å¡Ã‚Â¬Ãƒâ€šÃ‚Âbased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ÃƒÆ’Ã‚Â¢Ãƒâ€¹Ã¢â‚¬Â ÃƒÂ¢Ã¢â€šÂ¬Ã¢â€žÂ¢1.55 mmHg, 95% CI ÃƒÆ’Ã‚Â¢Ãƒâ€¹Ã¢â‚¬Â ÃƒÂ¢Ã¢â€šÂ¬Ã¢â€žÂ¢3.36 to 0.25; I 2 = 0%) and small increases in controlled BP (OR 1.32, 95% CI 1.06 to 1.65; I 2 = 0%). Based on four studies (12,439 participants), there was very lowÃƒÆ’Ã‚Â¢ÃƒÂ¢Ã¢â‚¬Å¡Ã‚Â¬Ãƒâ€šÃ‚Âcertainty evidence (downgraded twice for imprecision and once for risk of bias) relating to the intervention effect on combined (fatal and nonÃƒÆ’Ã‚Â¢ÃƒÂ¢Ã¢â‚¬Å¡Ã‚Â¬Ãƒâ€šÃ‚Âfatal) CVD events. Two studies (2535 participants) provided lowÃƒÆ’Ã‚Â¢ÃƒÂ¢Ã¢â‚¬Å¡Ã‚Â¬Ãƒâ€šÃ‚Âcertainty evidence for the effect of the intervention on cognitive outcomes, with little or no difference between trial arms for perceived quality of care and satisfaction with treatment. There was moderateÃƒÆ’Ã‚Â¢ÃƒÂ¢Ã¢â‚¬Å¡Ã‚Â¬Ãƒâ€šÃ‚Âcertainty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interventionÃƒÆ’Ã‚Â¢ÃƒÂ¢Ã¢â‚¬Å¡Ã‚Â¬Ãƒâ€šÃ‚Ârelated adverse events. One study stated that potential side effects were similar between groups. One study reported a similar number of deaths in each arm, but did not provide further information relating to potential adverse events. Authors' conclusions There is lowÃƒÆ’Ã‚Â¢ÃƒÂ¢Ã¢â‚¬Å¡Ã‚Â¬Ãƒâ€šÃ‚Âcertainty evidence on the effects of mobile phoneÃƒÆ’Ã‚Â¢ÃƒÂ¢Ã¢â‚¬Å¡Ã‚Â¬Ãƒâ€šÃ‚Âdelivered interventions to increase adherence to medication prescribed for the primary prevention of CVD. Trials of BP selfÃƒÆ’Ã‚Â¢ÃƒÂ¢Ã¢â‚¬Å¡Ã‚Â¬Ãƒâ€šÃ‚Âmonitoring with mobileÃƒÆ’Ã‚Â¢ÃƒÂ¢Ã¢â‚¬Å¡Ã‚Â¬Ãƒâ€šÃ‚Âphone telemedicine support reported modest benefits. One trial at low risk of bias reported modest reductions in LDL cholesterol but no benefits for BP. There is moderateÃƒÆ’Ã‚Â¢ÃƒÂ¢Ã¢â‚¬Å¡Ã‚Â¬Ãƒâ€šÃ‚Âcertainty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lowÃƒÆ’Ã‚Â¢ÃƒÂ¢Ã¢â‚¬Å¡Ã‚Â¬Ãƒâ€šÃ‚Âcost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SelfÃƒÆ’Ã‚Â¢ÃƒÂ¢Ã¢â‚¬Å¡Ã‚Â¬Ãƒâ€šÃ‚Âmonitoring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</si>
  <si>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Focus on adherence improvement, not explicit budget reduction.</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</si>
  <si>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</si>
  <si>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</si>
  <si>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ÃƒÆ’Ã¢â‚¬Å¡Ãƒâ€šÃ‚Â© Author(s) (or their employer(s)) 2020. Re-use permitted under CC BY-NC. No commercial re-use. See rights and permissions. Published by BMJ.</t>
  </si>
  <si>
    <t>No cost reduction or cash-releasing benefits identified.</t>
  </si>
  <si>
    <t>J2861</t>
  </si>
  <si>
    <t>Integrated disease management interventions for patients with chronic obstructive pulmonary disease</t>
  </si>
  <si>
    <t>- Background People with chronic obstructive pulmonary disease (COPD) show considerable variation in symptoms, limitations, and wellÃƒÆ’Ã‚Â¢ÃƒÂ¢Ã¢â‚¬Å¡Ã‚Â¬Ãƒâ€šÃ‚Âbeing; this often complicates medical care. A multiÃƒÆ’Ã‚Â¢ÃƒÂ¢Ã¢â‚¬Å¡Ã‚Â¬Ãƒâ€šÃ‚Âdisciplinary and multiÃƒÆ’Ã‚Â¢ÃƒÂ¢Ã¢â‚¬Å¡Ã‚Â¬Ãƒâ€šÃ‚Âcomponent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healthÃƒÆ’Ã‚Â¢ÃƒÂ¢Ã¢â‚¬Å¡Ã‚Â¬Ãƒâ€šÃ‚Ârelated quality of life (QoL), exercise tolerance, and exacerbationÃƒÆ’Ã‚Â¢ÃƒÂ¢Ã¢â‚¬Å¡Ã‚Â¬Ãƒâ€šÃ‚Ârelated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multiÃƒÆ’Ã‚Â¢ÃƒÂ¢Ã¢â‚¬Å¡Ã‚Â¬Ãƒâ€šÃ‚Âdisciplinary (two or more healthcare providers) and multiÃƒÆ’Ã‚Â¢ÃƒÂ¢Ã¢â‚¬Å¡Ã‚Â¬Ãƒâ€šÃ‚Âtreatment (two or more components) IDM programmes of at least three months' duration. Data collection and analysis Two review authors independently assessed trial quality and extracted data. If required, we contacted study authors to request additional data. We performed metaÃƒÆ’Ã‚Â¢ÃƒÂ¢Ã¢â‚¬Å¡Ã‚Â¬Ãƒâ€šÃ‚Âanalyses using randomÃƒÆ’Ã‚Â¢ÃƒÂ¢Ã¢â‚¬Å¡Ã‚Â¬Ãƒâ€šÃ‚Âeffects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metaÃƒÆ’Ã‚Â¢ÃƒÂ¢Ã¢â‚¬Å¡Ã‚Â¬Ãƒâ€šÃ‚Âanalysis. FollowÃƒÆ’Ã‚Â¢ÃƒÂ¢Ã¢â‚¬Å¡Ã‚Â¬Ãƒâ€šÃ‚Âup periods ranged between 3 and 48 months and were classified as shortÃƒÆ’Ã‚Â¢ÃƒÂ¢Ã¢â‚¬Å¡Ã‚Â¬Ãƒâ€šÃ‚Âterm (up to 6 months), mediumÃƒÆ’Ã‚Â¢ÃƒÂ¢Ã¢â‚¬Å¡Ã‚Â¬Ãƒâ€šÃ‚Âterm (6 to 15 months), and longÃƒÆ’Ã‚Â¢ÃƒÂ¢Ã¢â‚¬Å¡Ã‚Â¬Ãƒâ€šÃ‚Âterm (longer than 15 months) followÃƒÆ’Ã‚Â¢ÃƒÂ¢Ã¢â‚¬Å¡Ã‚Â¬Ãƒâ€šÃ‚Âup.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healthÃƒÆ’Ã‚Â¢ÃƒÂ¢Ã¢â‚¬Å¡Ã‚Â¬Ãƒâ€šÃ‚Ârelated QoL as measured by St. George's Respiratory Questionnaire (SGRQ) total score at mediumÃƒÆ’Ã‚Â¢ÃƒÂ¢Ã¢â‚¬Å¡Ã‚Â¬Ãƒâ€šÃ‚Âterm followÃƒÆ’Ã‚Â¢ÃƒÂ¢Ã¢â‚¬Å¡Ã‚Â¬Ãƒâ€šÃ‚Âup (mean difference (MD) ÃƒÆ’Ã‚Â¢ÃƒÂ¢Ã¢â‚¬Å¡Ã‚Â¬Ãƒâ€šÃ‚Â3.89, 95% confidence interval (CI) ÃƒÆ’Ã‚Â¢ÃƒÂ¢Ã¢â‚¬Å¡Ã‚Â¬Ãƒâ€šÃ‚Â6.16 to ÃƒÆ’Ã‚Â¢ÃƒÂ¢Ã¢â‚¬Å¡Ã‚Â¬Ãƒâ€šÃ‚Â1.63; 18 RCTs, 4321 participants; moderateÃƒÆ’Ã‚Â¢ÃƒÂ¢Ã¢â‚¬Å¡Ã‚Â¬Ãƒâ€šÃ‚Âcertainty evidence). A comparable effect was observed at shortÃƒÆ’Ã‚Â¢ÃƒÂ¢Ã¢â‚¬Å¡Ã‚Â¬Ãƒâ€šÃ‚Âterm followÃƒÆ’Ã‚Â¢ÃƒÂ¢Ã¢â‚¬Å¡Ã‚Â¬Ãƒâ€šÃ‚Âup (MD ÃƒÆ’Ã‚Â¢ÃƒÂ¢Ã¢â‚¬Å¡Ã‚Â¬Ãƒâ€šÃ‚Â3.78, 95% CI ÃƒÆ’Ã‚Â¢ÃƒÂ¢Ã¢â‚¬Å¡Ã‚Â¬Ãƒâ€šÃ‚Â6.29 to ÃƒÆ’Ã‚Â¢ÃƒÂ¢Ã¢â‚¬Å¡Ã‚Â¬Ãƒâ€šÃ‚Â1.28; 16 RCTs, 1788 participants). However, the common effect did not exceed the minimum clinically important difference (MCID) of 4 points. There was no significant difference between IDM and control for longÃƒÆ’Ã‚Â¢ÃƒÂ¢Ã¢â‚¬Å¡Ã‚Â¬Ãƒâ€šÃ‚Âterm followÃƒÆ’Ã‚Â¢ÃƒÂ¢Ã¢â‚¬Å¡Ã‚Â¬Ãƒâ€šÃ‚Âup and for generic QoL. IDM probably also leads to a large improvement in maximum and functional exercise capacity, as measured by sixÃƒÆ’Ã‚Â¢ÃƒÂ¢Ã¢â‚¬Å¡Ã‚Â¬Ãƒâ€šÃ‚Âminute walking distance (6MWD), at mediumÃƒÆ’Ã‚Â¢ÃƒÂ¢Ã¢â‚¬Å¡Ã‚Â¬Ãƒâ€šÃ‚Âterm followÃƒÆ’Ã‚Â¢ÃƒÂ¢Ã¢â‚¬Å¡Ã‚Â¬Ãƒâ€šÃ‚Âup (MD 44.69, 95% CI 24.01 to 65.37; 13 studies, 2071 participants; moderateÃƒÆ’Ã‚Â¢ÃƒÂ¢Ã¢â‚¬Å¡Ã‚Â¬Ãƒâ€šÃ‚Âcertainty evidence). The effect exceeded the MCID of 35 metres and was even greater at shortÃƒÆ’Ã‚Â¢ÃƒÂ¢Ã¢â‚¬Å¡Ã‚Â¬Ãƒâ€šÃ‚Âterm (MD 52.26, 95% CI 32.39 to 72.74; 17 RCTs, 1390 participants) and longÃƒÆ’Ã‚Â¢ÃƒÂ¢Ã¢â‚¬Å¡Ã‚Â¬Ãƒâ€šÃ‚Âterm (MD 48.83, 95% CI 16.37 to 80.49; 6 RCTs, 7288 participants) followÃƒÆ’Ã‚Â¢ÃƒÂ¢Ã¢â‚¬Å¡Ã‚Â¬Ãƒâ€šÃ‚Âup. The number of participants with respiratoryÃƒÆ’Ã‚Â¢ÃƒÂ¢Ã¢â‚¬Å¡Ã‚Â¬Ãƒâ€šÃ‚Ârelated admissions was reduced from 324 per 1000 participants in the control group to 235 per 1000 participants in the IDM group (odds ratio (OR) 0.64, 95% CI 0.50 to 0.81; 15 RCTs, median followÃƒÆ’Ã‚Â¢ÃƒÂ¢Ã¢â‚¬Å¡Ã‚Â¬Ãƒâ€šÃ‚Âup 12 months, 4207 participants; highÃƒÆ’Ã‚Â¢ÃƒÂ¢Ã¢â‚¬Å¡Ã‚Â¬Ãƒâ€šÃ‚Âcertainty evidence). Likewise, IDM probably results in a reduction in emergency department (ED) visits (OR 0.69, 95%CI 0.50 to 0.93; 9 RCTs, median followÃƒÆ’Ã‚Â¢ÃƒÂ¢Ã¢â‚¬Å¡Ã‚Â¬Ãƒâ€šÃ‚Âup 12 months, 8791 participants; moderateÃƒÆ’Ã‚Â¢ÃƒÂ¢Ã¢â‚¬Å¡Ã‚Â¬Ãƒâ€šÃ‚Âcertainty evidence), a slight reduction in allÃƒÆ’Ã‚Â¢ÃƒÂ¢Ã¢â‚¬Å¡Ã‚Â¬Ãƒâ€šÃ‚Âcause hospital admissions (OR 0.75, 95%CI 0.57 to 0.98; 10 RCT , median followÃƒÆ’Ã‚Â¢ÃƒÂ¢Ã¢â‚¬Å¡Ã‚Â¬Ãƒâ€šÃ‚Âup 12 months, 9030 participants; moderateÃƒÆ’Ã‚Â¢ÃƒÂ¢Ã¢â‚¬Å¡Ã‚Â¬Ãƒâ€šÃ‚Âcertainty evidence), and fewer hospital days per person admitted (MD ÃƒÆ’Ã‚Â¢ÃƒÂ¢Ã¢â‚¬Å¡Ã‚Â¬Ãƒâ€šÃ‚Â2.27, 95% CI ÃƒÆ’Ã‚Â¢ÃƒÂ¢Ã¢â‚¬Å¡Ã‚Â¬Ãƒâ€šÃ‚Â3.98 to ÃƒÆ’Ã‚Â¢ÃƒÂ¢Ã¢â‚¬Å¡Ã‚Â¬Ãƒâ€šÃ‚Â0.56; 14 RCTs, median followÃƒÆ’Ã‚Â¢ÃƒÂ¢Ã¢â‚¬Å¡Ã‚Â¬Ãƒâ€šÃ‚Âup 12 months, 3563 participants; moderateÃƒÆ’Ã‚Â¢ÃƒÂ¢Ã¢â‚¬Å¡Ã‚Â¬Ãƒâ€šÃ‚Âcertainty evidence). Statistically significant improvement was noted on the Medical Research Council (MRC) Dyspnoea Scale at shortÃƒÆ’Ã‚Â¢ÃƒÂ¢Ã¢â‚¬Å¡Ã‚Â¬Ãƒâ€šÃ‚Â and mediumÃƒÆ’Ã‚Â¢ÃƒÂ¢Ã¢â‚¬Å¡Ã‚Â¬Ãƒâ€šÃ‚Âterm followÃƒÆ’Ã‚Â¢ÃƒÂ¢Ã¢â‚¬Å¡Ã‚Â¬Ãƒâ€šÃ‚Âup but not at longÃƒÆ’Ã‚Â¢ÃƒÂ¢Ã¢â‚¬Å¡Ã‚Â¬Ãƒâ€šÃ‚Âterm followÃƒÆ’Ã‚Â¢ÃƒÂ¢Ã¢â‚¬Å¡Ã‚Â¬Ãƒâ€šÃ‚Âup. No differences between groups were reported for mortality, courses of antibiotics/prednisolone, dyspnoea, and depression and anxiety scores. Subgroup analysis of dominant intervention components and regions of study suggested contextÃƒÆ’Ã‚Â¢ÃƒÂ¢Ã¢â‚¬Å¡Ã‚Â¬Ãƒâ€šÃ‚Â and interventionÃƒÆ’Ã‚Â¢ÃƒÂ¢Ã¢â‚¬Å¡Ã‚Â¬Ãƒâ€šÃ‚Âspecific effects. However, some subgroup analyses were marked by considerable heterogeneity or included few studies. These results should therefore be interpreted with caution. Authors' conclusions This review shows that IDM probably results in improvement in diseaseÃƒÆ’Ã‚Â¢ÃƒÂ¢Ã¢â‚¬Å¡Ã‚Â¬Ãƒâ€šÃ‚Âspecific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processÃƒÆ’Ã‚Â¢ÃƒÂ¢Ã¢â‚¬Å¡Ã‚Â¬Ãƒâ€šÃ‚Ârelated outcomes, longÃƒÆ’Ã‚Â¢ÃƒÂ¢Ã¢â‚¬Å¡Ã‚Â¬Ãƒâ€šÃ‚Âterm followÃƒÆ’Ã‚Â¢ÃƒÂ¢Ã¢â‚¬Å¡Ã‚Â¬Ãƒâ€šÃ‚Âup, and costÃƒÆ’Ã‚Â¢ÃƒÂ¢Ã¢â‚¬Å¡Ã‚Â¬Ãƒâ€šÃ‚Âeffectiveness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selfÃƒÆ’Ã‚Â¢ÃƒÂ¢Ã¢â‚¬Å¡Ã‚Â¬Ãƒâ€šÃ‚Âmanagement,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coÃƒÆ’Ã‚Â¢ÃƒÂ¢Ã¢â‚¬Å¡Ã‚Â¬Ãƒâ€šÃ‚Âoperating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upÃƒÆ’Ã‚Â¢ÃƒÂ¢Ã¢â‚¬Å¡Ã‚Â¬Ãƒâ€šÃ‚ÂtoÃƒÆ’Ã‚Â¢ÃƒÂ¢Ã¢â‚¬Å¡Ã‚Â¬Ãƒâ€šÃ‚Âdate as of February 2021.</t>
  </si>
  <si>
    <t>Focus on QoL and exercise, not budget reduction.</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</si>
  <si>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</si>
  <si>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</si>
  <si>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ÃƒÆ’Ã¢â‚¬Å¡Ãƒâ€šÃ‚Â© 2021, The Author(s).</t>
  </si>
  <si>
    <t>Focus on cost-efficiency, not explicit budget reduction.</t>
  </si>
  <si>
    <t>J2899</t>
  </si>
  <si>
    <t>Primary prevention of variceal bleeding in people with oesophageal varices due to liver cirrhosis: a network metaÃƒÆ’Ã‚Â¢ÃƒÂ¢Ã¢â‚¬Å¡Ã‚Â¬Ãƒâ€šÃ‚Âanalysis</t>
  </si>
  <si>
    <t>- Background Approximately 40% to 95% of people with cirrhosis have oesophageal varices. About 15% to 20% of oesophageal varices bleed in about one to three years. There are several different treatments to prevent bleeding, including: betaÃƒÆ’Ã‚Â¢ÃƒÂ¢Ã¢â‚¬Å¡Ã‚Â¬Ãƒâ€šÃ‚Âblockers,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metaÃƒÆ’Ã‚Â¢ÃƒÂ¢Ã¢â‚¬Å¡Ã‚Â¬Ãƒâ€šÃ‚Âanalysis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metaÃƒÆ’Ã‚Â¢ÃƒÂ¢Ã¢â‚¬Å¡Ã‚Â¬Ãƒâ€šÃ‚Âanalysis with OpenBUGS using Bayesian methods and calculated the differences in treatments using hazard ratios (HR), odds ratios (OR), and rate ratios with 95% credible intervals (CrI) based on an availableÃƒÆ’Ã‚Â¢ÃƒÂ¢Ã¢â‚¬Å¡Ã‚Â¬Ãƒâ€šÃ‚Âcase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followÃƒÆ’Ã‚Â¢ÃƒÂ¢Ã¢â‚¬Å¡Ã‚Â¬Ãƒâ€šÃ‚Âup in the trials that reported outcomes ranged from 6 months to 60 months. All but one of the trials were at high risk of bias. The interventions compared included betaÃƒÆ’Ã‚Â¢ÃƒÂ¢Ã¢â‚¬Å¡Ã‚Â¬Ãƒâ€šÃ‚Âblockers, no active intervention, variceal band ligation, sclerotherapy, betaÃƒÆ’Ã‚Â¢ÃƒÂ¢Ã¢â‚¬Å¡Ã‚Â¬Ãƒâ€šÃ‚Âblockers plus variceal band ligation, betaÃƒÆ’Ã‚Â¢ÃƒÂ¢Ã¢â‚¬Å¡Ã‚Â¬Ãƒâ€šÃ‚Âblockers plus nitrates, nitrates, betaÃƒÆ’Ã‚Â¢ÃƒÂ¢Ã¢â‚¬Å¡Ã‚Â¬Ãƒâ€šÃ‚Âblockers plus sclerotherapy, and portocaval shunt. Overall, 21.2% of participants who received nonÃƒÆ’Ã‚Â¢ÃƒÂ¢Ã¢â‚¬Å¡Ã‚Â¬Ãƒâ€šÃ‚Âselective betaÃƒÆ’Ã‚Â¢ÃƒÂ¢Ã¢â‚¬Å¡Ã‚Â¬Ãƒâ€šÃ‚Âblockers ('betaÃƒÆ’Ã‚Â¢ÃƒÂ¢Ã¢â‚¬Å¡Ã‚Â¬Ãƒâ€šÃ‚Âblockers') ÃƒÆ’Ã‚Â¢Ãƒâ€¹Ã¢â‚¬Â ÃƒÂ¢Ã¢â€šÂ¬Ã¢â€žÂ¢ the reference treatment (chosen because this was the most common treatment compared in the trials) ÃƒÆ’Ã‚Â¢Ãƒâ€¹Ã¢â‚¬Â ÃƒÂ¢Ã¢â€šÂ¬Ã¢â€žÂ¢ died during 8ÃƒÆ’Ã‚Â¢ÃƒÂ¢Ã¢â‚¬Å¡Ã‚Â¬Ãƒâ€šÃ‚Âmonth to 60ÃƒÆ’Ã‚Â¢ÃƒÂ¢Ã¢â‚¬Å¡Ã‚Â¬Ãƒâ€šÃ‚Âmonth followÃƒÆ’Ã‚Â¢ÃƒÂ¢Ã¢â‚¬Å¡Ã‚Â¬Ãƒâ€šÃ‚Âup. Based on lowÃƒÆ’Ã‚Â¢ÃƒÂ¢Ã¢â‚¬Å¡Ã‚Â¬Ãƒâ€šÃ‚Âcertainty evidence, betaÃƒÆ’Ã‚Â¢ÃƒÂ¢Ã¢â‚¬Å¡Ã‚Â¬Ãƒâ€šÃ‚Âblockers, variceal band ligation, sclerotherapy, and betaÃƒÆ’Ã‚Â¢ÃƒÂ¢Ã¢â‚¬Å¡Ã‚Â¬Ãƒâ€šÃ‚Âblockers plus nitrates all had lower mortality versus no active intervention (betaÃƒÆ’Ã‚Â¢ÃƒÂ¢Ã¢â‚¬Å¡Ã‚Â¬Ãƒâ€šÃ‚Âblockers: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betaÃƒÆ’Ã‚Â¢ÃƒÂ¢Ã¢â‚¬Å¡Ã‚Â¬Ãƒâ€šÃ‚Âblockers plus nitrates: HR 0.41, 95% CrI 0.20 to 0.85; no direct comparison). No trials reported healthÃƒÆ’Ã‚Â¢ÃƒÂ¢Ã¢â‚¬Å¡Ã‚Â¬Ãƒâ€šÃ‚Ârelated quality of life. Based on lowÃƒÆ’Ã‚Â¢ÃƒÂ¢Ã¢â‚¬Å¡Ã‚Â¬Ãƒâ€šÃ‚Âcertainty evidence, variceal band ligation had a higher number of serious adverse events (number of events) than betaÃƒÆ’Ã‚Â¢ÃƒÂ¢Ã¢â‚¬Å¡Ã‚Â¬Ãƒâ€šÃ‚Âblockers (rate ratio 10.49, 95% CrI 2.83 to 60.64; 1 trial, 168 participants). Based on lowÃƒÆ’Ã‚Â¢ÃƒÂ¢Ã¢â‚¬Å¡Ã‚Â¬Ãƒâ€šÃ‚Âcertainty evidence, betaÃƒÆ’Ã‚Â¢ÃƒÂ¢Ã¢â‚¬Å¡Ã‚Â¬Ãƒâ€šÃ‚Âblockers plus nitrates had a higher number of 'any adverse events (number of participants)' than betaÃƒÆ’Ã‚Â¢ÃƒÂ¢Ã¢â‚¬Å¡Ã‚Â¬Ãƒâ€šÃ‚Âblockers alone (OR 3.4 , 95% CrI 1.11 to 11.28; 1 trial, 57 participants). Based on lowÃƒÆ’Ã‚Â¢ÃƒÂ¢Ã¢â‚¬Å¡Ã‚Â¬Ãƒâ€šÃ‚Âcertainty evidence, adverse events (number of events) were higher in sclerotherapy than in betaÃƒÆ’Ã‚Â¢ÃƒÂ¢Ã¢â‚¬Å¡Ã‚Â¬Ãƒâ€šÃ‚Âblockers (rate ratio 2.49, 95% CrI 1.53 to 4.22; direct comparison rate ratio 2.47, 95% CrI 1.27 to 5.06; 2 trials, 90 participants), and in betaÃƒÆ’Ã‚Â¢ÃƒÂ¢Ã¢â‚¬Å¡Ã‚Â¬Ãƒâ€šÃ‚Âblockers plus variceal band ligation than in betaÃƒÆ’Ã‚Â¢ÃƒÂ¢Ã¢â‚¬Å¡Ã‚Â¬Ãƒâ€šÃ‚Âblockers (direct comparison rate ratio 1.72, 95% CrI 1.08 to 2.76; 1 trial, 140 participants). Based on lowÃƒÆ’Ã‚Â¢ÃƒÂ¢Ã¢â‚¬Å¡Ã‚Â¬Ãƒâ€šÃ‚Âcertainty evidence, any variceal bleed was lower in betaÃƒÆ’Ã‚Â¢ÃƒÂ¢Ã¢â‚¬Å¡Ã‚Â¬Ãƒâ€šÃ‚Âblockers plus variceal band ligation than in betaÃƒÆ’Ã‚Â¢ÃƒÂ¢Ã¢â‚¬Å¡Ã‚Â¬Ãƒâ€šÃ‚Âblockers (direct comparison HR 0.21, 95% CrI 0.04 to 0.71; 1 trial, 173 participants). Based on lowÃƒÆ’Ã‚Â¢ÃƒÂ¢Ã¢â‚¬Å¡Ã‚Â¬Ãƒâ€šÃ‚Âcertainty evidence, any variceal bleed was higher in nitrates than betaÃƒÆ’Ã‚Â¢ÃƒÂ¢Ã¢â‚¬Å¡Ã‚Â¬Ãƒâ€šÃ‚Âblockers (direct comparison HR 6.40, 95% CrI 1.58 to 47.42; 1 trial, 52 participants). The evidence indicates considerable uncertainty about the effect of the interventions in the remaining comparisons. Authors' conclusions Based on lowÃƒÆ’Ã‚Â¢ÃƒÂ¢Ã¢â‚¬Å¡Ã‚Â¬Ãƒâ€šÃ‚Âcertainty evidence, betaÃƒÆ’Ã‚Â¢ÃƒÂ¢Ã¢â‚¬Å¡Ã‚Â¬Ãƒâ€šÃ‚Âblockers, variceal band ligation, sclerotherapy, and betaÃƒÆ’Ã‚Â¢ÃƒÂ¢Ã¢â‚¬Å¡Ã‚Â¬Ãƒâ€šÃ‚Âblockers plus nitrates may decrease mortality compared to no intervention in people with highÃƒÆ’Ã‚Â¢ÃƒÂ¢Ã¢â‚¬Å¡Ã‚Â¬Ãƒâ€šÃ‚Ârisk oesophageal varices in people with cirrhosis and no previous history of bleeding. Based on lowÃƒÆ’Ã‚Â¢ÃƒÂ¢Ã¢â‚¬Å¡Ã‚Â¬Ãƒâ€šÃ‚Âcertainty evidence, variceal band ligation may result in a higher number of serious adverse events than betaÃƒÆ’Ã‚Â¢ÃƒÂ¢Ã¢â‚¬Å¡Ã‚Â¬Ãƒâ€šÃ‚Âblockers. The evidence indicates considerable uncertainty about the effect of betaÃƒÆ’Ã‚Â¢ÃƒÂ¢Ã¢â‚¬Å¡Ã‚Â¬Ãƒâ€šÃ‚Âblockers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metaÃƒÆ’Ã‚Â¢ÃƒÂ¢Ã¢â‚¬Å¡Ã‚Â¬Ãƒâ€šÃ‚Âanalysis').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betaÃƒÆ’Ã‚Â¢ÃƒÂ¢Ã¢â‚¬Å¡Ã‚Â¬Ãƒâ€šÃ‚Âblockers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'nonÃƒÆ’Ã‚Â¢ÃƒÂ¢Ã¢â‚¬Å¡Ã‚Â¬Ãƒâ€šÃ‚Âselective betaÃƒÆ’Ã‚Â¢ÃƒÂ¢Ã¢â‚¬Å¡Ã‚Â¬Ãƒâ€šÃ‚Âblockers' or simply 'betaÃƒÆ’Ã‚Â¢ÃƒÂ¢Ã¢â‚¬Å¡Ã‚Â¬Ãƒâ€šÃ‚Âblockers'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followÃƒÆ’Ã‚Â¢ÃƒÂ¢Ã¢â‚¬Å¡Ã‚Â¬Ãƒâ€šÃ‚Âup), quality of life, serious and nonÃƒÆ’Ã‚Â¢ÃƒÂ¢Ã¢â‚¬Å¡Ã‚Â¬Ãƒâ€šÃ‚Âserious side effects, percentage of people who developed bleeding, and development of other complications of advanced liver disease.ÃƒÆ’Ã‚Â¢ÃƒÂ¢Ã¢â‚¬Å¡Ã‚Â¬Ãƒâ€šÃ‚Â¨ÃƒÆ’Ã‚Â¢ÃƒÂ¢Ã¢â‚¬Å¡Ã‚Â¬Ãƒâ€šÃ‚Â¨ What were the main results of the review? The 66 studies included a relatively small number of participants (6653 people). Sixty studies with 6212 participants provided data for analyses. The followÃƒÆ’Ã‚Â¢ÃƒÂ¢Ã¢â‚¬Å¡Ã‚Â¬Ãƒâ€šÃ‚Âup of the trial ranged from six months to five years in studies that reported the outcomes that we were interested in. The review found the following:ÃƒÆ’Ã‚Â¢ÃƒÂ¢Ã¢â‚¬Å¡Ã‚Â¬Ãƒâ€šÃ‚Â¨ÃƒÆ’Ã‚Â¢ÃƒÂ¢Ã¢â‚¬Å¡Ã‚Â¬ÃƒÂ¢Ã¢â€šÂ¬Ã…â€œ Approximately one in five people with cirrhosis and oesophageal varices (without previous bleeding) who receive the betaÃƒÆ’Ã‚Â¢ÃƒÂ¢Ã¢â‚¬Å¡Ã‚Â¬Ãƒâ€šÃ‚Âblockers died within five years.ÃƒÆ’Ã‚Â¢ÃƒÂ¢Ã¢â‚¬Å¡Ã‚Â¬Ãƒâ€šÃ‚Â¨ÃƒÆ’Ã‚Â¢ÃƒÂ¢Ã¢â‚¬Å¡Ã‚Â¬ÃƒÂ¢Ã¢â€šÂ¬Ã…â€œ BetaÃƒÆ’Ã‚Â¢ÃƒÂ¢Ã¢â‚¬Å¡Ã‚Â¬Ãƒâ€šÃ‚Âblockers, variceal band ligation, sclerotherapy, and betaÃƒÆ’Ã‚Â¢ÃƒÂ¢Ã¢â‚¬Å¡Ã‚Â¬Ãƒâ€šÃ‚Âblockers plus nitrates all may result in fewer deaths than no treatment.ÃƒÆ’Ã‚Â¢ÃƒÂ¢Ã¢â‚¬Å¡Ã‚Â¬Ãƒâ€šÃ‚Â¨ÃƒÆ’Ã‚Â¢ÃƒÂ¢Ã¢â‚¬Å¡Ã‚Â¬ÃƒÂ¢Ã¢â€šÂ¬Ã…â€œ Variceal band ligation may result in a higher number of serious side effects than betaÃƒÆ’Ã‚Â¢ÃƒÂ¢Ã¢â‚¬Å¡Ã‚Â¬Ãƒâ€šÃ‚Âblockers.ÃƒÆ’Ã‚Â¢ÃƒÂ¢Ã¢â‚¬Å¡Ã‚Â¬Ãƒâ€šÃ‚Â¨ÃƒÆ’Ã‚Â¢ÃƒÂ¢Ã¢â‚¬Å¡Ã‚Â¬ÃƒÂ¢Ã¢â€šÂ¬Ã…â€œ Sclerotherapy, betaÃƒÆ’Ã‚Â¢ÃƒÂ¢Ã¢â‚¬Å¡Ã‚Â¬Ãƒâ€šÃ‚Âblockers plus nitrates, and betaÃƒÆ’Ã‚Â¢ÃƒÂ¢Ã¢â‚¬Å¡Ã‚Â¬Ãƒâ€šÃ‚Âblockers plus variceal band ligation may result in more side effects (when serious and nonÃƒÆ’Ã‚Â¢ÃƒÂ¢Ã¢â‚¬Å¡Ã‚Â¬Ãƒâ€šÃ‚Âserious adverse events were put together) than betaÃƒÆ’Ã‚Â¢ÃƒÂ¢Ã¢â‚¬Å¡Ã‚Â¬Ãƒâ€šÃ‚Âblockers.ÃƒÆ’Ã‚Â¢ÃƒÂ¢Ã¢â‚¬Å¡Ã‚Â¬Ãƒâ€šÃ‚Â¨ÃƒÆ’Ã‚Â¢ÃƒÂ¢Ã¢â‚¬Å¡Ã‚Â¬ÃƒÂ¢Ã¢â€šÂ¬Ã…â€œ BetaÃƒÆ’Ã‚Â¢ÃƒÂ¢Ã¢â‚¬Å¡Ã‚Â¬Ãƒâ€šÃ‚Âblockers plus variceal band ligation may result in fewer people who develop bleeding than betaÃƒÆ’Ã‚Â¢ÃƒÂ¢Ã¢â‚¬Å¡Ã‚Â¬Ãƒâ€šÃ‚Âblockers alone based on a single small trial.ÃƒÆ’Ã‚Â¢ÃƒÂ¢Ã¢â‚¬Å¡Ã‚Â¬Ãƒâ€šÃ‚Â¨ÃƒÆ’Ã‚Â¢ÃƒÂ¢Ã¢â‚¬Å¡Ã‚Â¬ÃƒÂ¢Ã¢â€šÂ¬Ã…â€œ Nitrates alone may result in more people who develop bleeding than betaÃƒÆ’Ã‚Â¢ÃƒÂ¢Ã¢â‚¬Å¡Ã‚Â¬Ãƒâ€šÃ‚Âblockers alone.ÃƒÆ’Ã‚Â¢ÃƒÂ¢Ã¢â‚¬Å¡Ã‚Â¬Ãƒâ€šÃ‚Â¨ÃƒÆ’Ã‚Â¢ÃƒÂ¢Ã¢â‚¬Å¡Ã‚Â¬ÃƒÂ¢Ã¢â€šÂ¬Ã…â€œ The evidence indicates considerable uncertainty about the effect of the interventions in the remaining comparisons.ÃƒÆ’Ã‚Â¢ÃƒÂ¢Ã¢â‚¬Å¡Ã‚Â¬Ãƒâ€šÃ‚Â¨ÃƒÆ’Ã‚Â¢ÃƒÂ¢Ã¢â‚¬Å¡Ã‚Â¬ÃƒÂ¢Ã¢â€šÂ¬Ã…â€œ None of the trials reported healthÃƒÆ’Ã‚Â¢ÃƒÂ¢Ã¢â‚¬Å¡Ã‚Â¬Ãƒâ€šÃ‚Ârelated quality of life. What are our conclusions? BetaÃƒÆ’Ã‚Â¢ÃƒÂ¢Ã¢â‚¬Å¡Ã‚Â¬Ãƒâ€šÃ‚Âblockers, variceal band ligation, sclerotherapy, and betaÃƒÆ’Ã‚Â¢ÃƒÂ¢Ã¢â‚¬Å¡Ã‚Â¬Ãƒâ€šÃ‚Âblockers plus nitrates may decrease the death rate compared to no treatment in people with highÃƒÆ’Ã‚Â¢ÃƒÂ¢Ã¢â‚¬Å¡Ã‚Â¬Ãƒâ€šÃ‚Ârisk oesophageal varices in people with cirrhosis and no history of bleeding. Variceal band ligation may result in a higher number of serious side effects than betaÃƒÆ’Ã‚Â¢ÃƒÂ¢Ã¢â‚¬Å¡Ã‚Â¬Ãƒâ€šÃ‚Âblockers. The evidence indicates considerable uncertainty about the effect of betaÃƒÆ’Ã‚Â¢ÃƒÂ¢Ã¢â‚¬Å¡Ã‚Â¬Ãƒâ€šÃ‚Âblockers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</si>
  <si>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Focus on treatment efficacy, not budget impact.</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</si>
  <si>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</si>
  <si>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</si>
  <si>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</si>
  <si>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Cost-effectiveness shown but no explicit budget reduction or cash-releasing phrase.</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</si>
  <si>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</si>
  <si>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</si>
  <si>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ÃƒÆ’Ã¢â‚¬Å¡Ãƒâ€šÃ‚Â© 2025</t>
  </si>
  <si>
    <t>Focus on adherence, not explicit budget reduction or cash-releasing benefits.</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</si>
  <si>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</si>
  <si>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</si>
  <si>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</si>
  <si>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</si>
  <si>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</si>
  <si>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</si>
  <si>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</si>
  <si>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</si>
  <si>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</si>
  <si>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</si>
  <si>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</si>
  <si>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</si>
  <si>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</si>
  <si>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</si>
  <si>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</si>
  <si>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</si>
  <si>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</si>
  <si>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</si>
  <si>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</si>
  <si>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</si>
  <si>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</si>
  <si>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</si>
  <si>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</si>
  <si>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</si>
  <si>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</si>
  <si>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</si>
  <si>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</si>
  <si>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</si>
  <si>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</si>
  <si>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</si>
  <si>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</si>
  <si>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</si>
  <si>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</si>
  <si>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</si>
  <si>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</si>
  <si>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</si>
  <si>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</si>
  <si>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</si>
  <si>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</si>
  <si>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</si>
  <si>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</si>
  <si>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</si>
  <si>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</si>
  <si>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</si>
  <si>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</si>
  <si>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</si>
  <si>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</si>
  <si>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J567</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</si>
  <si>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</si>
  <si>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</si>
  <si>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</si>
  <si>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</si>
  <si>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</si>
  <si>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</si>
  <si>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</si>
  <si>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</si>
  <si>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J570</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</si>
  <si>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</si>
  <si>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</si>
  <si>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</si>
  <si>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</si>
  <si>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</si>
  <si>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</si>
  <si>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</si>
  <si>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</si>
  <si>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</si>
  <si>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</si>
  <si>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</si>
  <si>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</si>
  <si>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</si>
  <si>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</si>
  <si>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</si>
  <si>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</si>
  <si>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</si>
  <si>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</si>
  <si>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</si>
  <si>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</si>
  <si>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</si>
  <si>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</si>
  <si>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</si>
  <si>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</si>
  <si>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</si>
  <si>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</si>
  <si>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</si>
  <si>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</si>
  <si>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</si>
  <si>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</si>
  <si>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</si>
  <si>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</si>
  <si>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</si>
  <si>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</si>
  <si>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</si>
  <si>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</si>
  <si>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</si>
  <si>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</si>
  <si>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</si>
  <si>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</si>
  <si>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</si>
  <si>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</si>
  <si>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</si>
  <si>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</si>
  <si>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</si>
  <si>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</si>
  <si>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</si>
  <si>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</si>
  <si>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</si>
  <si>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</si>
  <si>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</si>
  <si>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</si>
  <si>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</si>
  <si>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</si>
  <si>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</si>
  <si>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</si>
  <si>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</si>
  <si>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</si>
  <si>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</si>
  <si>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</si>
  <si>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</si>
  <si>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</si>
  <si>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</si>
  <si>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</si>
  <si>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</si>
  <si>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</si>
  <si>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</si>
  <si>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</si>
  <si>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</si>
  <si>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</si>
  <si>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</si>
  <si>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</si>
  <si>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</si>
  <si>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</si>
  <si>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</si>
  <si>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</si>
  <si>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</si>
  <si>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</si>
  <si>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</si>
  <si>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</si>
  <si>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</si>
  <si>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</si>
  <si>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</si>
  <si>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</si>
  <si>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</si>
  <si>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</si>
  <si>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</si>
  <si>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</si>
  <si>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</si>
  <si>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</si>
  <si>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J2835</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</si>
  <si>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</si>
  <si>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</si>
  <si>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</si>
  <si>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</si>
  <si>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</si>
  <si>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</si>
  <si>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</si>
  <si>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</si>
  <si>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</si>
  <si>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</si>
  <si>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</si>
  <si>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</si>
  <si>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</si>
  <si>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</si>
  <si>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</si>
  <si>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</si>
  <si>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</si>
  <si>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</si>
  <si>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</si>
  <si>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</si>
  <si>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</si>
  <si>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</si>
  <si>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</si>
  <si>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</si>
  <si>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</si>
  <si>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</si>
  <si>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</si>
  <si>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</si>
  <si>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</si>
  <si>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</si>
  <si>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</si>
  <si>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</si>
  <si>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</si>
  <si>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</si>
  <si>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</si>
  <si>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</si>
  <si>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</si>
  <si>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</si>
  <si>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</si>
  <si>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</si>
  <si>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</si>
  <si>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</si>
  <si>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</si>
  <si>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</si>
  <si>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</si>
  <si>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</si>
  <si>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</si>
  <si>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</si>
  <si>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</si>
  <si>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</si>
  <si>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</si>
  <si>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</si>
  <si>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</si>
  <si>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</si>
  <si>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</si>
  <si>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</si>
  <si>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</si>
  <si>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</si>
  <si>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</si>
  <si>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</si>
  <si>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</si>
  <si>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</si>
  <si>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</si>
  <si>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</si>
  <si>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</si>
  <si>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</si>
  <si>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J2858</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</si>
  <si>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</si>
  <si>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</si>
  <si>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</si>
  <si>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</si>
  <si>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</si>
  <si>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</si>
  <si>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</si>
  <si>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</si>
  <si>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</si>
  <si>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</si>
  <si>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</si>
  <si>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</si>
  <si>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</si>
  <si>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</si>
  <si>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</si>
  <si>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</si>
  <si>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</si>
  <si>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</si>
  <si>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J2865</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</si>
  <si>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</si>
  <si>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</si>
  <si>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</si>
  <si>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</si>
  <si>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</si>
  <si>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</si>
  <si>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</si>
  <si>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</si>
  <si>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</si>
  <si>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</si>
  <si>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</si>
  <si>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</si>
  <si>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</si>
  <si>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</si>
  <si>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</si>
  <si>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</si>
  <si>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</si>
  <si>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</si>
  <si>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</si>
  <si>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</si>
  <si>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</si>
  <si>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</si>
  <si>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</si>
  <si>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</si>
  <si>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</si>
  <si>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</si>
  <si>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</si>
  <si>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</si>
  <si>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</si>
  <si>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</si>
  <si>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</si>
  <si>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</si>
  <si>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</si>
  <si>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</si>
  <si>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</si>
  <si>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</si>
  <si>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</si>
  <si>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</si>
  <si>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</si>
  <si>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</si>
  <si>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</si>
  <si>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</si>
  <si>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</si>
  <si>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</si>
  <si>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J2880</t>
  </si>
  <si>
    <t>Status of primary and secondary mental healthcare of people with severe mental illness: An epidemiological study from the UK PARTNERS2 programme</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</si>
  <si>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</si>
  <si>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</si>
  <si>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</si>
  <si>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</si>
  <si>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</si>
  <si>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</si>
  <si>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</si>
  <si>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</si>
  <si>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</si>
  <si>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</si>
  <si>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</si>
  <si>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</si>
  <si>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</si>
  <si>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</si>
  <si>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</si>
  <si>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</si>
  <si>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</si>
  <si>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</si>
  <si>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</si>
  <si>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</si>
  <si>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</si>
  <si>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</si>
  <si>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</si>
  <si>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</si>
  <si>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</si>
  <si>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</si>
  <si>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</si>
  <si>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</si>
  <si>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</si>
  <si>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</si>
  <si>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</si>
  <si>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</si>
  <si>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</si>
  <si>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</si>
  <si>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</si>
  <si>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</si>
  <si>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</si>
  <si>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</si>
  <si>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</si>
  <si>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</si>
  <si>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</si>
  <si>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</si>
  <si>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</si>
  <si>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J2896</t>
  </si>
  <si>
    <t>Dietetics and community pharmacy working together; improving nutritional care for patients prescribed oral nutritional supplements (ONS)</t>
  </si>
  <si>
    <t>A pilot to support ‘New Ways of Working’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</si>
  <si>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</si>
  <si>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</si>
  <si>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</si>
  <si>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</si>
  <si>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</si>
  <si>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</si>
  <si>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</si>
  <si>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</si>
  <si>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</si>
  <si>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</si>
  <si>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</si>
  <si>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</si>
  <si>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</si>
  <si>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</si>
  <si>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</si>
  <si>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</si>
  <si>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</si>
  <si>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</si>
  <si>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</si>
  <si>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</si>
  <si>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</si>
  <si>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</si>
  <si>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J2905</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</si>
  <si>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</si>
  <si>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</si>
  <si>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</si>
  <si>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</si>
  <si>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</si>
  <si>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</si>
  <si>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</si>
  <si>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</si>
  <si>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</si>
  <si>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</si>
  <si>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</si>
  <si>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</si>
  <si>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</si>
  <si>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</si>
  <si>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</si>
  <si>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</si>
  <si>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</si>
  <si>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</si>
  <si>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</si>
  <si>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</si>
  <si>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</si>
  <si>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</si>
  <si>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</si>
  <si>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</si>
  <si>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</si>
  <si>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</si>
  <si>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</si>
  <si>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</si>
  <si>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</si>
  <si>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</si>
  <si>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</si>
  <si>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</si>
  <si>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</si>
  <si>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J6206</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</si>
  <si>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</si>
  <si>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</si>
  <si>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</si>
  <si>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</si>
  <si>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</si>
  <si>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</si>
  <si>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</si>
  <si>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</si>
  <si>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J6209</t>
  </si>
  <si>
    <t>Tranexamic acid for preventing postpartum haemorrhage after vaginal birth</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</si>
  <si>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</si>
  <si>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</si>
  <si>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</si>
  <si>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</si>
  <si>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</si>
  <si>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</si>
  <si>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</si>
  <si>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</si>
  <si>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</si>
  <si>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</si>
  <si>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</si>
  <si>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</si>
  <si>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</si>
  <si>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</si>
  <si>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</si>
  <si>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</si>
  <si>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</si>
  <si>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</si>
  <si>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</si>
  <si>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</si>
  <si>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</si>
  <si>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</si>
  <si>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</si>
  <si>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Cost saving (but no figure in abstract)</t>
  </si>
  <si>
    <t>reduction in expenditure</t>
  </si>
  <si>
    <t>Not cash releasing (only protocol)</t>
  </si>
  <si>
    <t xml:space="preserve"> vague mention of health/cost benefits</t>
  </si>
  <si>
    <t>only protocol</t>
  </si>
  <si>
    <t>vague mention of increasing threshold lowering costs</t>
  </si>
  <si>
    <t>study that demonstrates cost saving is Australian</t>
  </si>
  <si>
    <t>study that demonstrates cost saving is US</t>
  </si>
  <si>
    <t>Not cash releasing, vague mention of being potentially cost saving</t>
  </si>
  <si>
    <t>cost savings</t>
  </si>
  <si>
    <t>vague mention of it being potentially cost saving</t>
  </si>
  <si>
    <t>says potential to reduce costs, but no figure for this from UK study</t>
  </si>
  <si>
    <t>vague mention of potential to reduce hospital costs</t>
  </si>
  <si>
    <t>cost savings, but study from Aus</t>
  </si>
  <si>
    <t>vague mention of potential to be cost saving</t>
  </si>
  <si>
    <t>vague mention of potential to reduce costs</t>
  </si>
  <si>
    <t>could include, does vaguely mention lowering costs</t>
  </si>
  <si>
    <t>have demonstrated cost saving</t>
  </si>
  <si>
    <t>some limited info on cost savings</t>
  </si>
  <si>
    <t>mentions potential cost saving, but uncertain</t>
  </si>
  <si>
    <t>vague mention that it could reduce costs</t>
  </si>
  <si>
    <t>Not cash releasing (vague mention of direct and indirect cost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</si>
</sst>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3.5"/>
      <color theme="1"/>
      <name val="Aptos Narrow"/>
      <family val="2"/>
      <scheme val="minor"/>
    </font>
    <font>
      <i/>
      <sz val="11"/>
      <color theme="1"/>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applyAlignment="1">
      <alignment vertical="center"/>
    </xf>
    <xf numFmtId="0" fontId="2" fillId="0" borderId="0" xfId="0" applyFont="1" applyAlignment="1">
      <alignment horizontal="left" vertical="center" indent="1"/>
    </xf>
    <xf numFmtId="0" fontId="2" fillId="0" borderId="3" xfId="0" applyFont="1" applyBorder="1"/>
    <xf numFmtId="0" fontId="2" fillId="0" borderId="4" xfId="0" applyFont="1" applyBorder="1"/>
    <xf numFmtId="0" fontId="0" fillId="2" borderId="0" xfId="0" applyFill="1"/>
    <xf numFmtId="0" fontId="0" fillId="3" borderId="0" xfId="0" applyFill="1"/>
    <xf numFmtId="0" fontId="0" fillId="2" borderId="0" xfId="0" applyFill="1" applyAlignment="1">
      <alignment wrapText="1"/>
    </xf>
    <xf numFmtId="0" fontId="2" fillId="0" borderId="1" xfId="0" applyFont="1" applyBorder="1"/>
    <xf numFmtId="0" fontId="2" fillId="0" borderId="2" xfId="0" applyFont="1" applyBorder="1"/>
  </cellXfs>
  <cellStyles count="1">
    <cellStyle name="Normal" xfId="0" builtinId="0"/>
  </cellStyles>
  <dxfs count="1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26"/>
  <sheetViews>
    <sheetView topLeftCell="A12" workbookViewId="0">
      <selection sqref="A1:H18"/>
    </sheetView>
  </sheetViews>
  <sheetFormatPr defaultRowHeight="14.5" x14ac:dyDescent="0.35"/>
  <sheetData>
    <row r="1" spans="1:8" x14ac:dyDescent="0.35">
      <c r="A1" t="s">
        <v>0</v>
      </c>
      <c r="B1" t="s">
        <v>1</v>
      </c>
      <c r="C1" t="s">
        <v>2</v>
      </c>
      <c r="D1" t="s">
        <v>3</v>
      </c>
      <c r="E1" t="s">
        <v>182</v>
      </c>
      <c r="F1" t="s">
        <v>183</v>
      </c>
      <c r="G1" t="s">
        <v>184</v>
      </c>
      <c r="H1" t="s">
        <v>185</v>
      </c>
    </row>
    <row r="2" spans="1:8" x14ac:dyDescent="0.35">
      <c r="A2" t="s">
        <v>14</v>
      </c>
      <c r="B2">
        <v>2019</v>
      </c>
      <c r="C2" t="s">
        <v>15</v>
      </c>
      <c r="D2" t="s">
        <v>186</v>
      </c>
      <c r="E2" t="b">
        <v>0</v>
      </c>
      <c r="F2" t="s">
        <v>187</v>
      </c>
      <c r="G2" t="s">
        <v>188</v>
      </c>
      <c r="H2">
        <v>0.9</v>
      </c>
    </row>
    <row r="3" spans="1:8" x14ac:dyDescent="0.35">
      <c r="A3" t="s">
        <v>74</v>
      </c>
      <c r="B3">
        <v>2019</v>
      </c>
      <c r="C3" t="s">
        <v>75</v>
      </c>
      <c r="D3" t="s">
        <v>189</v>
      </c>
      <c r="E3" t="b">
        <v>0</v>
      </c>
      <c r="F3" t="s">
        <v>190</v>
      </c>
      <c r="H3">
        <v>0.9</v>
      </c>
    </row>
    <row r="4" spans="1:8" x14ac:dyDescent="0.35">
      <c r="A4" t="s">
        <v>94</v>
      </c>
      <c r="B4">
        <v>2019</v>
      </c>
      <c r="C4" t="s">
        <v>95</v>
      </c>
      <c r="D4" t="s">
        <v>96</v>
      </c>
      <c r="E4" t="b">
        <v>0</v>
      </c>
      <c r="F4" t="s">
        <v>191</v>
      </c>
      <c r="G4" t="s">
        <v>192</v>
      </c>
      <c r="H4">
        <v>0.9</v>
      </c>
    </row>
    <row r="5" spans="1:8" x14ac:dyDescent="0.35">
      <c r="A5" t="s">
        <v>99</v>
      </c>
      <c r="B5">
        <v>2019</v>
      </c>
      <c r="C5" t="s">
        <v>100</v>
      </c>
      <c r="D5" t="s">
        <v>101</v>
      </c>
      <c r="E5" t="b">
        <v>0</v>
      </c>
      <c r="F5" t="s">
        <v>193</v>
      </c>
      <c r="G5" t="s">
        <v>188</v>
      </c>
      <c r="H5">
        <v>0.7</v>
      </c>
    </row>
    <row r="6" spans="1:8" x14ac:dyDescent="0.35">
      <c r="A6" t="s">
        <v>211</v>
      </c>
      <c r="B6">
        <v>2019</v>
      </c>
      <c r="C6" t="s">
        <v>212</v>
      </c>
      <c r="D6" t="s">
        <v>213</v>
      </c>
      <c r="E6" t="b">
        <v>0</v>
      </c>
      <c r="F6" t="s">
        <v>187</v>
      </c>
      <c r="G6" t="s">
        <v>188</v>
      </c>
      <c r="H6">
        <v>0.9</v>
      </c>
    </row>
    <row r="7" spans="1:8" ht="409.5" x14ac:dyDescent="0.35">
      <c r="A7" t="s">
        <v>214</v>
      </c>
      <c r="B7">
        <v>2019</v>
      </c>
      <c r="C7" t="s">
        <v>215</v>
      </c>
      <c r="D7" s="1" t="s">
        <v>216</v>
      </c>
      <c r="E7" t="b">
        <v>0</v>
      </c>
      <c r="F7" t="s">
        <v>217</v>
      </c>
      <c r="G7" t="s">
        <v>192</v>
      </c>
      <c r="H7">
        <v>0.9</v>
      </c>
    </row>
    <row r="8" spans="1:8" x14ac:dyDescent="0.35">
      <c r="A8" t="s">
        <v>218</v>
      </c>
      <c r="B8">
        <v>2019</v>
      </c>
      <c r="C8" t="s">
        <v>219</v>
      </c>
      <c r="D8" t="s">
        <v>220</v>
      </c>
      <c r="E8" t="b">
        <v>0</v>
      </c>
      <c r="F8" t="s">
        <v>221</v>
      </c>
      <c r="G8" t="s">
        <v>222</v>
      </c>
      <c r="H8">
        <v>0.8</v>
      </c>
    </row>
    <row r="9" spans="1:8" x14ac:dyDescent="0.35">
      <c r="A9" t="s">
        <v>223</v>
      </c>
      <c r="B9">
        <v>2019</v>
      </c>
      <c r="C9" t="s">
        <v>224</v>
      </c>
      <c r="D9" t="s">
        <v>225</v>
      </c>
      <c r="E9" t="b">
        <v>0</v>
      </c>
      <c r="F9" t="s">
        <v>191</v>
      </c>
      <c r="G9" t="s">
        <v>222</v>
      </c>
      <c r="H9">
        <v>0.8</v>
      </c>
    </row>
    <row r="10" spans="1:8" x14ac:dyDescent="0.35">
      <c r="A10" t="s">
        <v>226</v>
      </c>
      <c r="B10">
        <v>2019</v>
      </c>
      <c r="C10" t="s">
        <v>227</v>
      </c>
      <c r="D10" t="s">
        <v>228</v>
      </c>
      <c r="E10" t="b">
        <v>0</v>
      </c>
      <c r="F10" t="s">
        <v>229</v>
      </c>
      <c r="G10" t="s">
        <v>188</v>
      </c>
      <c r="H10">
        <v>0.9</v>
      </c>
    </row>
    <row r="11" spans="1:8" ht="409.5" x14ac:dyDescent="0.35">
      <c r="A11" t="s">
        <v>230</v>
      </c>
      <c r="B11">
        <v>2019</v>
      </c>
      <c r="C11" t="s">
        <v>231</v>
      </c>
      <c r="D11" s="1" t="s">
        <v>232</v>
      </c>
      <c r="E11" t="b">
        <v>0</v>
      </c>
      <c r="F11" t="s">
        <v>187</v>
      </c>
      <c r="H11">
        <v>0.9</v>
      </c>
    </row>
    <row r="12" spans="1:8" x14ac:dyDescent="0.35">
      <c r="A12" t="s">
        <v>233</v>
      </c>
      <c r="B12">
        <v>2021</v>
      </c>
      <c r="C12" t="s">
        <v>234</v>
      </c>
      <c r="D12" t="s">
        <v>235</v>
      </c>
      <c r="E12" t="b">
        <v>0</v>
      </c>
      <c r="F12" t="s">
        <v>236</v>
      </c>
      <c r="G12" t="s">
        <v>188</v>
      </c>
      <c r="H12">
        <v>0.8</v>
      </c>
    </row>
    <row r="13" spans="1:8" x14ac:dyDescent="0.35">
      <c r="A13" t="s">
        <v>237</v>
      </c>
      <c r="B13">
        <v>2021</v>
      </c>
      <c r="C13" t="s">
        <v>238</v>
      </c>
      <c r="D13" t="s">
        <v>239</v>
      </c>
      <c r="E13" t="b">
        <v>0</v>
      </c>
      <c r="F13" t="s">
        <v>240</v>
      </c>
      <c r="G13" t="s">
        <v>188</v>
      </c>
      <c r="H13">
        <v>0.9</v>
      </c>
    </row>
    <row r="14" spans="1:8" x14ac:dyDescent="0.35">
      <c r="A14" t="s">
        <v>241</v>
      </c>
      <c r="B14">
        <v>2021</v>
      </c>
      <c r="C14" t="s">
        <v>242</v>
      </c>
      <c r="D14" t="s">
        <v>243</v>
      </c>
      <c r="E14" t="b">
        <v>0</v>
      </c>
      <c r="F14" t="s">
        <v>244</v>
      </c>
      <c r="G14" t="s">
        <v>188</v>
      </c>
      <c r="H14">
        <v>0.9</v>
      </c>
    </row>
    <row r="15" spans="1:8" x14ac:dyDescent="0.35">
      <c r="A15" t="s">
        <v>245</v>
      </c>
      <c r="B15">
        <v>2021</v>
      </c>
      <c r="C15" t="s">
        <v>246</v>
      </c>
      <c r="D15" t="s">
        <v>247</v>
      </c>
      <c r="E15" t="b">
        <v>0</v>
      </c>
      <c r="F15" t="s">
        <v>248</v>
      </c>
      <c r="G15" t="s">
        <v>188</v>
      </c>
      <c r="H15">
        <v>0.9</v>
      </c>
    </row>
    <row r="16" spans="1:8" x14ac:dyDescent="0.35">
      <c r="A16" t="s">
        <v>249</v>
      </c>
      <c r="B16">
        <v>2021</v>
      </c>
      <c r="C16" t="s">
        <v>250</v>
      </c>
      <c r="D16" t="s">
        <v>251</v>
      </c>
      <c r="E16" t="b">
        <v>0</v>
      </c>
      <c r="F16" t="s">
        <v>252</v>
      </c>
      <c r="H16">
        <v>0.9</v>
      </c>
    </row>
    <row r="17" spans="1:8" x14ac:dyDescent="0.35">
      <c r="A17" t="s">
        <v>253</v>
      </c>
      <c r="B17">
        <v>2025</v>
      </c>
      <c r="C17" t="s">
        <v>254</v>
      </c>
      <c r="D17" t="s">
        <v>255</v>
      </c>
      <c r="E17" t="b">
        <v>0</v>
      </c>
      <c r="F17" t="s">
        <v>256</v>
      </c>
      <c r="G17" t="s">
        <v>192</v>
      </c>
      <c r="H17">
        <v>0.9</v>
      </c>
    </row>
    <row r="18" spans="1:8" x14ac:dyDescent="0.35">
      <c r="A18" t="s">
        <v>257</v>
      </c>
      <c r="B18">
        <v>2025</v>
      </c>
      <c r="C18" t="s">
        <v>258</v>
      </c>
      <c r="D18" t="s">
        <v>259</v>
      </c>
      <c r="E18" t="b">
        <v>0</v>
      </c>
      <c r="F18" t="s">
        <v>260</v>
      </c>
      <c r="G18" t="s">
        <v>188</v>
      </c>
      <c r="H18">
        <v>0.9</v>
      </c>
    </row>
    <row r="21" spans="1:8" x14ac:dyDescent="0.35">
      <c r="D21" s="1"/>
    </row>
    <row r="26" spans="1:8" x14ac:dyDescent="0.35">
      <c r="D2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18"/>
  <sheetViews>
    <sheetView workbookViewId="0">
      <selection sqref="A1:A18"/>
    </sheetView>
  </sheetViews>
  <sheetFormatPr defaultRowHeight="14.5" x14ac:dyDescent="0.35"/>
  <sheetData>
    <row r="1" spans="1:1" x14ac:dyDescent="0.35">
      <c r="A1" t="s">
        <v>0</v>
      </c>
    </row>
    <row r="2" spans="1:1" x14ac:dyDescent="0.35">
      <c r="A2" t="s">
        <v>14</v>
      </c>
    </row>
    <row r="3" spans="1:1" x14ac:dyDescent="0.35">
      <c r="A3" t="s">
        <v>74</v>
      </c>
    </row>
    <row r="4" spans="1:1" x14ac:dyDescent="0.35">
      <c r="A4" t="s">
        <v>94</v>
      </c>
    </row>
    <row r="5" spans="1:1" x14ac:dyDescent="0.35">
      <c r="A5" t="s">
        <v>99</v>
      </c>
    </row>
    <row r="6" spans="1:1" x14ac:dyDescent="0.35">
      <c r="A6" t="s">
        <v>211</v>
      </c>
    </row>
    <row r="7" spans="1:1" x14ac:dyDescent="0.35">
      <c r="A7" t="s">
        <v>214</v>
      </c>
    </row>
    <row r="8" spans="1:1" x14ac:dyDescent="0.35">
      <c r="A8" t="s">
        <v>218</v>
      </c>
    </row>
    <row r="9" spans="1:1" x14ac:dyDescent="0.35">
      <c r="A9" t="s">
        <v>223</v>
      </c>
    </row>
    <row r="10" spans="1:1" x14ac:dyDescent="0.35">
      <c r="A10" t="s">
        <v>226</v>
      </c>
    </row>
    <row r="11" spans="1:1" x14ac:dyDescent="0.35">
      <c r="A11" t="s">
        <v>230</v>
      </c>
    </row>
    <row r="12" spans="1:1" x14ac:dyDescent="0.35">
      <c r="A12" t="s">
        <v>233</v>
      </c>
    </row>
    <row r="13" spans="1:1" x14ac:dyDescent="0.35">
      <c r="A13" t="s">
        <v>237</v>
      </c>
    </row>
    <row r="14" spans="1:1" x14ac:dyDescent="0.35">
      <c r="A14" t="s">
        <v>241</v>
      </c>
    </row>
    <row r="15" spans="1:1" x14ac:dyDescent="0.35">
      <c r="A15" t="s">
        <v>245</v>
      </c>
    </row>
    <row r="16" spans="1:1" x14ac:dyDescent="0.35">
      <c r="A16" t="s">
        <v>249</v>
      </c>
    </row>
    <row r="17" spans="1:1" x14ac:dyDescent="0.35">
      <c r="A17" t="s">
        <v>253</v>
      </c>
    </row>
    <row r="18" spans="1:1" x14ac:dyDescent="0.35">
      <c r="A18" t="s">
        <v>257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201"/>
  <sheetViews>
    <sheetView workbookViewId="0">
      <selection activeCell="E196" sqref="E1:G196"/>
    </sheetView>
  </sheetViews>
  <sheetFormatPr defaultRowHeight="14.5" x14ac:dyDescent="0.35"/>
  <cols>
    <col min="2" max="2" width="10.81640625" customWidth="1"/>
    <col min="3" max="3" width="13.54296875" customWidth="1"/>
    <col min="4" max="4" width="13.26953125" customWidth="1"/>
  </cols>
  <sheetData>
    <row r="1" spans="1:8" ht="15" thickBot="1" x14ac:dyDescent="0.4">
      <c r="A1" s="6" t="s">
        <v>108</v>
      </c>
      <c r="B1" s="6" t="s">
        <v>1</v>
      </c>
      <c r="C1" s="6" t="s">
        <v>2</v>
      </c>
      <c r="D1" s="7" t="s">
        <v>3</v>
      </c>
      <c r="E1" s="11" t="s">
        <v>109</v>
      </c>
      <c r="F1" s="12" t="s">
        <v>110</v>
      </c>
      <c r="G1" t="s">
        <v>175</v>
      </c>
      <c r="H1" t="s">
        <v>174</v>
      </c>
    </row>
    <row r="2" spans="1:8" hidden="1" x14ac:dyDescent="0.35">
      <c r="A2" t="s">
        <v>4</v>
      </c>
      <c r="B2">
        <v>2019</v>
      </c>
      <c r="C2" t="s">
        <v>5</v>
      </c>
      <c r="D2" t="s">
        <v>111</v>
      </c>
      <c r="E2" t="s">
        <v>112</v>
      </c>
      <c r="F2" t="s">
        <v>194</v>
      </c>
      <c r="G2" t="b">
        <f>IF(E2="Include", TRUE, FALSE)</f>
        <v>1</v>
      </c>
      <c r="H2" t="e">
        <f>VLOOKUP(A2,ID_Lookup!A:A,1,FALSE)</f>
        <v>#N/A</v>
      </c>
    </row>
    <row r="3" spans="1:8" hidden="1" x14ac:dyDescent="0.35">
      <c r="A3" t="s">
        <v>6</v>
      </c>
      <c r="B3">
        <v>2019</v>
      </c>
      <c r="C3" t="s">
        <v>7</v>
      </c>
      <c r="D3" t="s">
        <v>113</v>
      </c>
      <c r="E3" t="s">
        <v>173</v>
      </c>
      <c r="F3" t="s">
        <v>195</v>
      </c>
      <c r="G3" t="b">
        <f t="shared" ref="G3:G66" si="0">IF(E3="Include", TRUE, FALSE)</f>
        <v>0</v>
      </c>
      <c r="H3" t="e">
        <f>VLOOKUP(A3,ID_Lookup!A:A,1,FALSE)</f>
        <v>#N/A</v>
      </c>
    </row>
    <row r="4" spans="1:8" hidden="1" x14ac:dyDescent="0.35">
      <c r="A4" t="s">
        <v>8</v>
      </c>
      <c r="B4">
        <v>2019</v>
      </c>
      <c r="C4" t="s">
        <v>9</v>
      </c>
      <c r="D4" t="s">
        <v>114</v>
      </c>
      <c r="E4" t="s">
        <v>173</v>
      </c>
      <c r="F4" t="s">
        <v>195</v>
      </c>
      <c r="G4" t="b">
        <f t="shared" si="0"/>
        <v>0</v>
      </c>
      <c r="H4" t="e">
        <f>VLOOKUP(A4,ID_Lookup!A:A,1,FALSE)</f>
        <v>#N/A</v>
      </c>
    </row>
    <row r="5" spans="1:8" hidden="1" x14ac:dyDescent="0.35">
      <c r="A5" t="s">
        <v>10</v>
      </c>
      <c r="B5">
        <v>2019</v>
      </c>
      <c r="C5" t="s">
        <v>11</v>
      </c>
      <c r="D5" t="s">
        <v>115</v>
      </c>
      <c r="E5" t="s">
        <v>173</v>
      </c>
      <c r="F5" t="s">
        <v>195</v>
      </c>
      <c r="G5" t="b">
        <f t="shared" si="0"/>
        <v>0</v>
      </c>
      <c r="H5" t="e">
        <f>VLOOKUP(A5,ID_Lookup!A:A,1,FALSE)</f>
        <v>#N/A</v>
      </c>
    </row>
    <row r="6" spans="1:8" hidden="1" x14ac:dyDescent="0.35">
      <c r="A6" t="s">
        <v>12</v>
      </c>
      <c r="B6">
        <v>2019</v>
      </c>
      <c r="C6" t="s">
        <v>13</v>
      </c>
      <c r="D6" t="s">
        <v>116</v>
      </c>
      <c r="E6" t="s">
        <v>112</v>
      </c>
      <c r="F6" t="s">
        <v>196</v>
      </c>
      <c r="G6" t="b">
        <f t="shared" si="0"/>
        <v>1</v>
      </c>
      <c r="H6" t="e">
        <f>VLOOKUP(A6,ID_Lookup!A:A,1,FALSE)</f>
        <v>#N/A</v>
      </c>
    </row>
    <row r="7" spans="1:8" x14ac:dyDescent="0.35">
      <c r="A7" t="s">
        <v>14</v>
      </c>
      <c r="B7">
        <v>2019</v>
      </c>
      <c r="C7" t="s">
        <v>15</v>
      </c>
      <c r="D7" t="s">
        <v>117</v>
      </c>
      <c r="E7" t="s">
        <v>173</v>
      </c>
      <c r="F7" t="s">
        <v>195</v>
      </c>
      <c r="G7" t="b">
        <f t="shared" si="0"/>
        <v>0</v>
      </c>
      <c r="H7" t="str">
        <f>VLOOKUP(A7,ID_Lookup!A:A,1,FALSE)</f>
        <v>J505</v>
      </c>
    </row>
    <row r="8" spans="1:8" hidden="1" x14ac:dyDescent="0.35">
      <c r="A8" t="s">
        <v>16</v>
      </c>
      <c r="B8">
        <v>2019</v>
      </c>
      <c r="C8" t="s">
        <v>17</v>
      </c>
      <c r="D8" t="s">
        <v>118</v>
      </c>
      <c r="E8" t="s">
        <v>173</v>
      </c>
      <c r="F8" t="s">
        <v>195</v>
      </c>
      <c r="G8" t="b">
        <f t="shared" si="0"/>
        <v>0</v>
      </c>
      <c r="H8" t="e">
        <f>VLOOKUP(A8,ID_Lookup!A:A,1,FALSE)</f>
        <v>#N/A</v>
      </c>
    </row>
    <row r="9" spans="1:8" hidden="1" x14ac:dyDescent="0.35">
      <c r="A9" t="s">
        <v>18</v>
      </c>
      <c r="B9">
        <v>2019</v>
      </c>
      <c r="C9" t="s">
        <v>119</v>
      </c>
      <c r="D9" t="s">
        <v>120</v>
      </c>
      <c r="E9" t="s">
        <v>173</v>
      </c>
      <c r="F9" t="s">
        <v>195</v>
      </c>
      <c r="G9" t="b">
        <f t="shared" si="0"/>
        <v>0</v>
      </c>
      <c r="H9" t="e">
        <f>VLOOKUP(A9,ID_Lookup!A:A,1,FALSE)</f>
        <v>#N/A</v>
      </c>
    </row>
    <row r="10" spans="1:8" hidden="1" x14ac:dyDescent="0.35">
      <c r="A10" t="s">
        <v>19</v>
      </c>
      <c r="B10">
        <v>2019</v>
      </c>
      <c r="C10" t="s">
        <v>20</v>
      </c>
      <c r="D10" t="s">
        <v>121</v>
      </c>
      <c r="E10" t="s">
        <v>173</v>
      </c>
      <c r="F10" t="s">
        <v>195</v>
      </c>
      <c r="G10" t="b">
        <f t="shared" si="0"/>
        <v>0</v>
      </c>
      <c r="H10" t="e">
        <f>VLOOKUP(A10,ID_Lookup!A:A,1,FALSE)</f>
        <v>#N/A</v>
      </c>
    </row>
    <row r="11" spans="1:8" hidden="1" x14ac:dyDescent="0.35">
      <c r="A11" t="s">
        <v>21</v>
      </c>
      <c r="B11">
        <v>2019</v>
      </c>
      <c r="C11" t="s">
        <v>22</v>
      </c>
      <c r="D11" t="s">
        <v>122</v>
      </c>
      <c r="E11" t="s">
        <v>173</v>
      </c>
      <c r="F11" t="s">
        <v>195</v>
      </c>
      <c r="G11" t="b">
        <f t="shared" si="0"/>
        <v>0</v>
      </c>
      <c r="H11" t="e">
        <f>VLOOKUP(A11,ID_Lookup!A:A,1,FALSE)</f>
        <v>#N/A</v>
      </c>
    </row>
    <row r="12" spans="1:8" hidden="1" x14ac:dyDescent="0.35">
      <c r="A12" t="s">
        <v>23</v>
      </c>
      <c r="B12">
        <v>2019</v>
      </c>
      <c r="C12" t="s">
        <v>123</v>
      </c>
      <c r="D12" t="s">
        <v>124</v>
      </c>
      <c r="E12" t="s">
        <v>112</v>
      </c>
      <c r="F12" t="s">
        <v>197</v>
      </c>
      <c r="G12" t="b">
        <f t="shared" si="0"/>
        <v>1</v>
      </c>
      <c r="H12" t="e">
        <f>VLOOKUP(A12,ID_Lookup!A:A,1,FALSE)</f>
        <v>#N/A</v>
      </c>
    </row>
    <row r="13" spans="1:8" hidden="1" x14ac:dyDescent="0.35">
      <c r="A13" t="s">
        <v>24</v>
      </c>
      <c r="B13">
        <v>2019</v>
      </c>
      <c r="C13" t="s">
        <v>25</v>
      </c>
      <c r="D13" t="s">
        <v>26</v>
      </c>
      <c r="E13" t="s">
        <v>173</v>
      </c>
      <c r="F13" t="s">
        <v>198</v>
      </c>
      <c r="G13" t="b">
        <f t="shared" si="0"/>
        <v>0</v>
      </c>
      <c r="H13" t="e">
        <f>VLOOKUP(A13,ID_Lookup!A:A,1,FALSE)</f>
        <v>#N/A</v>
      </c>
    </row>
    <row r="14" spans="1:8" hidden="1" x14ac:dyDescent="0.35">
      <c r="A14" s="8" t="s">
        <v>27</v>
      </c>
      <c r="B14" s="8">
        <v>2019</v>
      </c>
      <c r="C14" s="8" t="s">
        <v>28</v>
      </c>
      <c r="D14" s="8" t="s">
        <v>29</v>
      </c>
      <c r="E14" t="s">
        <v>173</v>
      </c>
      <c r="F14" t="s">
        <v>198</v>
      </c>
      <c r="G14" t="b">
        <f t="shared" si="0"/>
        <v>0</v>
      </c>
      <c r="H14" t="e">
        <f>VLOOKUP(A14,ID_Lookup!A:A,1,FALSE)</f>
        <v>#N/A</v>
      </c>
    </row>
    <row r="15" spans="1:8" hidden="1" x14ac:dyDescent="0.35">
      <c r="A15" t="s">
        <v>30</v>
      </c>
      <c r="B15">
        <v>2019</v>
      </c>
      <c r="C15" t="s">
        <v>125</v>
      </c>
      <c r="D15" t="s">
        <v>126</v>
      </c>
      <c r="E15" t="s">
        <v>173</v>
      </c>
      <c r="F15" t="s">
        <v>199</v>
      </c>
      <c r="G15" t="b">
        <f t="shared" si="0"/>
        <v>0</v>
      </c>
      <c r="H15" t="e">
        <f>VLOOKUP(A15,ID_Lookup!A:A,1,FALSE)</f>
        <v>#N/A</v>
      </c>
    </row>
    <row r="16" spans="1:8" hidden="1" x14ac:dyDescent="0.35">
      <c r="A16" t="s">
        <v>31</v>
      </c>
      <c r="B16">
        <v>2019</v>
      </c>
      <c r="C16" t="s">
        <v>127</v>
      </c>
      <c r="D16" t="s">
        <v>128</v>
      </c>
      <c r="E16" t="s">
        <v>173</v>
      </c>
      <c r="F16" t="s">
        <v>195</v>
      </c>
      <c r="G16" t="b">
        <f t="shared" si="0"/>
        <v>0</v>
      </c>
      <c r="H16" t="e">
        <f>VLOOKUP(A16,ID_Lookup!A:A,1,FALSE)</f>
        <v>#N/A</v>
      </c>
    </row>
    <row r="17" spans="1:8" hidden="1" x14ac:dyDescent="0.35">
      <c r="A17" t="s">
        <v>32</v>
      </c>
      <c r="B17">
        <v>2019</v>
      </c>
      <c r="C17" t="s">
        <v>33</v>
      </c>
      <c r="D17" t="s">
        <v>129</v>
      </c>
      <c r="E17" t="s">
        <v>112</v>
      </c>
      <c r="F17" t="s">
        <v>200</v>
      </c>
      <c r="G17" t="b">
        <f t="shared" si="0"/>
        <v>1</v>
      </c>
      <c r="H17" t="e">
        <f>VLOOKUP(A17,ID_Lookup!A:A,1,FALSE)</f>
        <v>#N/A</v>
      </c>
    </row>
    <row r="18" spans="1:8" hidden="1" x14ac:dyDescent="0.35">
      <c r="A18" t="s">
        <v>34</v>
      </c>
      <c r="B18">
        <v>2019</v>
      </c>
      <c r="C18" t="s">
        <v>35</v>
      </c>
      <c r="D18" t="s">
        <v>130</v>
      </c>
      <c r="E18" t="s">
        <v>173</v>
      </c>
      <c r="F18" t="s">
        <v>195</v>
      </c>
      <c r="G18" t="b">
        <f t="shared" si="0"/>
        <v>0</v>
      </c>
      <c r="H18" t="e">
        <f>VLOOKUP(A18,ID_Lookup!A:A,1,FALSE)</f>
        <v>#N/A</v>
      </c>
    </row>
    <row r="19" spans="1:8" s="2" customFormat="1" hidden="1" x14ac:dyDescent="0.35">
      <c r="A19" t="s">
        <v>36</v>
      </c>
      <c r="B19">
        <v>2019</v>
      </c>
      <c r="C19" t="s">
        <v>37</v>
      </c>
      <c r="D19" t="s">
        <v>131</v>
      </c>
      <c r="E19" t="s">
        <v>173</v>
      </c>
      <c r="F19" t="s">
        <v>195</v>
      </c>
      <c r="G19" t="b">
        <f t="shared" si="0"/>
        <v>0</v>
      </c>
      <c r="H19" t="e">
        <f>VLOOKUP(A19,ID_Lookup!A:A,1,FALSE)</f>
        <v>#N/A</v>
      </c>
    </row>
    <row r="20" spans="1:8" hidden="1" x14ac:dyDescent="0.35">
      <c r="A20" t="s">
        <v>38</v>
      </c>
      <c r="B20">
        <v>2019</v>
      </c>
      <c r="C20" t="s">
        <v>39</v>
      </c>
      <c r="D20" t="s">
        <v>132</v>
      </c>
      <c r="E20" t="s">
        <v>173</v>
      </c>
      <c r="F20" t="s">
        <v>195</v>
      </c>
      <c r="G20" t="b">
        <f t="shared" si="0"/>
        <v>0</v>
      </c>
      <c r="H20" t="e">
        <f>VLOOKUP(A20,ID_Lookup!A:A,1,FALSE)</f>
        <v>#N/A</v>
      </c>
    </row>
    <row r="21" spans="1:8" hidden="1" x14ac:dyDescent="0.35">
      <c r="A21" t="s">
        <v>40</v>
      </c>
      <c r="B21">
        <v>2019</v>
      </c>
      <c r="C21" t="s">
        <v>41</v>
      </c>
      <c r="D21" t="s">
        <v>133</v>
      </c>
      <c r="E21" t="s">
        <v>173</v>
      </c>
      <c r="F21" t="s">
        <v>195</v>
      </c>
      <c r="G21" t="b">
        <f t="shared" si="0"/>
        <v>0</v>
      </c>
      <c r="H21" t="e">
        <f>VLOOKUP(A21,ID_Lookup!A:A,1,FALSE)</f>
        <v>#N/A</v>
      </c>
    </row>
    <row r="22" spans="1:8" hidden="1" x14ac:dyDescent="0.35">
      <c r="A22" t="s">
        <v>42</v>
      </c>
      <c r="B22">
        <v>2019</v>
      </c>
      <c r="C22" t="s">
        <v>43</v>
      </c>
      <c r="D22" t="s">
        <v>44</v>
      </c>
      <c r="E22" t="s">
        <v>112</v>
      </c>
      <c r="F22" t="s">
        <v>201</v>
      </c>
      <c r="G22" t="b">
        <f t="shared" si="0"/>
        <v>1</v>
      </c>
      <c r="H22" t="e">
        <f>VLOOKUP(A22,ID_Lookup!A:A,1,FALSE)</f>
        <v>#N/A</v>
      </c>
    </row>
    <row r="23" spans="1:8" hidden="1" x14ac:dyDescent="0.35">
      <c r="A23" t="s">
        <v>45</v>
      </c>
      <c r="B23">
        <v>2019</v>
      </c>
      <c r="C23" t="s">
        <v>46</v>
      </c>
      <c r="D23" t="s">
        <v>134</v>
      </c>
      <c r="E23" t="s">
        <v>173</v>
      </c>
      <c r="F23" t="s">
        <v>195</v>
      </c>
      <c r="G23" t="b">
        <f t="shared" si="0"/>
        <v>0</v>
      </c>
      <c r="H23" t="e">
        <f>VLOOKUP(A23,ID_Lookup!A:A,1,FALSE)</f>
        <v>#N/A</v>
      </c>
    </row>
    <row r="24" spans="1:8" hidden="1" x14ac:dyDescent="0.35">
      <c r="A24" t="s">
        <v>47</v>
      </c>
      <c r="B24">
        <v>2019</v>
      </c>
      <c r="C24" t="s">
        <v>48</v>
      </c>
      <c r="D24" t="s">
        <v>135</v>
      </c>
      <c r="E24" t="s">
        <v>173</v>
      </c>
      <c r="F24" t="s">
        <v>202</v>
      </c>
      <c r="G24" t="b">
        <f t="shared" si="0"/>
        <v>0</v>
      </c>
      <c r="H24" t="e">
        <f>VLOOKUP(A24,ID_Lookup!A:A,1,FALSE)</f>
        <v>#N/A</v>
      </c>
    </row>
    <row r="25" spans="1:8" hidden="1" x14ac:dyDescent="0.35">
      <c r="A25" t="s">
        <v>49</v>
      </c>
      <c r="B25">
        <v>2019</v>
      </c>
      <c r="C25" t="s">
        <v>136</v>
      </c>
      <c r="D25" t="s">
        <v>137</v>
      </c>
      <c r="E25" t="s">
        <v>173</v>
      </c>
      <c r="F25" t="s">
        <v>195</v>
      </c>
      <c r="G25" t="b">
        <f t="shared" si="0"/>
        <v>0</v>
      </c>
      <c r="H25" t="e">
        <f>VLOOKUP(A25,ID_Lookup!A:A,1,FALSE)</f>
        <v>#N/A</v>
      </c>
    </row>
    <row r="26" spans="1:8" hidden="1" x14ac:dyDescent="0.35">
      <c r="A26" t="s">
        <v>50</v>
      </c>
      <c r="B26">
        <v>2019</v>
      </c>
      <c r="C26" t="s">
        <v>138</v>
      </c>
      <c r="D26" t="s">
        <v>139</v>
      </c>
      <c r="E26" t="s">
        <v>173</v>
      </c>
      <c r="F26" t="s">
        <v>195</v>
      </c>
      <c r="G26" t="b">
        <f t="shared" si="0"/>
        <v>0</v>
      </c>
      <c r="H26" t="e">
        <f>VLOOKUP(A26,ID_Lookup!A:A,1,FALSE)</f>
        <v>#N/A</v>
      </c>
    </row>
    <row r="27" spans="1:8" hidden="1" x14ac:dyDescent="0.35">
      <c r="A27" t="s">
        <v>51</v>
      </c>
      <c r="B27">
        <v>2019</v>
      </c>
      <c r="C27" t="s">
        <v>52</v>
      </c>
      <c r="D27" t="s">
        <v>53</v>
      </c>
      <c r="E27" t="s">
        <v>173</v>
      </c>
      <c r="F27" t="s">
        <v>195</v>
      </c>
      <c r="G27" t="b">
        <f t="shared" si="0"/>
        <v>0</v>
      </c>
      <c r="H27" t="e">
        <f>VLOOKUP(A27,ID_Lookup!A:A,1,FALSE)</f>
        <v>#N/A</v>
      </c>
    </row>
    <row r="28" spans="1:8" hidden="1" x14ac:dyDescent="0.35">
      <c r="A28" t="s">
        <v>54</v>
      </c>
      <c r="B28">
        <v>2019</v>
      </c>
      <c r="C28" t="s">
        <v>55</v>
      </c>
      <c r="D28" t="s">
        <v>56</v>
      </c>
      <c r="E28" t="s">
        <v>173</v>
      </c>
      <c r="F28" t="s">
        <v>195</v>
      </c>
      <c r="G28" t="b">
        <f t="shared" si="0"/>
        <v>0</v>
      </c>
      <c r="H28" t="e">
        <f>VLOOKUP(A28,ID_Lookup!A:A,1,FALSE)</f>
        <v>#N/A</v>
      </c>
    </row>
    <row r="29" spans="1:8" hidden="1" x14ac:dyDescent="0.35">
      <c r="A29" t="s">
        <v>57</v>
      </c>
      <c r="B29">
        <v>2019</v>
      </c>
      <c r="C29" t="s">
        <v>58</v>
      </c>
      <c r="D29" t="s">
        <v>140</v>
      </c>
      <c r="E29" t="s">
        <v>173</v>
      </c>
      <c r="F29" t="s">
        <v>195</v>
      </c>
      <c r="G29" t="b">
        <f t="shared" si="0"/>
        <v>0</v>
      </c>
      <c r="H29" t="e">
        <f>VLOOKUP(A29,ID_Lookup!A:A,1,FALSE)</f>
        <v>#N/A</v>
      </c>
    </row>
    <row r="30" spans="1:8" hidden="1" x14ac:dyDescent="0.35">
      <c r="A30" t="s">
        <v>59</v>
      </c>
      <c r="B30">
        <v>2019</v>
      </c>
      <c r="C30" t="s">
        <v>141</v>
      </c>
      <c r="D30" t="s">
        <v>142</v>
      </c>
      <c r="E30" t="s">
        <v>173</v>
      </c>
      <c r="F30" t="s">
        <v>195</v>
      </c>
      <c r="G30" t="b">
        <f t="shared" si="0"/>
        <v>0</v>
      </c>
      <c r="H30" t="e">
        <f>VLOOKUP(A30,ID_Lookup!A:A,1,FALSE)</f>
        <v>#N/A</v>
      </c>
    </row>
    <row r="31" spans="1:8" hidden="1" x14ac:dyDescent="0.35">
      <c r="A31" t="s">
        <v>60</v>
      </c>
      <c r="B31">
        <v>2019</v>
      </c>
      <c r="C31" t="s">
        <v>61</v>
      </c>
      <c r="D31" t="s">
        <v>143</v>
      </c>
      <c r="E31" t="s">
        <v>173</v>
      </c>
      <c r="F31" t="s">
        <v>203</v>
      </c>
      <c r="G31" t="b">
        <f t="shared" si="0"/>
        <v>0</v>
      </c>
      <c r="H31" t="e">
        <f>VLOOKUP(A31,ID_Lookup!A:A,1,FALSE)</f>
        <v>#N/A</v>
      </c>
    </row>
    <row r="32" spans="1:8" hidden="1" x14ac:dyDescent="0.35">
      <c r="A32" t="s">
        <v>62</v>
      </c>
      <c r="B32">
        <v>2019</v>
      </c>
      <c r="C32" t="s">
        <v>63</v>
      </c>
      <c r="D32" t="s">
        <v>144</v>
      </c>
      <c r="E32" t="s">
        <v>173</v>
      </c>
      <c r="F32" t="s">
        <v>195</v>
      </c>
      <c r="G32" t="b">
        <f t="shared" si="0"/>
        <v>0</v>
      </c>
      <c r="H32" t="e">
        <f>VLOOKUP(A32,ID_Lookup!A:A,1,FALSE)</f>
        <v>#N/A</v>
      </c>
    </row>
    <row r="33" spans="1:8" hidden="1" x14ac:dyDescent="0.35">
      <c r="A33" t="s">
        <v>64</v>
      </c>
      <c r="B33">
        <v>2019</v>
      </c>
      <c r="C33" t="s">
        <v>65</v>
      </c>
      <c r="D33" t="s">
        <v>145</v>
      </c>
      <c r="E33" t="s">
        <v>173</v>
      </c>
      <c r="F33" t="s">
        <v>195</v>
      </c>
      <c r="G33" t="b">
        <f t="shared" si="0"/>
        <v>0</v>
      </c>
      <c r="H33" t="e">
        <f>VLOOKUP(A33,ID_Lookup!A:A,1,FALSE)</f>
        <v>#N/A</v>
      </c>
    </row>
    <row r="34" spans="1:8" hidden="1" x14ac:dyDescent="0.35">
      <c r="A34" t="s">
        <v>66</v>
      </c>
      <c r="B34">
        <v>2019</v>
      </c>
      <c r="C34" t="s">
        <v>67</v>
      </c>
      <c r="D34" t="s">
        <v>68</v>
      </c>
      <c r="E34" t="s">
        <v>173</v>
      </c>
      <c r="F34" t="s">
        <v>195</v>
      </c>
      <c r="G34" t="b">
        <f t="shared" si="0"/>
        <v>0</v>
      </c>
      <c r="H34" t="e">
        <f>VLOOKUP(A34,ID_Lookup!A:A,1,FALSE)</f>
        <v>#N/A</v>
      </c>
    </row>
    <row r="35" spans="1:8" hidden="1" x14ac:dyDescent="0.35">
      <c r="A35" t="s">
        <v>69</v>
      </c>
      <c r="B35">
        <v>2019</v>
      </c>
      <c r="C35" t="s">
        <v>70</v>
      </c>
      <c r="D35" t="s">
        <v>146</v>
      </c>
      <c r="E35" t="s">
        <v>173</v>
      </c>
      <c r="F35" t="s">
        <v>204</v>
      </c>
      <c r="G35" t="b">
        <f t="shared" si="0"/>
        <v>0</v>
      </c>
      <c r="H35" t="e">
        <f>VLOOKUP(A35,ID_Lookup!A:A,1,FALSE)</f>
        <v>#N/A</v>
      </c>
    </row>
    <row r="36" spans="1:8" ht="409.5" hidden="1" x14ac:dyDescent="0.35">
      <c r="A36" t="s">
        <v>71</v>
      </c>
      <c r="B36">
        <v>2019</v>
      </c>
      <c r="C36" t="s">
        <v>72</v>
      </c>
      <c r="D36" s="1" t="s">
        <v>73</v>
      </c>
      <c r="E36" t="s">
        <v>173</v>
      </c>
      <c r="F36" t="s">
        <v>195</v>
      </c>
      <c r="G36" t="b">
        <f t="shared" si="0"/>
        <v>0</v>
      </c>
      <c r="H36" t="e">
        <f>VLOOKUP(A36,ID_Lookup!A:A,1,FALSE)</f>
        <v>#N/A</v>
      </c>
    </row>
    <row r="37" spans="1:8" x14ac:dyDescent="0.35">
      <c r="A37" t="s">
        <v>74</v>
      </c>
      <c r="B37">
        <v>2019</v>
      </c>
      <c r="C37" t="s">
        <v>75</v>
      </c>
      <c r="D37" t="s">
        <v>147</v>
      </c>
      <c r="E37" t="s">
        <v>173</v>
      </c>
      <c r="F37" t="s">
        <v>195</v>
      </c>
      <c r="G37" t="b">
        <f t="shared" si="0"/>
        <v>0</v>
      </c>
      <c r="H37" t="str">
        <f>VLOOKUP(A37,ID_Lookup!A:A,1,FALSE)</f>
        <v>J535</v>
      </c>
    </row>
    <row r="38" spans="1:8" hidden="1" x14ac:dyDescent="0.35">
      <c r="A38" t="s">
        <v>76</v>
      </c>
      <c r="B38">
        <v>2019</v>
      </c>
      <c r="C38" t="s">
        <v>77</v>
      </c>
      <c r="D38" t="s">
        <v>148</v>
      </c>
      <c r="E38" t="s">
        <v>112</v>
      </c>
      <c r="F38" t="s">
        <v>200</v>
      </c>
      <c r="G38" t="b">
        <f t="shared" si="0"/>
        <v>1</v>
      </c>
      <c r="H38" t="e">
        <f>VLOOKUP(A38,ID_Lookup!A:A,1,FALSE)</f>
        <v>#N/A</v>
      </c>
    </row>
    <row r="39" spans="1:8" hidden="1" x14ac:dyDescent="0.35">
      <c r="A39" t="s">
        <v>78</v>
      </c>
      <c r="B39">
        <v>2019</v>
      </c>
      <c r="C39" t="s">
        <v>79</v>
      </c>
      <c r="D39" t="s">
        <v>149</v>
      </c>
      <c r="E39" t="s">
        <v>173</v>
      </c>
      <c r="F39" t="s">
        <v>205</v>
      </c>
      <c r="G39" t="b">
        <f t="shared" si="0"/>
        <v>0</v>
      </c>
      <c r="H39" t="e">
        <f>VLOOKUP(A39,ID_Lookup!A:A,1,FALSE)</f>
        <v>#N/A</v>
      </c>
    </row>
    <row r="40" spans="1:8" hidden="1" x14ac:dyDescent="0.35">
      <c r="A40" t="s">
        <v>80</v>
      </c>
      <c r="B40">
        <v>2019</v>
      </c>
      <c r="C40" t="s">
        <v>81</v>
      </c>
      <c r="D40" t="s">
        <v>150</v>
      </c>
      <c r="E40" t="s">
        <v>173</v>
      </c>
      <c r="F40" t="s">
        <v>195</v>
      </c>
      <c r="G40" t="b">
        <f t="shared" si="0"/>
        <v>0</v>
      </c>
      <c r="H40" t="e">
        <f>VLOOKUP(A40,ID_Lookup!A:A,1,FALSE)</f>
        <v>#N/A</v>
      </c>
    </row>
    <row r="41" spans="1:8" hidden="1" x14ac:dyDescent="0.35">
      <c r="A41" t="s">
        <v>82</v>
      </c>
      <c r="B41">
        <v>2019</v>
      </c>
      <c r="C41" t="s">
        <v>151</v>
      </c>
      <c r="D41" t="s">
        <v>152</v>
      </c>
      <c r="E41" t="s">
        <v>173</v>
      </c>
      <c r="F41" t="s">
        <v>206</v>
      </c>
      <c r="G41" t="b">
        <f t="shared" si="0"/>
        <v>0</v>
      </c>
      <c r="H41" t="e">
        <f>VLOOKUP(A41,ID_Lookup!A:A,1,FALSE)</f>
        <v>#N/A</v>
      </c>
    </row>
    <row r="42" spans="1:8" hidden="1" x14ac:dyDescent="0.35">
      <c r="A42" t="s">
        <v>83</v>
      </c>
      <c r="B42">
        <v>2019</v>
      </c>
      <c r="C42" t="s">
        <v>84</v>
      </c>
      <c r="D42" t="s">
        <v>153</v>
      </c>
      <c r="E42" t="s">
        <v>173</v>
      </c>
      <c r="F42" t="s">
        <v>195</v>
      </c>
      <c r="G42" t="b">
        <f t="shared" si="0"/>
        <v>0</v>
      </c>
      <c r="H42" t="e">
        <f>VLOOKUP(A42,ID_Lookup!A:A,1,FALSE)</f>
        <v>#N/A</v>
      </c>
    </row>
    <row r="43" spans="1:8" ht="409.5" hidden="1" x14ac:dyDescent="0.35">
      <c r="A43" t="s">
        <v>85</v>
      </c>
      <c r="B43">
        <v>2019</v>
      </c>
      <c r="C43" t="s">
        <v>86</v>
      </c>
      <c r="D43" s="1" t="s">
        <v>87</v>
      </c>
      <c r="E43" t="s">
        <v>173</v>
      </c>
      <c r="F43" t="s">
        <v>195</v>
      </c>
      <c r="G43" t="b">
        <f t="shared" si="0"/>
        <v>0</v>
      </c>
      <c r="H43" t="e">
        <f>VLOOKUP(A43,ID_Lookup!A:A,1,FALSE)</f>
        <v>#N/A</v>
      </c>
    </row>
    <row r="44" spans="1:8" hidden="1" x14ac:dyDescent="0.35">
      <c r="A44" t="s">
        <v>88</v>
      </c>
      <c r="B44">
        <v>2019</v>
      </c>
      <c r="C44" t="s">
        <v>154</v>
      </c>
      <c r="D44" t="s">
        <v>155</v>
      </c>
      <c r="E44" t="s">
        <v>173</v>
      </c>
      <c r="F44" t="s">
        <v>195</v>
      </c>
      <c r="G44" t="b">
        <f t="shared" si="0"/>
        <v>0</v>
      </c>
      <c r="H44" t="e">
        <f>VLOOKUP(A44,ID_Lookup!A:A,1,FALSE)</f>
        <v>#N/A</v>
      </c>
    </row>
    <row r="45" spans="1:8" hidden="1" x14ac:dyDescent="0.35">
      <c r="A45" t="s">
        <v>89</v>
      </c>
      <c r="B45">
        <v>2019</v>
      </c>
      <c r="C45" t="s">
        <v>90</v>
      </c>
      <c r="D45" t="s">
        <v>156</v>
      </c>
      <c r="E45" t="s">
        <v>173</v>
      </c>
      <c r="F45" t="s">
        <v>207</v>
      </c>
      <c r="G45" t="b">
        <f t="shared" si="0"/>
        <v>0</v>
      </c>
      <c r="H45" t="e">
        <f>VLOOKUP(A45,ID_Lookup!A:A,1,FALSE)</f>
        <v>#N/A</v>
      </c>
    </row>
    <row r="46" spans="1:8" hidden="1" x14ac:dyDescent="0.35">
      <c r="A46" t="s">
        <v>91</v>
      </c>
      <c r="B46">
        <v>2019</v>
      </c>
      <c r="C46" t="s">
        <v>92</v>
      </c>
      <c r="D46" t="s">
        <v>93</v>
      </c>
      <c r="E46" t="s">
        <v>173</v>
      </c>
      <c r="F46" t="s">
        <v>195</v>
      </c>
      <c r="G46" t="b">
        <f t="shared" si="0"/>
        <v>0</v>
      </c>
      <c r="H46" t="e">
        <f>VLOOKUP(A46,ID_Lookup!A:A,1,FALSE)</f>
        <v>#N/A</v>
      </c>
    </row>
    <row r="47" spans="1:8" x14ac:dyDescent="0.35">
      <c r="A47" t="s">
        <v>94</v>
      </c>
      <c r="B47">
        <v>2019</v>
      </c>
      <c r="C47" t="s">
        <v>95</v>
      </c>
      <c r="D47" t="s">
        <v>96</v>
      </c>
      <c r="E47" t="s">
        <v>173</v>
      </c>
      <c r="F47" t="s">
        <v>208</v>
      </c>
      <c r="G47" t="b">
        <f t="shared" si="0"/>
        <v>0</v>
      </c>
      <c r="H47" t="str">
        <f>VLOOKUP(A47,ID_Lookup!A:A,1,FALSE)</f>
        <v>J545</v>
      </c>
    </row>
    <row r="48" spans="1:8" hidden="1" x14ac:dyDescent="0.35">
      <c r="A48" t="s">
        <v>97</v>
      </c>
      <c r="B48">
        <v>2019</v>
      </c>
      <c r="C48" t="s">
        <v>98</v>
      </c>
      <c r="D48" t="s">
        <v>157</v>
      </c>
      <c r="E48" t="s">
        <v>173</v>
      </c>
      <c r="F48" t="s">
        <v>209</v>
      </c>
      <c r="G48" t="b">
        <f t="shared" si="0"/>
        <v>0</v>
      </c>
      <c r="H48" t="e">
        <f>VLOOKUP(A48,ID_Lookup!A:A,1,FALSE)</f>
        <v>#N/A</v>
      </c>
    </row>
    <row r="49" spans="1:8" x14ac:dyDescent="0.35">
      <c r="A49" t="s">
        <v>99</v>
      </c>
      <c r="B49">
        <v>2019</v>
      </c>
      <c r="C49" t="s">
        <v>100</v>
      </c>
      <c r="D49" t="s">
        <v>101</v>
      </c>
      <c r="E49" t="s">
        <v>112</v>
      </c>
      <c r="F49" t="s">
        <v>200</v>
      </c>
      <c r="G49" t="b">
        <f t="shared" si="0"/>
        <v>1</v>
      </c>
      <c r="H49" t="str">
        <f>VLOOKUP(A49,ID_Lookup!A:A,1,FALSE)</f>
        <v>J547</v>
      </c>
    </row>
    <row r="50" spans="1:8" hidden="1" x14ac:dyDescent="0.35">
      <c r="A50" t="s">
        <v>102</v>
      </c>
      <c r="B50">
        <v>2019</v>
      </c>
      <c r="C50" t="s">
        <v>158</v>
      </c>
      <c r="D50" t="s">
        <v>159</v>
      </c>
      <c r="E50" t="s">
        <v>173</v>
      </c>
      <c r="F50" t="s">
        <v>195</v>
      </c>
      <c r="G50" t="b">
        <f t="shared" si="0"/>
        <v>0</v>
      </c>
      <c r="H50" t="e">
        <f>VLOOKUP(A50,ID_Lookup!A:A,1,FALSE)</f>
        <v>#N/A</v>
      </c>
    </row>
    <row r="51" spans="1:8" hidden="1" x14ac:dyDescent="0.35">
      <c r="A51" t="s">
        <v>103</v>
      </c>
      <c r="B51">
        <v>2019</v>
      </c>
      <c r="C51" t="s">
        <v>104</v>
      </c>
      <c r="D51" t="s">
        <v>105</v>
      </c>
      <c r="E51" t="s">
        <v>112</v>
      </c>
      <c r="F51" t="s">
        <v>200</v>
      </c>
      <c r="G51" t="b">
        <f t="shared" si="0"/>
        <v>1</v>
      </c>
      <c r="H51" t="e">
        <f>VLOOKUP(A51,ID_Lookup!A:A,1,FALSE)</f>
        <v>#N/A</v>
      </c>
    </row>
    <row r="52" spans="1:8" hidden="1" x14ac:dyDescent="0.35">
      <c r="A52" t="s">
        <v>106</v>
      </c>
      <c r="B52">
        <v>2019</v>
      </c>
      <c r="C52" t="s">
        <v>107</v>
      </c>
      <c r="D52" t="s">
        <v>160</v>
      </c>
      <c r="E52" t="s">
        <v>173</v>
      </c>
      <c r="F52" t="s">
        <v>195</v>
      </c>
      <c r="G52" t="b">
        <f t="shared" si="0"/>
        <v>0</v>
      </c>
      <c r="H52" t="e">
        <f>VLOOKUP(A52,ID_Lookup!A:A,1,FALSE)</f>
        <v>#N/A</v>
      </c>
    </row>
    <row r="53" spans="1:8" hidden="1" x14ac:dyDescent="0.35">
      <c r="A53" t="s">
        <v>261</v>
      </c>
      <c r="B53">
        <v>2019</v>
      </c>
      <c r="C53" t="s">
        <v>262</v>
      </c>
      <c r="D53" t="s">
        <v>263</v>
      </c>
      <c r="E53" t="s">
        <v>173</v>
      </c>
      <c r="F53" t="s">
        <v>195</v>
      </c>
      <c r="G53" t="b">
        <f t="shared" si="0"/>
        <v>0</v>
      </c>
      <c r="H53" t="e">
        <f>VLOOKUP(A53,ID_Lookup!A:A,1,FALSE)</f>
        <v>#N/A</v>
      </c>
    </row>
    <row r="54" spans="1:8" x14ac:dyDescent="0.35">
      <c r="A54" t="s">
        <v>211</v>
      </c>
      <c r="B54">
        <v>2019</v>
      </c>
      <c r="C54" t="s">
        <v>264</v>
      </c>
      <c r="D54" t="s">
        <v>265</v>
      </c>
      <c r="E54" t="s">
        <v>173</v>
      </c>
      <c r="F54" t="s">
        <v>195</v>
      </c>
      <c r="G54" t="b">
        <f t="shared" si="0"/>
        <v>0</v>
      </c>
      <c r="H54" t="str">
        <f>VLOOKUP(A54,ID_Lookup!A:A,1,FALSE)</f>
        <v>J552</v>
      </c>
    </row>
    <row r="55" spans="1:8" hidden="1" x14ac:dyDescent="0.35">
      <c r="A55" t="s">
        <v>266</v>
      </c>
      <c r="B55">
        <v>2019</v>
      </c>
      <c r="C55" t="s">
        <v>267</v>
      </c>
      <c r="D55" t="s">
        <v>268</v>
      </c>
      <c r="E55" t="s">
        <v>173</v>
      </c>
      <c r="F55" t="s">
        <v>195</v>
      </c>
      <c r="G55" t="b">
        <f t="shared" si="0"/>
        <v>0</v>
      </c>
      <c r="H55" t="e">
        <f>VLOOKUP(A55,ID_Lookup!A:A,1,FALSE)</f>
        <v>#N/A</v>
      </c>
    </row>
    <row r="56" spans="1:8" hidden="1" x14ac:dyDescent="0.35">
      <c r="A56" t="s">
        <v>269</v>
      </c>
      <c r="B56">
        <v>2019</v>
      </c>
      <c r="C56" t="s">
        <v>270</v>
      </c>
      <c r="D56" t="s">
        <v>271</v>
      </c>
      <c r="E56" t="s">
        <v>173</v>
      </c>
      <c r="F56" t="s">
        <v>198</v>
      </c>
      <c r="G56" t="b">
        <f t="shared" si="0"/>
        <v>0</v>
      </c>
      <c r="H56" t="e">
        <f>VLOOKUP(A56,ID_Lookup!A:A,1,FALSE)</f>
        <v>#N/A</v>
      </c>
    </row>
    <row r="57" spans="1:8" hidden="1" x14ac:dyDescent="0.35">
      <c r="A57" t="s">
        <v>272</v>
      </c>
      <c r="B57">
        <v>2019</v>
      </c>
      <c r="C57" t="s">
        <v>273</v>
      </c>
      <c r="D57" t="s">
        <v>274</v>
      </c>
      <c r="E57" t="s">
        <v>173</v>
      </c>
      <c r="F57" t="s">
        <v>195</v>
      </c>
      <c r="G57" t="b">
        <f t="shared" si="0"/>
        <v>0</v>
      </c>
      <c r="H57" t="e">
        <f>VLOOKUP(A57,ID_Lookup!A:A,1,FALSE)</f>
        <v>#N/A</v>
      </c>
    </row>
    <row r="58" spans="1:8" hidden="1" x14ac:dyDescent="0.35">
      <c r="A58" t="s">
        <v>275</v>
      </c>
      <c r="B58">
        <v>2019</v>
      </c>
      <c r="C58" t="s">
        <v>276</v>
      </c>
      <c r="D58" t="s">
        <v>277</v>
      </c>
      <c r="E58" t="s">
        <v>112</v>
      </c>
      <c r="F58" t="s">
        <v>677</v>
      </c>
      <c r="G58" t="b">
        <f t="shared" si="0"/>
        <v>1</v>
      </c>
      <c r="H58" t="e">
        <f>VLOOKUP(A58,ID_Lookup!A:A,1,FALSE)</f>
        <v>#N/A</v>
      </c>
    </row>
    <row r="59" spans="1:8" hidden="1" x14ac:dyDescent="0.35">
      <c r="A59" t="s">
        <v>278</v>
      </c>
      <c r="B59">
        <v>2019</v>
      </c>
      <c r="C59" t="s">
        <v>279</v>
      </c>
      <c r="D59" t="s">
        <v>280</v>
      </c>
      <c r="E59" t="s">
        <v>112</v>
      </c>
      <c r="F59" t="s">
        <v>678</v>
      </c>
      <c r="G59" t="b">
        <f t="shared" si="0"/>
        <v>1</v>
      </c>
      <c r="H59" t="e">
        <f>VLOOKUP(A59,ID_Lookup!A:A,1,FALSE)</f>
        <v>#N/A</v>
      </c>
    </row>
    <row r="60" spans="1:8" hidden="1" x14ac:dyDescent="0.35">
      <c r="A60" t="s">
        <v>281</v>
      </c>
      <c r="B60">
        <v>2019</v>
      </c>
      <c r="C60" t="s">
        <v>282</v>
      </c>
      <c r="D60" t="s">
        <v>283</v>
      </c>
      <c r="E60" t="s">
        <v>173</v>
      </c>
      <c r="F60" t="s">
        <v>195</v>
      </c>
      <c r="G60" t="b">
        <f t="shared" si="0"/>
        <v>0</v>
      </c>
      <c r="H60" t="e">
        <f>VLOOKUP(A60,ID_Lookup!A:A,1,FALSE)</f>
        <v>#N/A</v>
      </c>
    </row>
    <row r="61" spans="1:8" hidden="1" x14ac:dyDescent="0.35">
      <c r="A61" t="s">
        <v>284</v>
      </c>
      <c r="B61">
        <v>2019</v>
      </c>
      <c r="C61" t="s">
        <v>285</v>
      </c>
      <c r="D61" t="s">
        <v>286</v>
      </c>
      <c r="E61" t="s">
        <v>173</v>
      </c>
      <c r="F61" t="s">
        <v>195</v>
      </c>
      <c r="G61" t="b">
        <f t="shared" si="0"/>
        <v>0</v>
      </c>
      <c r="H61" t="e">
        <f>VLOOKUP(A61,ID_Lookup!A:A,1,FALSE)</f>
        <v>#N/A</v>
      </c>
    </row>
    <row r="62" spans="1:8" hidden="1" x14ac:dyDescent="0.35">
      <c r="A62" t="s">
        <v>287</v>
      </c>
      <c r="B62">
        <v>2019</v>
      </c>
      <c r="C62" t="s">
        <v>288</v>
      </c>
      <c r="D62" t="s">
        <v>289</v>
      </c>
      <c r="E62" t="s">
        <v>173</v>
      </c>
      <c r="F62" t="s">
        <v>195</v>
      </c>
      <c r="G62" t="b">
        <f t="shared" si="0"/>
        <v>0</v>
      </c>
      <c r="H62" t="e">
        <f>VLOOKUP(A62,ID_Lookup!A:A,1,FALSE)</f>
        <v>#N/A</v>
      </c>
    </row>
    <row r="63" spans="1:8" hidden="1" x14ac:dyDescent="0.35">
      <c r="A63" t="s">
        <v>290</v>
      </c>
      <c r="B63">
        <v>2019</v>
      </c>
      <c r="C63" t="s">
        <v>291</v>
      </c>
      <c r="D63" t="s">
        <v>292</v>
      </c>
      <c r="E63" t="s">
        <v>173</v>
      </c>
      <c r="F63" t="s">
        <v>195</v>
      </c>
      <c r="G63" t="b">
        <f t="shared" si="0"/>
        <v>0</v>
      </c>
      <c r="H63" t="e">
        <f>VLOOKUP(A63,ID_Lookup!A:A,1,FALSE)</f>
        <v>#N/A</v>
      </c>
    </row>
    <row r="64" spans="1:8" hidden="1" x14ac:dyDescent="0.35">
      <c r="A64" t="s">
        <v>293</v>
      </c>
      <c r="B64">
        <v>2019</v>
      </c>
      <c r="C64" t="s">
        <v>294</v>
      </c>
      <c r="D64" t="s">
        <v>295</v>
      </c>
      <c r="E64" t="s">
        <v>173</v>
      </c>
      <c r="F64" t="s">
        <v>195</v>
      </c>
      <c r="G64" t="b">
        <f t="shared" si="0"/>
        <v>0</v>
      </c>
      <c r="H64" t="e">
        <f>VLOOKUP(A64,ID_Lookup!A:A,1,FALSE)</f>
        <v>#N/A</v>
      </c>
    </row>
    <row r="65" spans="1:8" hidden="1" x14ac:dyDescent="0.35">
      <c r="A65" t="s">
        <v>296</v>
      </c>
      <c r="B65">
        <v>2019</v>
      </c>
      <c r="C65" t="s">
        <v>297</v>
      </c>
      <c r="D65" t="s">
        <v>298</v>
      </c>
      <c r="E65" t="s">
        <v>173</v>
      </c>
      <c r="F65" t="s">
        <v>679</v>
      </c>
      <c r="G65" t="b">
        <f t="shared" si="0"/>
        <v>0</v>
      </c>
      <c r="H65" t="e">
        <f>VLOOKUP(A65,ID_Lookup!A:A,1,FALSE)</f>
        <v>#N/A</v>
      </c>
    </row>
    <row r="66" spans="1:8" hidden="1" x14ac:dyDescent="0.35">
      <c r="A66" t="s">
        <v>299</v>
      </c>
      <c r="B66">
        <v>2019</v>
      </c>
      <c r="C66" t="s">
        <v>300</v>
      </c>
      <c r="D66" t="s">
        <v>301</v>
      </c>
      <c r="E66" t="s">
        <v>173</v>
      </c>
      <c r="F66" t="s">
        <v>680</v>
      </c>
      <c r="G66" t="b">
        <f t="shared" si="0"/>
        <v>0</v>
      </c>
      <c r="H66" t="e">
        <f>VLOOKUP(A66,ID_Lookup!A:A,1,FALSE)</f>
        <v>#N/A</v>
      </c>
    </row>
    <row r="67" spans="1:8" hidden="1" x14ac:dyDescent="0.35">
      <c r="A67" t="s">
        <v>302</v>
      </c>
      <c r="B67">
        <v>2019</v>
      </c>
      <c r="C67" t="s">
        <v>303</v>
      </c>
      <c r="D67" t="s">
        <v>304</v>
      </c>
      <c r="E67" t="s">
        <v>173</v>
      </c>
      <c r="F67" t="s">
        <v>195</v>
      </c>
      <c r="G67" t="b">
        <f t="shared" ref="G67:G130" si="1">IF(E67="Include", TRUE, FALSE)</f>
        <v>0</v>
      </c>
      <c r="H67" t="e">
        <f>VLOOKUP(A67,ID_Lookup!A:A,1,FALSE)</f>
        <v>#N/A</v>
      </c>
    </row>
    <row r="68" spans="1:8" hidden="1" x14ac:dyDescent="0.35">
      <c r="A68" t="s">
        <v>305</v>
      </c>
      <c r="B68">
        <v>2019</v>
      </c>
      <c r="C68" t="s">
        <v>306</v>
      </c>
      <c r="D68" t="s">
        <v>307</v>
      </c>
      <c r="E68" t="s">
        <v>173</v>
      </c>
      <c r="F68" t="s">
        <v>195</v>
      </c>
      <c r="G68" t="b">
        <f t="shared" si="1"/>
        <v>0</v>
      </c>
      <c r="H68" t="e">
        <f>VLOOKUP(A68,ID_Lookup!A:A,1,FALSE)</f>
        <v>#N/A</v>
      </c>
    </row>
    <row r="69" spans="1:8" hidden="1" x14ac:dyDescent="0.35">
      <c r="A69" t="s">
        <v>308</v>
      </c>
      <c r="B69">
        <v>2019</v>
      </c>
      <c r="C69" t="s">
        <v>309</v>
      </c>
      <c r="D69" t="s">
        <v>310</v>
      </c>
      <c r="E69" t="s">
        <v>173</v>
      </c>
      <c r="F69" t="s">
        <v>195</v>
      </c>
      <c r="G69" t="b">
        <f t="shared" si="1"/>
        <v>0</v>
      </c>
      <c r="H69" t="e">
        <f>VLOOKUP(A69,ID_Lookup!A:A,1,FALSE)</f>
        <v>#N/A</v>
      </c>
    </row>
    <row r="70" spans="1:8" hidden="1" x14ac:dyDescent="0.35">
      <c r="A70" t="s">
        <v>311</v>
      </c>
      <c r="B70">
        <v>2019</v>
      </c>
      <c r="C70" t="s">
        <v>312</v>
      </c>
      <c r="D70" t="s">
        <v>313</v>
      </c>
      <c r="E70" t="s">
        <v>173</v>
      </c>
      <c r="F70" t="s">
        <v>195</v>
      </c>
      <c r="G70" t="b">
        <f t="shared" si="1"/>
        <v>0</v>
      </c>
      <c r="H70" t="e">
        <f>VLOOKUP(A70,ID_Lookup!A:A,1,FALSE)</f>
        <v>#N/A</v>
      </c>
    </row>
    <row r="71" spans="1:8" ht="409.5" hidden="1" x14ac:dyDescent="0.35">
      <c r="A71" t="s">
        <v>314</v>
      </c>
      <c r="B71">
        <v>2019</v>
      </c>
      <c r="C71" t="s">
        <v>315</v>
      </c>
      <c r="D71" s="1" t="s">
        <v>316</v>
      </c>
      <c r="E71" t="s">
        <v>173</v>
      </c>
      <c r="F71" t="s">
        <v>195</v>
      </c>
      <c r="G71" t="b">
        <f t="shared" si="1"/>
        <v>0</v>
      </c>
      <c r="H71" t="e">
        <f>VLOOKUP(A71,ID_Lookup!A:A,1,FALSE)</f>
        <v>#N/A</v>
      </c>
    </row>
    <row r="72" spans="1:8" hidden="1" x14ac:dyDescent="0.35">
      <c r="A72" t="s">
        <v>317</v>
      </c>
      <c r="B72">
        <v>2019</v>
      </c>
      <c r="C72" t="s">
        <v>318</v>
      </c>
      <c r="D72" t="s">
        <v>319</v>
      </c>
      <c r="E72" t="s">
        <v>173</v>
      </c>
      <c r="F72" t="s">
        <v>195</v>
      </c>
      <c r="G72" t="b">
        <f t="shared" si="1"/>
        <v>0</v>
      </c>
      <c r="H72" t="e">
        <f>VLOOKUP(A72,ID_Lookup!A:A,1,FALSE)</f>
        <v>#N/A</v>
      </c>
    </row>
    <row r="73" spans="1:8" ht="409.5" x14ac:dyDescent="0.35">
      <c r="A73" t="s">
        <v>214</v>
      </c>
      <c r="B73">
        <v>2019</v>
      </c>
      <c r="C73" t="s">
        <v>215</v>
      </c>
      <c r="D73" s="1" t="s">
        <v>216</v>
      </c>
      <c r="E73" t="s">
        <v>173</v>
      </c>
      <c r="F73" t="s">
        <v>195</v>
      </c>
      <c r="G73" t="b">
        <f t="shared" si="1"/>
        <v>0</v>
      </c>
      <c r="H73" t="str">
        <f>VLOOKUP(A73,ID_Lookup!A:A,1,FALSE)</f>
        <v>J571</v>
      </c>
    </row>
    <row r="74" spans="1:8" hidden="1" x14ac:dyDescent="0.35">
      <c r="A74" t="s">
        <v>320</v>
      </c>
      <c r="B74">
        <v>2019</v>
      </c>
      <c r="C74" t="s">
        <v>321</v>
      </c>
      <c r="D74" t="s">
        <v>322</v>
      </c>
      <c r="E74" t="s">
        <v>173</v>
      </c>
      <c r="F74" t="s">
        <v>195</v>
      </c>
      <c r="G74" t="b">
        <f t="shared" si="1"/>
        <v>0</v>
      </c>
      <c r="H74" t="e">
        <f>VLOOKUP(A74,ID_Lookup!A:A,1,FALSE)</f>
        <v>#N/A</v>
      </c>
    </row>
    <row r="75" spans="1:8" hidden="1" x14ac:dyDescent="0.35">
      <c r="A75" t="s">
        <v>323</v>
      </c>
      <c r="B75">
        <v>2019</v>
      </c>
      <c r="C75" t="s">
        <v>324</v>
      </c>
      <c r="D75" t="s">
        <v>325</v>
      </c>
      <c r="E75" t="s">
        <v>173</v>
      </c>
      <c r="F75" t="s">
        <v>681</v>
      </c>
      <c r="G75" t="b">
        <f t="shared" si="1"/>
        <v>0</v>
      </c>
      <c r="H75" t="e">
        <f>VLOOKUP(A75,ID_Lookup!A:A,1,FALSE)</f>
        <v>#N/A</v>
      </c>
    </row>
    <row r="76" spans="1:8" x14ac:dyDescent="0.35">
      <c r="A76" t="s">
        <v>218</v>
      </c>
      <c r="B76">
        <v>2019</v>
      </c>
      <c r="C76" t="s">
        <v>219</v>
      </c>
      <c r="D76" t="s">
        <v>220</v>
      </c>
      <c r="E76" t="s">
        <v>173</v>
      </c>
      <c r="F76" t="s">
        <v>682</v>
      </c>
      <c r="G76" t="b">
        <f t="shared" si="1"/>
        <v>0</v>
      </c>
      <c r="H76" t="str">
        <f>VLOOKUP(A76,ID_Lookup!A:A,1,FALSE)</f>
        <v>J574</v>
      </c>
    </row>
    <row r="77" spans="1:8" x14ac:dyDescent="0.35">
      <c r="A77" t="s">
        <v>223</v>
      </c>
      <c r="B77">
        <v>2019</v>
      </c>
      <c r="C77" t="s">
        <v>224</v>
      </c>
      <c r="D77" t="s">
        <v>326</v>
      </c>
      <c r="E77" t="s">
        <v>173</v>
      </c>
      <c r="F77" t="s">
        <v>195</v>
      </c>
      <c r="G77" t="b">
        <f t="shared" si="1"/>
        <v>0</v>
      </c>
      <c r="H77" t="str">
        <f>VLOOKUP(A77,ID_Lookup!A:A,1,FALSE)</f>
        <v>J575</v>
      </c>
    </row>
    <row r="78" spans="1:8" hidden="1" x14ac:dyDescent="0.35">
      <c r="A78" t="s">
        <v>327</v>
      </c>
      <c r="B78">
        <v>2019</v>
      </c>
      <c r="C78" t="s">
        <v>328</v>
      </c>
      <c r="D78" t="s">
        <v>329</v>
      </c>
      <c r="E78" t="s">
        <v>173</v>
      </c>
      <c r="F78" t="s">
        <v>681</v>
      </c>
      <c r="G78" t="b">
        <f t="shared" si="1"/>
        <v>0</v>
      </c>
      <c r="H78" t="e">
        <f>VLOOKUP(A78,ID_Lookup!A:A,1,FALSE)</f>
        <v>#N/A</v>
      </c>
    </row>
    <row r="79" spans="1:8" hidden="1" x14ac:dyDescent="0.35">
      <c r="A79" t="s">
        <v>330</v>
      </c>
      <c r="B79">
        <v>2019</v>
      </c>
      <c r="C79" t="s">
        <v>331</v>
      </c>
      <c r="D79" t="s">
        <v>332</v>
      </c>
      <c r="E79" t="s">
        <v>173</v>
      </c>
      <c r="F79" t="s">
        <v>195</v>
      </c>
      <c r="G79" t="b">
        <f t="shared" si="1"/>
        <v>0</v>
      </c>
      <c r="H79" t="e">
        <f>VLOOKUP(A79,ID_Lookup!A:A,1,FALSE)</f>
        <v>#N/A</v>
      </c>
    </row>
    <row r="80" spans="1:8" hidden="1" x14ac:dyDescent="0.35">
      <c r="A80" t="s">
        <v>333</v>
      </c>
      <c r="B80">
        <v>2019</v>
      </c>
      <c r="C80" t="s">
        <v>334</v>
      </c>
      <c r="D80" t="s">
        <v>335</v>
      </c>
      <c r="E80" t="s">
        <v>173</v>
      </c>
      <c r="F80" t="s">
        <v>195</v>
      </c>
      <c r="G80" t="b">
        <f t="shared" si="1"/>
        <v>0</v>
      </c>
      <c r="H80" t="e">
        <f>VLOOKUP(A80,ID_Lookup!A:A,1,FALSE)</f>
        <v>#N/A</v>
      </c>
    </row>
    <row r="81" spans="1:8" hidden="1" x14ac:dyDescent="0.35">
      <c r="A81" t="s">
        <v>336</v>
      </c>
      <c r="B81">
        <v>2019</v>
      </c>
      <c r="C81" s="9" t="s">
        <v>337</v>
      </c>
      <c r="D81" t="s">
        <v>338</v>
      </c>
      <c r="E81" t="s">
        <v>173</v>
      </c>
      <c r="F81" t="s">
        <v>195</v>
      </c>
      <c r="G81" t="b">
        <f t="shared" si="1"/>
        <v>0</v>
      </c>
      <c r="H81" t="e">
        <f>VLOOKUP(A81,ID_Lookup!A:A,1,FALSE)</f>
        <v>#N/A</v>
      </c>
    </row>
    <row r="82" spans="1:8" hidden="1" x14ac:dyDescent="0.35">
      <c r="A82" s="8" t="s">
        <v>339</v>
      </c>
      <c r="B82" s="8">
        <v>2019</v>
      </c>
      <c r="C82" s="8" t="s">
        <v>340</v>
      </c>
      <c r="D82" s="8" t="s">
        <v>341</v>
      </c>
      <c r="E82" t="s">
        <v>173</v>
      </c>
      <c r="F82" s="8"/>
      <c r="G82" t="b">
        <f t="shared" si="1"/>
        <v>0</v>
      </c>
      <c r="H82" t="e">
        <f>VLOOKUP(A82,ID_Lookup!A:A,1,FALSE)</f>
        <v>#N/A</v>
      </c>
    </row>
    <row r="83" spans="1:8" hidden="1" x14ac:dyDescent="0.35">
      <c r="A83" t="s">
        <v>342</v>
      </c>
      <c r="B83">
        <v>2019</v>
      </c>
      <c r="C83" t="s">
        <v>343</v>
      </c>
      <c r="D83" t="s">
        <v>344</v>
      </c>
      <c r="E83" t="s">
        <v>173</v>
      </c>
      <c r="F83" t="s">
        <v>195</v>
      </c>
      <c r="G83" t="b">
        <f t="shared" si="1"/>
        <v>0</v>
      </c>
      <c r="H83" t="e">
        <f>VLOOKUP(A83,ID_Lookup!A:A,1,FALSE)</f>
        <v>#N/A</v>
      </c>
    </row>
    <row r="84" spans="1:8" hidden="1" x14ac:dyDescent="0.35">
      <c r="A84" t="s">
        <v>345</v>
      </c>
      <c r="B84">
        <v>2019</v>
      </c>
      <c r="C84" t="s">
        <v>346</v>
      </c>
      <c r="D84" t="s">
        <v>347</v>
      </c>
      <c r="E84" t="s">
        <v>173</v>
      </c>
      <c r="F84" t="s">
        <v>195</v>
      </c>
      <c r="G84" t="b">
        <f t="shared" si="1"/>
        <v>0</v>
      </c>
      <c r="H84" t="e">
        <f>VLOOKUP(A84,ID_Lookup!A:A,1,FALSE)</f>
        <v>#N/A</v>
      </c>
    </row>
    <row r="85" spans="1:8" x14ac:dyDescent="0.35">
      <c r="A85" t="s">
        <v>226</v>
      </c>
      <c r="B85">
        <v>2019</v>
      </c>
      <c r="C85" t="s">
        <v>227</v>
      </c>
      <c r="D85" t="s">
        <v>348</v>
      </c>
      <c r="E85" t="s">
        <v>173</v>
      </c>
      <c r="F85" t="s">
        <v>683</v>
      </c>
      <c r="G85" t="b">
        <f t="shared" si="1"/>
        <v>0</v>
      </c>
      <c r="H85" t="str">
        <f>VLOOKUP(A85,ID_Lookup!A:A,1,FALSE)</f>
        <v>J583</v>
      </c>
    </row>
    <row r="86" spans="1:8" hidden="1" x14ac:dyDescent="0.35">
      <c r="A86" t="s">
        <v>349</v>
      </c>
      <c r="B86">
        <v>2019</v>
      </c>
      <c r="C86" t="s">
        <v>350</v>
      </c>
      <c r="D86" t="s">
        <v>351</v>
      </c>
      <c r="E86" t="s">
        <v>173</v>
      </c>
      <c r="F86" t="s">
        <v>195</v>
      </c>
      <c r="G86" t="b">
        <f t="shared" si="1"/>
        <v>0</v>
      </c>
      <c r="H86" t="e">
        <f>VLOOKUP(A86,ID_Lookup!A:A,1,FALSE)</f>
        <v>#N/A</v>
      </c>
    </row>
    <row r="87" spans="1:8" hidden="1" x14ac:dyDescent="0.35">
      <c r="A87" t="s">
        <v>352</v>
      </c>
      <c r="B87">
        <v>2019</v>
      </c>
      <c r="C87" t="s">
        <v>353</v>
      </c>
      <c r="D87" t="s">
        <v>354</v>
      </c>
      <c r="E87" t="s">
        <v>173</v>
      </c>
      <c r="F87" t="s">
        <v>195</v>
      </c>
      <c r="G87" t="b">
        <f t="shared" si="1"/>
        <v>0</v>
      </c>
      <c r="H87" t="e">
        <f>VLOOKUP(A87,ID_Lookup!A:A,1,FALSE)</f>
        <v>#N/A</v>
      </c>
    </row>
    <row r="88" spans="1:8" hidden="1" x14ac:dyDescent="0.35">
      <c r="A88" t="s">
        <v>355</v>
      </c>
      <c r="B88">
        <v>2019</v>
      </c>
      <c r="C88" t="s">
        <v>356</v>
      </c>
      <c r="D88" t="s">
        <v>357</v>
      </c>
      <c r="E88" t="s">
        <v>173</v>
      </c>
      <c r="F88" t="s">
        <v>684</v>
      </c>
      <c r="G88" t="b">
        <f t="shared" si="1"/>
        <v>0</v>
      </c>
      <c r="H88" t="e">
        <f>VLOOKUP(A88,ID_Lookup!A:A,1,FALSE)</f>
        <v>#N/A</v>
      </c>
    </row>
    <row r="89" spans="1:8" ht="409.5" x14ac:dyDescent="0.35">
      <c r="A89" t="s">
        <v>230</v>
      </c>
      <c r="B89">
        <v>2019</v>
      </c>
      <c r="C89" t="s">
        <v>231</v>
      </c>
      <c r="D89" s="1" t="s">
        <v>232</v>
      </c>
      <c r="E89" t="s">
        <v>173</v>
      </c>
      <c r="F89" t="s">
        <v>195</v>
      </c>
      <c r="G89" t="b">
        <f t="shared" si="1"/>
        <v>0</v>
      </c>
      <c r="H89" t="str">
        <f>VLOOKUP(A89,ID_Lookup!A:A,1,FALSE)</f>
        <v>J587</v>
      </c>
    </row>
    <row r="90" spans="1:8" ht="409.5" hidden="1" x14ac:dyDescent="0.35">
      <c r="A90" t="s">
        <v>358</v>
      </c>
      <c r="B90">
        <v>2019</v>
      </c>
      <c r="C90" t="s">
        <v>359</v>
      </c>
      <c r="D90" s="1" t="s">
        <v>360</v>
      </c>
      <c r="E90" t="s">
        <v>173</v>
      </c>
      <c r="F90" t="s">
        <v>685</v>
      </c>
      <c r="G90" t="b">
        <f t="shared" si="1"/>
        <v>0</v>
      </c>
      <c r="H90" t="e">
        <f>VLOOKUP(A90,ID_Lookup!A:A,1,FALSE)</f>
        <v>#N/A</v>
      </c>
    </row>
    <row r="91" spans="1:8" hidden="1" x14ac:dyDescent="0.35">
      <c r="A91" t="s">
        <v>361</v>
      </c>
      <c r="B91">
        <v>2019</v>
      </c>
      <c r="C91" t="s">
        <v>362</v>
      </c>
      <c r="D91" t="s">
        <v>363</v>
      </c>
      <c r="E91" t="s">
        <v>173</v>
      </c>
      <c r="F91" t="s">
        <v>195</v>
      </c>
      <c r="G91" t="b">
        <f t="shared" si="1"/>
        <v>0</v>
      </c>
      <c r="H91" t="e">
        <f>VLOOKUP(A91,ID_Lookup!A:A,1,FALSE)</f>
        <v>#N/A</v>
      </c>
    </row>
    <row r="92" spans="1:8" hidden="1" x14ac:dyDescent="0.35">
      <c r="A92" t="s">
        <v>364</v>
      </c>
      <c r="B92">
        <v>2019</v>
      </c>
      <c r="C92" t="s">
        <v>365</v>
      </c>
      <c r="D92" t="s">
        <v>366</v>
      </c>
      <c r="E92" t="s">
        <v>112</v>
      </c>
      <c r="F92" t="s">
        <v>201</v>
      </c>
      <c r="G92" t="b">
        <f t="shared" si="1"/>
        <v>1</v>
      </c>
      <c r="H92" t="e">
        <f>VLOOKUP(A92,ID_Lookup!A:A,1,FALSE)</f>
        <v>#N/A</v>
      </c>
    </row>
    <row r="93" spans="1:8" hidden="1" x14ac:dyDescent="0.35">
      <c r="A93" t="s">
        <v>367</v>
      </c>
      <c r="B93">
        <v>2019</v>
      </c>
      <c r="C93" t="s">
        <v>368</v>
      </c>
      <c r="D93" t="s">
        <v>369</v>
      </c>
      <c r="E93" t="s">
        <v>173</v>
      </c>
      <c r="F93" t="s">
        <v>195</v>
      </c>
      <c r="G93" t="b">
        <f t="shared" si="1"/>
        <v>0</v>
      </c>
      <c r="H93" t="e">
        <f>VLOOKUP(A93,ID_Lookup!A:A,1,FALSE)</f>
        <v>#N/A</v>
      </c>
    </row>
    <row r="94" spans="1:8" hidden="1" x14ac:dyDescent="0.35">
      <c r="A94" t="s">
        <v>370</v>
      </c>
      <c r="B94">
        <v>2019</v>
      </c>
      <c r="C94" t="s">
        <v>371</v>
      </c>
      <c r="D94" t="s">
        <v>372</v>
      </c>
      <c r="E94" t="s">
        <v>173</v>
      </c>
      <c r="F94" t="s">
        <v>195</v>
      </c>
      <c r="G94" t="b">
        <f t="shared" si="1"/>
        <v>0</v>
      </c>
      <c r="H94" t="e">
        <f>VLOOKUP(A94,ID_Lookup!A:A,1,FALSE)</f>
        <v>#N/A</v>
      </c>
    </row>
    <row r="95" spans="1:8" hidden="1" x14ac:dyDescent="0.35">
      <c r="A95" t="s">
        <v>373</v>
      </c>
      <c r="B95">
        <v>2019</v>
      </c>
      <c r="C95" t="s">
        <v>374</v>
      </c>
      <c r="D95" t="s">
        <v>375</v>
      </c>
      <c r="E95" t="s">
        <v>173</v>
      </c>
      <c r="F95" t="s">
        <v>195</v>
      </c>
      <c r="G95" t="b">
        <f t="shared" si="1"/>
        <v>0</v>
      </c>
      <c r="H95" t="e">
        <f>VLOOKUP(A95,ID_Lookup!A:A,1,FALSE)</f>
        <v>#N/A</v>
      </c>
    </row>
    <row r="96" spans="1:8" hidden="1" x14ac:dyDescent="0.35">
      <c r="A96" t="s">
        <v>376</v>
      </c>
      <c r="B96">
        <v>2019</v>
      </c>
      <c r="C96" t="s">
        <v>377</v>
      </c>
      <c r="D96" t="s">
        <v>378</v>
      </c>
      <c r="E96" t="s">
        <v>173</v>
      </c>
      <c r="F96" t="s">
        <v>195</v>
      </c>
      <c r="G96" t="b">
        <f t="shared" si="1"/>
        <v>0</v>
      </c>
      <c r="H96" t="e">
        <f>VLOOKUP(A96,ID_Lookup!A:A,1,FALSE)</f>
        <v>#N/A</v>
      </c>
    </row>
    <row r="97" spans="1:8" hidden="1" x14ac:dyDescent="0.35">
      <c r="A97" t="s">
        <v>379</v>
      </c>
      <c r="B97">
        <v>2019</v>
      </c>
      <c r="C97" t="s">
        <v>380</v>
      </c>
      <c r="D97" t="s">
        <v>381</v>
      </c>
      <c r="E97" t="s">
        <v>173</v>
      </c>
      <c r="F97" t="s">
        <v>195</v>
      </c>
      <c r="G97" t="b">
        <f t="shared" si="1"/>
        <v>0</v>
      </c>
      <c r="H97" t="e">
        <f>VLOOKUP(A97,ID_Lookup!A:A,1,FALSE)</f>
        <v>#N/A</v>
      </c>
    </row>
    <row r="98" spans="1:8" hidden="1" x14ac:dyDescent="0.35">
      <c r="A98" t="s">
        <v>382</v>
      </c>
      <c r="B98">
        <v>2019</v>
      </c>
      <c r="C98" t="s">
        <v>383</v>
      </c>
      <c r="D98" t="s">
        <v>384</v>
      </c>
      <c r="E98" t="s">
        <v>173</v>
      </c>
      <c r="F98" t="s">
        <v>681</v>
      </c>
      <c r="G98" t="b">
        <f t="shared" si="1"/>
        <v>0</v>
      </c>
      <c r="H98" t="e">
        <f>VLOOKUP(A98,ID_Lookup!A:A,1,FALSE)</f>
        <v>#N/A</v>
      </c>
    </row>
    <row r="99" spans="1:8" hidden="1" x14ac:dyDescent="0.35">
      <c r="A99" t="s">
        <v>385</v>
      </c>
      <c r="B99">
        <v>2019</v>
      </c>
      <c r="C99" t="s">
        <v>386</v>
      </c>
      <c r="D99" t="s">
        <v>387</v>
      </c>
      <c r="E99" t="s">
        <v>173</v>
      </c>
      <c r="F99" t="s">
        <v>195</v>
      </c>
      <c r="G99" t="b">
        <f t="shared" si="1"/>
        <v>0</v>
      </c>
      <c r="H99" t="e">
        <f>VLOOKUP(A99,ID_Lookup!A:A,1,FALSE)</f>
        <v>#N/A</v>
      </c>
    </row>
    <row r="100" spans="1:8" hidden="1" x14ac:dyDescent="0.35">
      <c r="A100" t="s">
        <v>388</v>
      </c>
      <c r="B100">
        <v>2019</v>
      </c>
      <c r="C100" t="s">
        <v>389</v>
      </c>
      <c r="D100" t="s">
        <v>390</v>
      </c>
      <c r="E100" t="s">
        <v>112</v>
      </c>
      <c r="F100" t="s">
        <v>686</v>
      </c>
      <c r="G100" t="b">
        <f t="shared" si="1"/>
        <v>1</v>
      </c>
      <c r="H100" t="e">
        <f>VLOOKUP(A100,ID_Lookup!A:A,1,FALSE)</f>
        <v>#N/A</v>
      </c>
    </row>
    <row r="101" spans="1:8" hidden="1" x14ac:dyDescent="0.35">
      <c r="A101" t="s">
        <v>391</v>
      </c>
      <c r="B101">
        <v>2019</v>
      </c>
      <c r="C101" t="s">
        <v>392</v>
      </c>
      <c r="D101" t="s">
        <v>393</v>
      </c>
      <c r="E101" t="s">
        <v>173</v>
      </c>
      <c r="F101" t="s">
        <v>195</v>
      </c>
      <c r="G101" t="b">
        <f t="shared" si="1"/>
        <v>0</v>
      </c>
      <c r="H101" t="e">
        <f>VLOOKUP(A101,ID_Lookup!A:A,1,FALSE)</f>
        <v>#N/A</v>
      </c>
    </row>
    <row r="102" spans="1:8" hidden="1" x14ac:dyDescent="0.35">
      <c r="A102" t="s">
        <v>394</v>
      </c>
      <c r="B102">
        <v>2021</v>
      </c>
      <c r="C102" t="s">
        <v>395</v>
      </c>
      <c r="D102" t="s">
        <v>396</v>
      </c>
      <c r="E102" t="s">
        <v>173</v>
      </c>
      <c r="F102" t="s">
        <v>195</v>
      </c>
      <c r="G102" t="b">
        <f t="shared" si="1"/>
        <v>0</v>
      </c>
      <c r="H102" t="e">
        <f>VLOOKUP(A102,ID_Lookup!A:A,1,FALSE)</f>
        <v>#N/A</v>
      </c>
    </row>
    <row r="103" spans="1:8" hidden="1" x14ac:dyDescent="0.35">
      <c r="A103" t="s">
        <v>397</v>
      </c>
      <c r="B103">
        <v>2021</v>
      </c>
      <c r="C103" t="s">
        <v>398</v>
      </c>
      <c r="D103" t="s">
        <v>399</v>
      </c>
      <c r="E103" t="s">
        <v>173</v>
      </c>
      <c r="F103" t="s">
        <v>195</v>
      </c>
      <c r="G103" t="b">
        <f t="shared" si="1"/>
        <v>0</v>
      </c>
      <c r="H103" t="e">
        <f>VLOOKUP(A103,ID_Lookup!A:A,1,FALSE)</f>
        <v>#N/A</v>
      </c>
    </row>
    <row r="104" spans="1:8" hidden="1" x14ac:dyDescent="0.35">
      <c r="A104" t="s">
        <v>400</v>
      </c>
      <c r="B104">
        <v>2021</v>
      </c>
      <c r="C104" t="s">
        <v>401</v>
      </c>
      <c r="D104" t="s">
        <v>402</v>
      </c>
      <c r="E104" t="s">
        <v>173</v>
      </c>
      <c r="F104" t="s">
        <v>687</v>
      </c>
      <c r="G104" t="b">
        <f t="shared" si="1"/>
        <v>0</v>
      </c>
      <c r="H104" t="e">
        <f>VLOOKUP(A104,ID_Lookup!A:A,1,FALSE)</f>
        <v>#N/A</v>
      </c>
    </row>
    <row r="105" spans="1:8" x14ac:dyDescent="0.35">
      <c r="A105" t="s">
        <v>233</v>
      </c>
      <c r="B105">
        <v>2021</v>
      </c>
      <c r="C105" t="s">
        <v>403</v>
      </c>
      <c r="D105" t="s">
        <v>404</v>
      </c>
      <c r="E105" t="s">
        <v>173</v>
      </c>
      <c r="F105" t="s">
        <v>688</v>
      </c>
      <c r="G105" t="b">
        <f t="shared" si="1"/>
        <v>0</v>
      </c>
      <c r="H105" t="str">
        <f>VLOOKUP(A105,ID_Lookup!A:A,1,FALSE)</f>
        <v>J2833</v>
      </c>
    </row>
    <row r="106" spans="1:8" ht="409.5" hidden="1" x14ac:dyDescent="0.35">
      <c r="A106" t="s">
        <v>405</v>
      </c>
      <c r="B106">
        <v>2021</v>
      </c>
      <c r="C106" t="s">
        <v>406</v>
      </c>
      <c r="D106" s="1" t="s">
        <v>407</v>
      </c>
      <c r="E106" t="s">
        <v>173</v>
      </c>
      <c r="F106" t="s">
        <v>689</v>
      </c>
      <c r="G106" t="b">
        <f t="shared" si="1"/>
        <v>0</v>
      </c>
      <c r="H106" t="e">
        <f>VLOOKUP(A106,ID_Lookup!A:A,1,FALSE)</f>
        <v>#N/A</v>
      </c>
    </row>
    <row r="107" spans="1:8" hidden="1" x14ac:dyDescent="0.35">
      <c r="A107" t="s">
        <v>408</v>
      </c>
      <c r="B107">
        <v>2021</v>
      </c>
      <c r="C107" t="s">
        <v>409</v>
      </c>
      <c r="D107" t="s">
        <v>410</v>
      </c>
      <c r="E107" t="s">
        <v>173</v>
      </c>
      <c r="F107" t="s">
        <v>195</v>
      </c>
      <c r="G107" t="b">
        <f t="shared" si="1"/>
        <v>0</v>
      </c>
      <c r="H107" t="e">
        <f>VLOOKUP(A107,ID_Lookup!A:A,1,FALSE)</f>
        <v>#N/A</v>
      </c>
    </row>
    <row r="108" spans="1:8" hidden="1" x14ac:dyDescent="0.35">
      <c r="A108" t="s">
        <v>411</v>
      </c>
      <c r="B108">
        <v>2021</v>
      </c>
      <c r="C108" t="s">
        <v>412</v>
      </c>
      <c r="D108" t="s">
        <v>413</v>
      </c>
      <c r="E108" t="s">
        <v>173</v>
      </c>
      <c r="F108" t="s">
        <v>195</v>
      </c>
      <c r="G108" t="b">
        <f t="shared" si="1"/>
        <v>0</v>
      </c>
      <c r="H108" t="e">
        <f>VLOOKUP(A108,ID_Lookup!A:A,1,FALSE)</f>
        <v>#N/A</v>
      </c>
    </row>
    <row r="109" spans="1:8" hidden="1" x14ac:dyDescent="0.35">
      <c r="A109" t="s">
        <v>414</v>
      </c>
      <c r="B109">
        <v>2021</v>
      </c>
      <c r="C109" t="s">
        <v>415</v>
      </c>
      <c r="D109" t="s">
        <v>416</v>
      </c>
      <c r="E109" t="s">
        <v>112</v>
      </c>
      <c r="F109" t="s">
        <v>690</v>
      </c>
      <c r="G109" t="b">
        <f t="shared" si="1"/>
        <v>1</v>
      </c>
      <c r="H109" t="e">
        <f>VLOOKUP(A109,ID_Lookup!A:A,1,FALSE)</f>
        <v>#N/A</v>
      </c>
    </row>
    <row r="110" spans="1:8" hidden="1" x14ac:dyDescent="0.35">
      <c r="A110" t="s">
        <v>417</v>
      </c>
      <c r="B110">
        <v>2021</v>
      </c>
      <c r="C110" t="s">
        <v>418</v>
      </c>
      <c r="D110" t="s">
        <v>419</v>
      </c>
      <c r="E110" t="s">
        <v>173</v>
      </c>
      <c r="F110" t="s">
        <v>195</v>
      </c>
      <c r="G110" t="b">
        <f t="shared" si="1"/>
        <v>0</v>
      </c>
      <c r="H110" t="e">
        <f>VLOOKUP(A110,ID_Lookup!A:A,1,FALSE)</f>
        <v>#N/A</v>
      </c>
    </row>
    <row r="111" spans="1:8" hidden="1" x14ac:dyDescent="0.35">
      <c r="A111" t="s">
        <v>420</v>
      </c>
      <c r="B111">
        <v>2021</v>
      </c>
      <c r="C111" t="s">
        <v>421</v>
      </c>
      <c r="D111" t="s">
        <v>422</v>
      </c>
      <c r="E111" t="s">
        <v>173</v>
      </c>
      <c r="F111" t="s">
        <v>195</v>
      </c>
      <c r="G111" t="b">
        <f t="shared" si="1"/>
        <v>0</v>
      </c>
      <c r="H111" t="e">
        <f>VLOOKUP(A111,ID_Lookup!A:A,1,FALSE)</f>
        <v>#N/A</v>
      </c>
    </row>
    <row r="112" spans="1:8" hidden="1" x14ac:dyDescent="0.35">
      <c r="A112" t="s">
        <v>423</v>
      </c>
      <c r="B112">
        <v>2021</v>
      </c>
      <c r="C112" t="s">
        <v>424</v>
      </c>
      <c r="D112" t="s">
        <v>425</v>
      </c>
      <c r="E112" t="s">
        <v>173</v>
      </c>
      <c r="F112" t="s">
        <v>195</v>
      </c>
      <c r="G112" t="b">
        <f t="shared" si="1"/>
        <v>0</v>
      </c>
      <c r="H112" t="e">
        <f>VLOOKUP(A112,ID_Lookup!A:A,1,FALSE)</f>
        <v>#N/A</v>
      </c>
    </row>
    <row r="113" spans="1:8" hidden="1" x14ac:dyDescent="0.35">
      <c r="A113" t="s">
        <v>426</v>
      </c>
      <c r="B113">
        <v>2021</v>
      </c>
      <c r="C113" t="s">
        <v>427</v>
      </c>
      <c r="D113" t="s">
        <v>428</v>
      </c>
      <c r="E113" t="s">
        <v>173</v>
      </c>
      <c r="F113" t="s">
        <v>195</v>
      </c>
      <c r="G113" t="b">
        <f t="shared" si="1"/>
        <v>0</v>
      </c>
      <c r="H113" t="e">
        <f>VLOOKUP(A113,ID_Lookup!A:A,1,FALSE)</f>
        <v>#N/A</v>
      </c>
    </row>
    <row r="114" spans="1:8" hidden="1" x14ac:dyDescent="0.35">
      <c r="A114" t="s">
        <v>429</v>
      </c>
      <c r="B114">
        <v>2021</v>
      </c>
      <c r="C114" t="s">
        <v>430</v>
      </c>
      <c r="D114" t="s">
        <v>431</v>
      </c>
      <c r="E114" t="s">
        <v>173</v>
      </c>
      <c r="F114" t="s">
        <v>195</v>
      </c>
      <c r="G114" t="b">
        <f t="shared" si="1"/>
        <v>0</v>
      </c>
      <c r="H114" t="e">
        <f>VLOOKUP(A114,ID_Lookup!A:A,1,FALSE)</f>
        <v>#N/A</v>
      </c>
    </row>
    <row r="115" spans="1:8" x14ac:dyDescent="0.35">
      <c r="A115" t="s">
        <v>237</v>
      </c>
      <c r="B115">
        <v>2021</v>
      </c>
      <c r="C115" t="s">
        <v>238</v>
      </c>
      <c r="D115" t="s">
        <v>432</v>
      </c>
      <c r="E115" t="s">
        <v>173</v>
      </c>
      <c r="F115" t="s">
        <v>195</v>
      </c>
      <c r="G115" t="b">
        <f t="shared" si="1"/>
        <v>0</v>
      </c>
      <c r="H115" t="str">
        <f>VLOOKUP(A115,ID_Lookup!A:A,1,FALSE)</f>
        <v>J2843</v>
      </c>
    </row>
    <row r="116" spans="1:8" hidden="1" x14ac:dyDescent="0.35">
      <c r="A116" t="s">
        <v>433</v>
      </c>
      <c r="B116">
        <v>2021</v>
      </c>
      <c r="C116" t="s">
        <v>434</v>
      </c>
      <c r="D116" t="s">
        <v>435</v>
      </c>
      <c r="E116" t="s">
        <v>173</v>
      </c>
      <c r="F116" t="s">
        <v>195</v>
      </c>
      <c r="G116" t="b">
        <f t="shared" si="1"/>
        <v>0</v>
      </c>
      <c r="H116" t="e">
        <f>VLOOKUP(A116,ID_Lookup!A:A,1,FALSE)</f>
        <v>#N/A</v>
      </c>
    </row>
    <row r="117" spans="1:8" hidden="1" x14ac:dyDescent="0.35">
      <c r="A117" t="s">
        <v>436</v>
      </c>
      <c r="B117">
        <v>2021</v>
      </c>
      <c r="C117" t="s">
        <v>437</v>
      </c>
      <c r="D117" t="s">
        <v>438</v>
      </c>
      <c r="E117" t="s">
        <v>173</v>
      </c>
      <c r="F117" t="s">
        <v>681</v>
      </c>
      <c r="G117" t="b">
        <f t="shared" si="1"/>
        <v>0</v>
      </c>
      <c r="H117" t="e">
        <f>VLOOKUP(A117,ID_Lookup!A:A,1,FALSE)</f>
        <v>#N/A</v>
      </c>
    </row>
    <row r="118" spans="1:8" hidden="1" x14ac:dyDescent="0.35">
      <c r="A118" t="s">
        <v>439</v>
      </c>
      <c r="B118">
        <v>2021</v>
      </c>
      <c r="C118" t="s">
        <v>440</v>
      </c>
      <c r="D118" t="s">
        <v>441</v>
      </c>
      <c r="E118" t="s">
        <v>173</v>
      </c>
      <c r="F118" t="s">
        <v>195</v>
      </c>
      <c r="G118" t="b">
        <f t="shared" si="1"/>
        <v>0</v>
      </c>
      <c r="H118" t="e">
        <f>VLOOKUP(A118,ID_Lookup!A:A,1,FALSE)</f>
        <v>#N/A</v>
      </c>
    </row>
    <row r="119" spans="1:8" hidden="1" x14ac:dyDescent="0.35">
      <c r="A119" t="s">
        <v>442</v>
      </c>
      <c r="B119">
        <v>2021</v>
      </c>
      <c r="C119" t="s">
        <v>443</v>
      </c>
      <c r="D119" t="s">
        <v>444</v>
      </c>
      <c r="E119" t="s">
        <v>173</v>
      </c>
      <c r="F119" t="s">
        <v>195</v>
      </c>
      <c r="G119" t="b">
        <f t="shared" si="1"/>
        <v>0</v>
      </c>
      <c r="H119" t="e">
        <f>VLOOKUP(A119,ID_Lookup!A:A,1,FALSE)</f>
        <v>#N/A</v>
      </c>
    </row>
    <row r="120" spans="1:8" hidden="1" x14ac:dyDescent="0.35">
      <c r="A120" t="s">
        <v>445</v>
      </c>
      <c r="B120">
        <v>2021</v>
      </c>
      <c r="C120" t="s">
        <v>446</v>
      </c>
      <c r="D120" t="s">
        <v>447</v>
      </c>
      <c r="E120" t="s">
        <v>173</v>
      </c>
      <c r="F120" t="s">
        <v>691</v>
      </c>
      <c r="G120" t="b">
        <f t="shared" si="1"/>
        <v>0</v>
      </c>
      <c r="H120" t="e">
        <f>VLOOKUP(A120,ID_Lookup!A:A,1,FALSE)</f>
        <v>#N/A</v>
      </c>
    </row>
    <row r="121" spans="1:8" hidden="1" x14ac:dyDescent="0.35">
      <c r="A121" t="s">
        <v>448</v>
      </c>
      <c r="B121">
        <v>2021</v>
      </c>
      <c r="C121" t="s">
        <v>449</v>
      </c>
      <c r="D121" t="s">
        <v>450</v>
      </c>
      <c r="E121" t="s">
        <v>173</v>
      </c>
      <c r="F121" t="s">
        <v>195</v>
      </c>
      <c r="G121" t="b">
        <f t="shared" si="1"/>
        <v>0</v>
      </c>
      <c r="H121" t="e">
        <f>VLOOKUP(A121,ID_Lookup!A:A,1,FALSE)</f>
        <v>#N/A</v>
      </c>
    </row>
    <row r="122" spans="1:8" ht="409.5" hidden="1" x14ac:dyDescent="0.35">
      <c r="A122" t="s">
        <v>451</v>
      </c>
      <c r="B122">
        <v>2021</v>
      </c>
      <c r="C122" t="s">
        <v>452</v>
      </c>
      <c r="D122" s="1" t="s">
        <v>453</v>
      </c>
      <c r="E122" t="s">
        <v>173</v>
      </c>
      <c r="F122" t="s">
        <v>195</v>
      </c>
      <c r="G122" t="b">
        <f t="shared" si="1"/>
        <v>0</v>
      </c>
      <c r="H122" t="e">
        <f>VLOOKUP(A122,ID_Lookup!A:A,1,FALSE)</f>
        <v>#N/A</v>
      </c>
    </row>
    <row r="123" spans="1:8" hidden="1" x14ac:dyDescent="0.35">
      <c r="A123" t="s">
        <v>454</v>
      </c>
      <c r="B123">
        <v>2021</v>
      </c>
      <c r="C123" t="s">
        <v>455</v>
      </c>
      <c r="D123" t="s">
        <v>456</v>
      </c>
      <c r="E123" t="s">
        <v>173</v>
      </c>
      <c r="F123" t="s">
        <v>195</v>
      </c>
      <c r="G123" t="b">
        <f t="shared" si="1"/>
        <v>0</v>
      </c>
      <c r="H123" t="e">
        <f>VLOOKUP(A123,ID_Lookup!A:A,1,FALSE)</f>
        <v>#N/A</v>
      </c>
    </row>
    <row r="124" spans="1:8" hidden="1" x14ac:dyDescent="0.35">
      <c r="A124" s="8" t="s">
        <v>457</v>
      </c>
      <c r="B124" s="8">
        <v>2021</v>
      </c>
      <c r="C124" s="8" t="s">
        <v>458</v>
      </c>
      <c r="D124" s="8" t="s">
        <v>459</v>
      </c>
      <c r="E124" t="s">
        <v>173</v>
      </c>
      <c r="F124" t="s">
        <v>195</v>
      </c>
      <c r="G124" t="b">
        <f t="shared" si="1"/>
        <v>0</v>
      </c>
      <c r="H124" t="e">
        <f>VLOOKUP(A124,ID_Lookup!A:A,1,FALSE)</f>
        <v>#N/A</v>
      </c>
    </row>
    <row r="125" spans="1:8" hidden="1" x14ac:dyDescent="0.35">
      <c r="A125" t="s">
        <v>460</v>
      </c>
      <c r="B125">
        <v>2021</v>
      </c>
      <c r="C125" t="s">
        <v>461</v>
      </c>
      <c r="D125" t="s">
        <v>462</v>
      </c>
      <c r="E125" t="s">
        <v>173</v>
      </c>
      <c r="F125" t="s">
        <v>195</v>
      </c>
      <c r="G125" t="b">
        <f t="shared" si="1"/>
        <v>0</v>
      </c>
      <c r="H125" t="e">
        <f>VLOOKUP(A125,ID_Lookup!A:A,1,FALSE)</f>
        <v>#N/A</v>
      </c>
    </row>
    <row r="126" spans="1:8" hidden="1" x14ac:dyDescent="0.35">
      <c r="A126" t="s">
        <v>463</v>
      </c>
      <c r="B126">
        <v>2021</v>
      </c>
      <c r="C126" t="s">
        <v>464</v>
      </c>
      <c r="D126" t="s">
        <v>465</v>
      </c>
      <c r="E126" t="s">
        <v>173</v>
      </c>
      <c r="F126" t="s">
        <v>195</v>
      </c>
      <c r="G126" t="b">
        <f t="shared" si="1"/>
        <v>0</v>
      </c>
      <c r="H126" t="e">
        <f>VLOOKUP(A126,ID_Lookup!A:A,1,FALSE)</f>
        <v>#N/A</v>
      </c>
    </row>
    <row r="127" spans="1:8" hidden="1" x14ac:dyDescent="0.35">
      <c r="A127" t="s">
        <v>466</v>
      </c>
      <c r="B127">
        <v>2021</v>
      </c>
      <c r="C127" t="s">
        <v>467</v>
      </c>
      <c r="D127" t="s">
        <v>468</v>
      </c>
      <c r="E127" t="s">
        <v>173</v>
      </c>
      <c r="F127" t="s">
        <v>692</v>
      </c>
      <c r="G127" t="b">
        <f t="shared" si="1"/>
        <v>0</v>
      </c>
      <c r="H127" t="e">
        <f>VLOOKUP(A127,ID_Lookup!A:A,1,FALSE)</f>
        <v>#N/A</v>
      </c>
    </row>
    <row r="128" spans="1:8" hidden="1" x14ac:dyDescent="0.35">
      <c r="A128" t="s">
        <v>469</v>
      </c>
      <c r="B128">
        <v>2021</v>
      </c>
      <c r="C128" t="s">
        <v>470</v>
      </c>
      <c r="D128" t="s">
        <v>471</v>
      </c>
      <c r="E128" t="s">
        <v>112</v>
      </c>
      <c r="F128" t="s">
        <v>201</v>
      </c>
      <c r="G128" t="b">
        <f t="shared" si="1"/>
        <v>1</v>
      </c>
      <c r="H128" t="e">
        <f>VLOOKUP(A128,ID_Lookup!A:A,1,FALSE)</f>
        <v>#N/A</v>
      </c>
    </row>
    <row r="129" spans="1:8" hidden="1" x14ac:dyDescent="0.35">
      <c r="A129" t="s">
        <v>472</v>
      </c>
      <c r="B129">
        <v>2021</v>
      </c>
      <c r="C129" t="s">
        <v>473</v>
      </c>
      <c r="D129" t="s">
        <v>474</v>
      </c>
      <c r="E129" t="s">
        <v>173</v>
      </c>
      <c r="F129" t="s">
        <v>195</v>
      </c>
      <c r="G129" t="b">
        <f t="shared" si="1"/>
        <v>0</v>
      </c>
      <c r="H129" t="e">
        <f>VLOOKUP(A129,ID_Lookup!A:A,1,FALSE)</f>
        <v>#N/A</v>
      </c>
    </row>
    <row r="130" spans="1:8" hidden="1" x14ac:dyDescent="0.35">
      <c r="A130" t="s">
        <v>475</v>
      </c>
      <c r="B130">
        <v>2021</v>
      </c>
      <c r="C130" t="s">
        <v>476</v>
      </c>
      <c r="D130" t="s">
        <v>477</v>
      </c>
      <c r="E130" t="s">
        <v>173</v>
      </c>
      <c r="F130" t="s">
        <v>195</v>
      </c>
      <c r="G130" t="b">
        <f t="shared" si="1"/>
        <v>0</v>
      </c>
      <c r="H130" t="e">
        <f>VLOOKUP(A130,ID_Lookup!A:A,1,FALSE)</f>
        <v>#N/A</v>
      </c>
    </row>
    <row r="131" spans="1:8" hidden="1" x14ac:dyDescent="0.35">
      <c r="A131" t="s">
        <v>478</v>
      </c>
      <c r="B131">
        <v>2021</v>
      </c>
      <c r="C131" t="s">
        <v>479</v>
      </c>
      <c r="D131" t="s">
        <v>480</v>
      </c>
      <c r="E131" t="s">
        <v>173</v>
      </c>
      <c r="F131" t="s">
        <v>195</v>
      </c>
      <c r="G131" t="b">
        <f t="shared" ref="G131:G194" si="2">IF(E131="Include", TRUE, FALSE)</f>
        <v>0</v>
      </c>
      <c r="H131" t="e">
        <f>VLOOKUP(A131,ID_Lookup!A:A,1,FALSE)</f>
        <v>#N/A</v>
      </c>
    </row>
    <row r="132" spans="1:8" hidden="1" x14ac:dyDescent="0.35">
      <c r="A132" t="s">
        <v>481</v>
      </c>
      <c r="B132">
        <v>2021</v>
      </c>
      <c r="C132" t="s">
        <v>482</v>
      </c>
      <c r="D132" t="s">
        <v>483</v>
      </c>
      <c r="E132" t="s">
        <v>173</v>
      </c>
      <c r="F132" t="s">
        <v>195</v>
      </c>
      <c r="G132" t="b">
        <f t="shared" si="2"/>
        <v>0</v>
      </c>
      <c r="H132" t="e">
        <f>VLOOKUP(A132,ID_Lookup!A:A,1,FALSE)</f>
        <v>#N/A</v>
      </c>
    </row>
    <row r="133" spans="1:8" x14ac:dyDescent="0.35">
      <c r="A133" t="s">
        <v>241</v>
      </c>
      <c r="B133">
        <v>2021</v>
      </c>
      <c r="C133" t="s">
        <v>242</v>
      </c>
      <c r="D133" t="s">
        <v>484</v>
      </c>
      <c r="E133" t="s">
        <v>173</v>
      </c>
      <c r="F133" t="s">
        <v>195</v>
      </c>
      <c r="G133" t="b">
        <f t="shared" si="2"/>
        <v>0</v>
      </c>
      <c r="H133" t="str">
        <f>VLOOKUP(A133,ID_Lookup!A:A,1,FALSE)</f>
        <v>J2861</v>
      </c>
    </row>
    <row r="134" spans="1:8" hidden="1" x14ac:dyDescent="0.35">
      <c r="A134" t="s">
        <v>485</v>
      </c>
      <c r="B134">
        <v>2021</v>
      </c>
      <c r="C134" t="s">
        <v>486</v>
      </c>
      <c r="D134" t="s">
        <v>487</v>
      </c>
      <c r="E134" t="s">
        <v>173</v>
      </c>
      <c r="F134" t="s">
        <v>195</v>
      </c>
      <c r="G134" t="b">
        <f t="shared" si="2"/>
        <v>0</v>
      </c>
      <c r="H134" t="e">
        <f>VLOOKUP(A134,ID_Lookup!A:A,1,FALSE)</f>
        <v>#N/A</v>
      </c>
    </row>
    <row r="135" spans="1:8" ht="409.5" hidden="1" x14ac:dyDescent="0.35">
      <c r="A135" t="s">
        <v>488</v>
      </c>
      <c r="B135">
        <v>2021</v>
      </c>
      <c r="C135" t="s">
        <v>489</v>
      </c>
      <c r="D135" s="1" t="s">
        <v>490</v>
      </c>
      <c r="E135" t="s">
        <v>173</v>
      </c>
      <c r="F135" t="s">
        <v>693</v>
      </c>
      <c r="G135" t="b">
        <f t="shared" si="2"/>
        <v>0</v>
      </c>
      <c r="H135" t="e">
        <f>VLOOKUP(A135,ID_Lookup!A:A,1,FALSE)</f>
        <v>#N/A</v>
      </c>
    </row>
    <row r="136" spans="1:8" hidden="1" x14ac:dyDescent="0.35">
      <c r="A136" t="s">
        <v>491</v>
      </c>
      <c r="B136">
        <v>2021</v>
      </c>
      <c r="C136" t="s">
        <v>492</v>
      </c>
      <c r="D136" t="s">
        <v>493</v>
      </c>
      <c r="E136" t="s">
        <v>173</v>
      </c>
      <c r="F136" t="s">
        <v>681</v>
      </c>
      <c r="G136" t="b">
        <f t="shared" si="2"/>
        <v>0</v>
      </c>
      <c r="H136" t="e">
        <f>VLOOKUP(A136,ID_Lookup!A:A,1,FALSE)</f>
        <v>#N/A</v>
      </c>
    </row>
    <row r="137" spans="1:8" hidden="1" x14ac:dyDescent="0.35">
      <c r="A137" t="s">
        <v>494</v>
      </c>
      <c r="B137">
        <v>2021</v>
      </c>
      <c r="C137" t="s">
        <v>495</v>
      </c>
      <c r="D137" t="s">
        <v>496</v>
      </c>
      <c r="E137" t="s">
        <v>173</v>
      </c>
      <c r="F137" t="s">
        <v>195</v>
      </c>
      <c r="G137" t="b">
        <f t="shared" si="2"/>
        <v>0</v>
      </c>
      <c r="H137" t="e">
        <f>VLOOKUP(A137,ID_Lookup!A:A,1,FALSE)</f>
        <v>#N/A</v>
      </c>
    </row>
    <row r="138" spans="1:8" hidden="1" x14ac:dyDescent="0.35">
      <c r="A138" t="s">
        <v>497</v>
      </c>
      <c r="B138">
        <v>2021</v>
      </c>
      <c r="C138" t="s">
        <v>498</v>
      </c>
      <c r="D138" t="s">
        <v>499</v>
      </c>
      <c r="E138" t="s">
        <v>173</v>
      </c>
      <c r="F138" t="s">
        <v>681</v>
      </c>
      <c r="G138" t="b">
        <f t="shared" si="2"/>
        <v>0</v>
      </c>
      <c r="H138" t="e">
        <f>VLOOKUP(A138,ID_Lookup!A:A,1,FALSE)</f>
        <v>#N/A</v>
      </c>
    </row>
    <row r="139" spans="1:8" hidden="1" x14ac:dyDescent="0.35">
      <c r="A139" t="s">
        <v>500</v>
      </c>
      <c r="B139">
        <v>2021</v>
      </c>
      <c r="C139" t="s">
        <v>501</v>
      </c>
      <c r="D139" t="s">
        <v>502</v>
      </c>
      <c r="E139" t="s">
        <v>173</v>
      </c>
      <c r="F139" t="s">
        <v>195</v>
      </c>
      <c r="G139" t="b">
        <f t="shared" si="2"/>
        <v>0</v>
      </c>
      <c r="H139" t="e">
        <f>VLOOKUP(A139,ID_Lookup!A:A,1,FALSE)</f>
        <v>#N/A</v>
      </c>
    </row>
    <row r="140" spans="1:8" hidden="1" x14ac:dyDescent="0.35">
      <c r="A140" t="s">
        <v>503</v>
      </c>
      <c r="B140">
        <v>2021</v>
      </c>
      <c r="C140" t="s">
        <v>504</v>
      </c>
      <c r="D140" t="s">
        <v>505</v>
      </c>
      <c r="E140" t="s">
        <v>173</v>
      </c>
      <c r="F140" t="s">
        <v>195</v>
      </c>
      <c r="G140" t="b">
        <f t="shared" si="2"/>
        <v>0</v>
      </c>
      <c r="H140" t="e">
        <f>VLOOKUP(A140,ID_Lookup!A:A,1,FALSE)</f>
        <v>#N/A</v>
      </c>
    </row>
    <row r="141" spans="1:8" hidden="1" x14ac:dyDescent="0.35">
      <c r="A141" t="s">
        <v>506</v>
      </c>
      <c r="B141">
        <v>2021</v>
      </c>
      <c r="C141" t="s">
        <v>507</v>
      </c>
      <c r="D141" t="s">
        <v>508</v>
      </c>
      <c r="E141" t="s">
        <v>173</v>
      </c>
      <c r="F141" t="s">
        <v>195</v>
      </c>
      <c r="G141" t="b">
        <f t="shared" si="2"/>
        <v>0</v>
      </c>
      <c r="H141" t="e">
        <f>VLOOKUP(A141,ID_Lookup!A:A,1,FALSE)</f>
        <v>#N/A</v>
      </c>
    </row>
    <row r="142" spans="1:8" hidden="1" x14ac:dyDescent="0.35">
      <c r="A142" t="s">
        <v>509</v>
      </c>
      <c r="B142">
        <v>2021</v>
      </c>
      <c r="C142" t="s">
        <v>510</v>
      </c>
      <c r="D142" t="s">
        <v>511</v>
      </c>
      <c r="E142" t="s">
        <v>173</v>
      </c>
      <c r="F142" t="s">
        <v>195</v>
      </c>
      <c r="G142" t="b">
        <f t="shared" si="2"/>
        <v>0</v>
      </c>
      <c r="H142" t="e">
        <f>VLOOKUP(A142,ID_Lookup!A:A,1,FALSE)</f>
        <v>#N/A</v>
      </c>
    </row>
    <row r="143" spans="1:8" hidden="1" x14ac:dyDescent="0.35">
      <c r="A143" t="s">
        <v>512</v>
      </c>
      <c r="B143">
        <v>2021</v>
      </c>
      <c r="C143" t="s">
        <v>513</v>
      </c>
      <c r="D143" t="s">
        <v>514</v>
      </c>
      <c r="E143" t="s">
        <v>173</v>
      </c>
      <c r="F143" t="s">
        <v>195</v>
      </c>
      <c r="G143" t="b">
        <f t="shared" si="2"/>
        <v>0</v>
      </c>
      <c r="H143" t="e">
        <f>VLOOKUP(A143,ID_Lookup!A:A,1,FALSE)</f>
        <v>#N/A</v>
      </c>
    </row>
    <row r="144" spans="1:8" hidden="1" x14ac:dyDescent="0.35">
      <c r="A144" t="s">
        <v>515</v>
      </c>
      <c r="B144">
        <v>2021</v>
      </c>
      <c r="C144" t="s">
        <v>516</v>
      </c>
      <c r="D144" t="s">
        <v>517</v>
      </c>
      <c r="E144" t="s">
        <v>173</v>
      </c>
      <c r="F144" t="s">
        <v>195</v>
      </c>
      <c r="G144" t="b">
        <f t="shared" si="2"/>
        <v>0</v>
      </c>
      <c r="H144" t="e">
        <f>VLOOKUP(A144,ID_Lookup!A:A,1,FALSE)</f>
        <v>#N/A</v>
      </c>
    </row>
    <row r="145" spans="1:8" hidden="1" x14ac:dyDescent="0.35">
      <c r="A145" t="s">
        <v>518</v>
      </c>
      <c r="B145">
        <v>2021</v>
      </c>
      <c r="C145" t="s">
        <v>519</v>
      </c>
      <c r="D145" t="s">
        <v>520</v>
      </c>
      <c r="E145" t="s">
        <v>173</v>
      </c>
      <c r="F145" t="s">
        <v>681</v>
      </c>
      <c r="G145" t="b">
        <f t="shared" si="2"/>
        <v>0</v>
      </c>
      <c r="H145" t="e">
        <f>VLOOKUP(A145,ID_Lookup!A:A,1,FALSE)</f>
        <v>#N/A</v>
      </c>
    </row>
    <row r="146" spans="1:8" hidden="1" x14ac:dyDescent="0.35">
      <c r="A146" t="s">
        <v>521</v>
      </c>
      <c r="B146">
        <v>2021</v>
      </c>
      <c r="C146" t="s">
        <v>522</v>
      </c>
      <c r="D146" t="s">
        <v>523</v>
      </c>
      <c r="E146" t="s">
        <v>173</v>
      </c>
      <c r="F146" t="s">
        <v>681</v>
      </c>
      <c r="G146" t="b">
        <f t="shared" si="2"/>
        <v>0</v>
      </c>
      <c r="H146" t="e">
        <f>VLOOKUP(A146,ID_Lookup!A:A,1,FALSE)</f>
        <v>#N/A</v>
      </c>
    </row>
    <row r="147" spans="1:8" hidden="1" x14ac:dyDescent="0.35">
      <c r="A147" t="s">
        <v>524</v>
      </c>
      <c r="B147">
        <v>2021</v>
      </c>
      <c r="C147" t="s">
        <v>525</v>
      </c>
      <c r="D147" t="s">
        <v>526</v>
      </c>
      <c r="E147" t="s">
        <v>173</v>
      </c>
      <c r="F147" t="s">
        <v>195</v>
      </c>
      <c r="G147" t="b">
        <f t="shared" si="2"/>
        <v>0</v>
      </c>
      <c r="H147" t="e">
        <f>VLOOKUP(A147,ID_Lookup!A:A,1,FALSE)</f>
        <v>#N/A</v>
      </c>
    </row>
    <row r="148" spans="1:8" hidden="1" x14ac:dyDescent="0.35">
      <c r="A148" t="s">
        <v>527</v>
      </c>
      <c r="B148">
        <v>2021</v>
      </c>
      <c r="C148" t="s">
        <v>528</v>
      </c>
      <c r="D148" t="s">
        <v>529</v>
      </c>
      <c r="E148" t="s">
        <v>173</v>
      </c>
      <c r="F148" t="s">
        <v>195</v>
      </c>
      <c r="G148" t="b">
        <f t="shared" si="2"/>
        <v>0</v>
      </c>
      <c r="H148" t="e">
        <f>VLOOKUP(A148,ID_Lookup!A:A,1,FALSE)</f>
        <v>#N/A</v>
      </c>
    </row>
    <row r="149" spans="1:8" hidden="1" x14ac:dyDescent="0.35">
      <c r="A149" t="s">
        <v>530</v>
      </c>
      <c r="B149">
        <v>2021</v>
      </c>
      <c r="C149" t="s">
        <v>531</v>
      </c>
      <c r="D149" t="s">
        <v>532</v>
      </c>
      <c r="E149" t="s">
        <v>173</v>
      </c>
      <c r="F149" t="s">
        <v>195</v>
      </c>
      <c r="G149" t="b">
        <f t="shared" si="2"/>
        <v>0</v>
      </c>
      <c r="H149" t="e">
        <f>VLOOKUP(A149,ID_Lookup!A:A,1,FALSE)</f>
        <v>#N/A</v>
      </c>
    </row>
    <row r="150" spans="1:8" hidden="1" x14ac:dyDescent="0.35">
      <c r="A150" t="s">
        <v>533</v>
      </c>
      <c r="B150">
        <v>2021</v>
      </c>
      <c r="C150" t="s">
        <v>534</v>
      </c>
      <c r="D150" t="s">
        <v>535</v>
      </c>
      <c r="E150" t="s">
        <v>173</v>
      </c>
      <c r="F150" t="s">
        <v>195</v>
      </c>
      <c r="G150" t="b">
        <f t="shared" si="2"/>
        <v>0</v>
      </c>
      <c r="H150" t="e">
        <f>VLOOKUP(A150,ID_Lookup!A:A,1,FALSE)</f>
        <v>#N/A</v>
      </c>
    </row>
    <row r="151" spans="1:8" hidden="1" x14ac:dyDescent="0.35">
      <c r="A151" t="s">
        <v>536</v>
      </c>
      <c r="B151">
        <v>2021</v>
      </c>
      <c r="C151" t="s">
        <v>537</v>
      </c>
      <c r="D151" t="s">
        <v>538</v>
      </c>
      <c r="E151" t="s">
        <v>173</v>
      </c>
      <c r="F151" t="s">
        <v>195</v>
      </c>
      <c r="G151" t="b">
        <f t="shared" si="2"/>
        <v>0</v>
      </c>
      <c r="H151" t="e">
        <f>VLOOKUP(A151,ID_Lookup!A:A,1,FALSE)</f>
        <v>#N/A</v>
      </c>
    </row>
    <row r="152" spans="1:8" hidden="1" x14ac:dyDescent="0.35">
      <c r="A152" t="s">
        <v>539</v>
      </c>
      <c r="B152">
        <v>2021</v>
      </c>
      <c r="C152" t="s">
        <v>540</v>
      </c>
      <c r="D152" t="s">
        <v>520</v>
      </c>
      <c r="E152" t="s">
        <v>173</v>
      </c>
      <c r="F152" t="s">
        <v>195</v>
      </c>
      <c r="G152" t="b">
        <f t="shared" si="2"/>
        <v>0</v>
      </c>
      <c r="H152" t="e">
        <f>VLOOKUP(A152,ID_Lookup!A:A,1,FALSE)</f>
        <v>#N/A</v>
      </c>
    </row>
    <row r="153" spans="1:8" x14ac:dyDescent="0.35">
      <c r="A153" t="s">
        <v>245</v>
      </c>
      <c r="B153">
        <v>2021</v>
      </c>
      <c r="C153" t="s">
        <v>246</v>
      </c>
      <c r="D153" t="s">
        <v>541</v>
      </c>
      <c r="E153" t="s">
        <v>173</v>
      </c>
      <c r="F153" t="s">
        <v>195</v>
      </c>
      <c r="G153" t="b">
        <f t="shared" si="2"/>
        <v>0</v>
      </c>
      <c r="H153" t="str">
        <f>VLOOKUP(A153,ID_Lookup!A:A,1,FALSE)</f>
        <v>J2881</v>
      </c>
    </row>
    <row r="154" spans="1:8" hidden="1" x14ac:dyDescent="0.35">
      <c r="A154" t="s">
        <v>542</v>
      </c>
      <c r="B154">
        <v>2021</v>
      </c>
      <c r="C154" t="s">
        <v>543</v>
      </c>
      <c r="D154" t="s">
        <v>544</v>
      </c>
      <c r="E154" t="s">
        <v>173</v>
      </c>
      <c r="F154" t="s">
        <v>195</v>
      </c>
      <c r="G154" t="b">
        <f t="shared" si="2"/>
        <v>0</v>
      </c>
      <c r="H154" t="e">
        <f>VLOOKUP(A154,ID_Lookup!A:A,1,FALSE)</f>
        <v>#N/A</v>
      </c>
    </row>
    <row r="155" spans="1:8" hidden="1" x14ac:dyDescent="0.35">
      <c r="A155" t="s">
        <v>545</v>
      </c>
      <c r="B155">
        <v>2021</v>
      </c>
      <c r="C155" t="s">
        <v>546</v>
      </c>
      <c r="D155" t="s">
        <v>547</v>
      </c>
      <c r="E155" t="s">
        <v>173</v>
      </c>
      <c r="F155" t="s">
        <v>195</v>
      </c>
      <c r="G155" t="b">
        <f t="shared" si="2"/>
        <v>0</v>
      </c>
      <c r="H155" t="e">
        <f>VLOOKUP(A155,ID_Lookup!A:A,1,FALSE)</f>
        <v>#N/A</v>
      </c>
    </row>
    <row r="156" spans="1:8" hidden="1" x14ac:dyDescent="0.35">
      <c r="A156" t="s">
        <v>548</v>
      </c>
      <c r="B156">
        <v>2021</v>
      </c>
      <c r="C156" t="s">
        <v>549</v>
      </c>
      <c r="D156" t="s">
        <v>550</v>
      </c>
      <c r="E156" t="s">
        <v>173</v>
      </c>
      <c r="F156" t="s">
        <v>195</v>
      </c>
      <c r="G156" t="b">
        <f t="shared" si="2"/>
        <v>0</v>
      </c>
      <c r="H156" t="e">
        <f>VLOOKUP(A156,ID_Lookup!A:A,1,FALSE)</f>
        <v>#N/A</v>
      </c>
    </row>
    <row r="157" spans="1:8" hidden="1" x14ac:dyDescent="0.35">
      <c r="A157" t="s">
        <v>551</v>
      </c>
      <c r="B157">
        <v>2021</v>
      </c>
      <c r="C157" t="s">
        <v>552</v>
      </c>
      <c r="D157" t="s">
        <v>553</v>
      </c>
      <c r="E157" t="s">
        <v>173</v>
      </c>
      <c r="F157" t="s">
        <v>195</v>
      </c>
      <c r="G157" t="b">
        <f t="shared" si="2"/>
        <v>0</v>
      </c>
      <c r="H157" t="e">
        <f>VLOOKUP(A157,ID_Lookup!A:A,1,FALSE)</f>
        <v>#N/A</v>
      </c>
    </row>
    <row r="158" spans="1:8" hidden="1" x14ac:dyDescent="0.35">
      <c r="A158" t="s">
        <v>554</v>
      </c>
      <c r="B158">
        <v>2021</v>
      </c>
      <c r="C158" t="s">
        <v>555</v>
      </c>
      <c r="D158" t="s">
        <v>556</v>
      </c>
      <c r="E158" t="s">
        <v>173</v>
      </c>
      <c r="F158" t="s">
        <v>195</v>
      </c>
      <c r="G158" t="b">
        <f t="shared" si="2"/>
        <v>0</v>
      </c>
      <c r="H158" t="e">
        <f>VLOOKUP(A158,ID_Lookup!A:A,1,FALSE)</f>
        <v>#N/A</v>
      </c>
    </row>
    <row r="159" spans="1:8" hidden="1" x14ac:dyDescent="0.35">
      <c r="A159" t="s">
        <v>557</v>
      </c>
      <c r="B159">
        <v>2021</v>
      </c>
      <c r="C159" t="s">
        <v>558</v>
      </c>
      <c r="D159" t="s">
        <v>559</v>
      </c>
      <c r="E159" t="s">
        <v>173</v>
      </c>
      <c r="F159" t="s">
        <v>195</v>
      </c>
      <c r="G159" t="b">
        <f t="shared" si="2"/>
        <v>0</v>
      </c>
      <c r="H159" t="e">
        <f>VLOOKUP(A159,ID_Lookup!A:A,1,FALSE)</f>
        <v>#N/A</v>
      </c>
    </row>
    <row r="160" spans="1:8" hidden="1" x14ac:dyDescent="0.35">
      <c r="A160" t="s">
        <v>560</v>
      </c>
      <c r="B160">
        <v>2021</v>
      </c>
      <c r="C160" t="s">
        <v>561</v>
      </c>
      <c r="D160" t="s">
        <v>562</v>
      </c>
      <c r="E160" t="s">
        <v>173</v>
      </c>
      <c r="F160" t="s">
        <v>195</v>
      </c>
      <c r="G160" t="b">
        <f t="shared" si="2"/>
        <v>0</v>
      </c>
      <c r="H160" t="e">
        <f>VLOOKUP(A160,ID_Lookup!A:A,1,FALSE)</f>
        <v>#N/A</v>
      </c>
    </row>
    <row r="161" spans="1:8" hidden="1" x14ac:dyDescent="0.35">
      <c r="A161" t="s">
        <v>563</v>
      </c>
      <c r="B161">
        <v>2021</v>
      </c>
      <c r="C161" t="s">
        <v>564</v>
      </c>
      <c r="D161" t="s">
        <v>565</v>
      </c>
      <c r="E161" t="s">
        <v>173</v>
      </c>
      <c r="F161" t="s">
        <v>195</v>
      </c>
      <c r="G161" t="b">
        <f t="shared" si="2"/>
        <v>0</v>
      </c>
      <c r="H161" t="e">
        <f>VLOOKUP(A161,ID_Lookup!A:A,1,FALSE)</f>
        <v>#N/A</v>
      </c>
    </row>
    <row r="162" spans="1:8" ht="409.5" hidden="1" x14ac:dyDescent="0.35">
      <c r="A162" t="s">
        <v>566</v>
      </c>
      <c r="B162">
        <v>2021</v>
      </c>
      <c r="C162" t="s">
        <v>567</v>
      </c>
      <c r="D162" s="1" t="s">
        <v>568</v>
      </c>
      <c r="E162" t="s">
        <v>173</v>
      </c>
      <c r="F162" t="s">
        <v>195</v>
      </c>
      <c r="G162" t="b">
        <f t="shared" si="2"/>
        <v>0</v>
      </c>
      <c r="H162" t="e">
        <f>VLOOKUP(A162,ID_Lookup!A:A,1,FALSE)</f>
        <v>#N/A</v>
      </c>
    </row>
    <row r="163" spans="1:8" hidden="1" x14ac:dyDescent="0.35">
      <c r="A163" t="s">
        <v>569</v>
      </c>
      <c r="B163">
        <v>2021</v>
      </c>
      <c r="C163" t="s">
        <v>570</v>
      </c>
      <c r="D163" t="s">
        <v>571</v>
      </c>
      <c r="E163" t="s">
        <v>173</v>
      </c>
      <c r="F163" t="s">
        <v>681</v>
      </c>
      <c r="G163" t="b">
        <f t="shared" si="2"/>
        <v>0</v>
      </c>
      <c r="H163" t="e">
        <f>VLOOKUP(A163,ID_Lookup!A:A,1,FALSE)</f>
        <v>#N/A</v>
      </c>
    </row>
    <row r="164" spans="1:8" hidden="1" x14ac:dyDescent="0.35">
      <c r="A164" t="s">
        <v>572</v>
      </c>
      <c r="B164">
        <v>2021</v>
      </c>
      <c r="C164" t="s">
        <v>573</v>
      </c>
      <c r="D164" t="s">
        <v>574</v>
      </c>
      <c r="E164" t="s">
        <v>173</v>
      </c>
      <c r="F164" t="s">
        <v>195</v>
      </c>
      <c r="G164" t="b">
        <f t="shared" si="2"/>
        <v>0</v>
      </c>
      <c r="H164" t="e">
        <f>VLOOKUP(A164,ID_Lookup!A:A,1,FALSE)</f>
        <v>#N/A</v>
      </c>
    </row>
    <row r="165" spans="1:8" hidden="1" x14ac:dyDescent="0.35">
      <c r="A165" t="s">
        <v>575</v>
      </c>
      <c r="B165">
        <v>2021</v>
      </c>
      <c r="C165" t="s">
        <v>576</v>
      </c>
      <c r="D165" t="s">
        <v>577</v>
      </c>
      <c r="E165" t="s">
        <v>112</v>
      </c>
      <c r="F165" t="s">
        <v>201</v>
      </c>
      <c r="G165" t="b">
        <f t="shared" si="2"/>
        <v>1</v>
      </c>
      <c r="H165" t="e">
        <f>VLOOKUP(A165,ID_Lookup!A:A,1,FALSE)</f>
        <v>#N/A</v>
      </c>
    </row>
    <row r="166" spans="1:8" hidden="1" x14ac:dyDescent="0.35">
      <c r="A166" t="s">
        <v>578</v>
      </c>
      <c r="B166">
        <v>2021</v>
      </c>
      <c r="C166" t="s">
        <v>579</v>
      </c>
      <c r="D166" t="s">
        <v>580</v>
      </c>
      <c r="E166" t="s">
        <v>173</v>
      </c>
      <c r="F166" t="s">
        <v>195</v>
      </c>
      <c r="G166" t="b">
        <f t="shared" si="2"/>
        <v>0</v>
      </c>
      <c r="H166" t="e">
        <f>VLOOKUP(A166,ID_Lookup!A:A,1,FALSE)</f>
        <v>#N/A</v>
      </c>
    </row>
    <row r="167" spans="1:8" hidden="1" x14ac:dyDescent="0.35">
      <c r="A167" t="s">
        <v>581</v>
      </c>
      <c r="B167">
        <v>2021</v>
      </c>
      <c r="C167" t="s">
        <v>582</v>
      </c>
      <c r="D167" t="s">
        <v>583</v>
      </c>
      <c r="E167" t="s">
        <v>112</v>
      </c>
      <c r="F167" t="s">
        <v>694</v>
      </c>
      <c r="G167" t="b">
        <f t="shared" si="2"/>
        <v>1</v>
      </c>
      <c r="H167" t="e">
        <f>VLOOKUP(A167,ID_Lookup!A:A,1,FALSE)</f>
        <v>#N/A</v>
      </c>
    </row>
    <row r="168" spans="1:8" hidden="1" x14ac:dyDescent="0.35">
      <c r="A168" t="s">
        <v>584</v>
      </c>
      <c r="B168">
        <v>2021</v>
      </c>
      <c r="C168" t="s">
        <v>585</v>
      </c>
      <c r="D168" t="s">
        <v>586</v>
      </c>
      <c r="E168" t="s">
        <v>112</v>
      </c>
      <c r="F168" t="s">
        <v>694</v>
      </c>
      <c r="G168" t="b">
        <f t="shared" si="2"/>
        <v>1</v>
      </c>
      <c r="H168" t="e">
        <f>VLOOKUP(A168,ID_Lookup!A:A,1,FALSE)</f>
        <v>#N/A</v>
      </c>
    </row>
    <row r="169" spans="1:8" hidden="1" x14ac:dyDescent="0.35">
      <c r="A169" t="s">
        <v>587</v>
      </c>
      <c r="B169">
        <v>2021</v>
      </c>
      <c r="C169" t="s">
        <v>588</v>
      </c>
      <c r="D169" t="s">
        <v>589</v>
      </c>
      <c r="E169" t="s">
        <v>173</v>
      </c>
      <c r="F169" t="s">
        <v>195</v>
      </c>
      <c r="G169" t="b">
        <f t="shared" si="2"/>
        <v>0</v>
      </c>
      <c r="H169" t="e">
        <f>VLOOKUP(A169,ID_Lookup!A:A,1,FALSE)</f>
        <v>#N/A</v>
      </c>
    </row>
    <row r="170" spans="1:8" ht="409.5" hidden="1" x14ac:dyDescent="0.35">
      <c r="A170" t="s">
        <v>590</v>
      </c>
      <c r="B170">
        <v>2021</v>
      </c>
      <c r="C170" t="s">
        <v>591</v>
      </c>
      <c r="D170" s="1" t="s">
        <v>592</v>
      </c>
      <c r="E170" t="s">
        <v>173</v>
      </c>
      <c r="F170" t="s">
        <v>195</v>
      </c>
      <c r="G170" t="b">
        <f t="shared" si="2"/>
        <v>0</v>
      </c>
      <c r="H170" t="e">
        <f>VLOOKUP(A170,ID_Lookup!A:A,1,FALSE)</f>
        <v>#N/A</v>
      </c>
    </row>
    <row r="171" spans="1:8" x14ac:dyDescent="0.35">
      <c r="A171" t="s">
        <v>249</v>
      </c>
      <c r="B171">
        <v>2021</v>
      </c>
      <c r="C171" t="s">
        <v>593</v>
      </c>
      <c r="D171" t="s">
        <v>594</v>
      </c>
      <c r="E171" t="s">
        <v>173</v>
      </c>
      <c r="F171" t="s">
        <v>195</v>
      </c>
      <c r="G171" t="b">
        <f t="shared" si="2"/>
        <v>0</v>
      </c>
      <c r="H171" t="str">
        <f>VLOOKUP(A171,ID_Lookup!A:A,1,FALSE)</f>
        <v>J2899</v>
      </c>
    </row>
    <row r="172" spans="1:8" hidden="1" x14ac:dyDescent="0.35">
      <c r="A172" t="s">
        <v>595</v>
      </c>
      <c r="B172">
        <v>2021</v>
      </c>
      <c r="C172" t="s">
        <v>596</v>
      </c>
      <c r="D172" t="s">
        <v>597</v>
      </c>
      <c r="E172" t="s">
        <v>173</v>
      </c>
      <c r="F172" t="s">
        <v>195</v>
      </c>
      <c r="G172" t="b">
        <f t="shared" si="2"/>
        <v>0</v>
      </c>
      <c r="H172" t="e">
        <f>VLOOKUP(A172,ID_Lookup!A:A,1,FALSE)</f>
        <v>#N/A</v>
      </c>
    </row>
    <row r="173" spans="1:8" hidden="1" x14ac:dyDescent="0.35">
      <c r="A173" t="s">
        <v>598</v>
      </c>
      <c r="B173">
        <v>2021</v>
      </c>
      <c r="C173" t="s">
        <v>599</v>
      </c>
      <c r="D173" t="s">
        <v>600</v>
      </c>
      <c r="E173" t="s">
        <v>173</v>
      </c>
      <c r="F173" t="s">
        <v>195</v>
      </c>
      <c r="G173" t="b">
        <f t="shared" si="2"/>
        <v>0</v>
      </c>
      <c r="H173" t="e">
        <f>VLOOKUP(A173,ID_Lookup!A:A,1,FALSE)</f>
        <v>#N/A</v>
      </c>
    </row>
    <row r="174" spans="1:8" hidden="1" x14ac:dyDescent="0.35">
      <c r="A174" t="s">
        <v>601</v>
      </c>
      <c r="B174">
        <v>2021</v>
      </c>
      <c r="C174" t="s">
        <v>602</v>
      </c>
      <c r="D174" t="s">
        <v>603</v>
      </c>
      <c r="E174" t="s">
        <v>173</v>
      </c>
      <c r="F174" t="s">
        <v>195</v>
      </c>
      <c r="G174" t="b">
        <f t="shared" si="2"/>
        <v>0</v>
      </c>
      <c r="H174" t="e">
        <f>VLOOKUP(A174,ID_Lookup!A:A,1,FALSE)</f>
        <v>#N/A</v>
      </c>
    </row>
    <row r="175" spans="1:8" hidden="1" x14ac:dyDescent="0.35">
      <c r="A175" t="s">
        <v>604</v>
      </c>
      <c r="B175">
        <v>2021</v>
      </c>
      <c r="C175" t="s">
        <v>605</v>
      </c>
      <c r="D175" t="s">
        <v>520</v>
      </c>
      <c r="E175" t="s">
        <v>173</v>
      </c>
      <c r="F175" t="s">
        <v>195</v>
      </c>
      <c r="G175" t="b">
        <f t="shared" si="2"/>
        <v>0</v>
      </c>
      <c r="H175" t="e">
        <f>VLOOKUP(A175,ID_Lookup!A:A,1,FALSE)</f>
        <v>#N/A</v>
      </c>
    </row>
    <row r="176" spans="1:8" hidden="1" x14ac:dyDescent="0.35">
      <c r="A176" t="s">
        <v>606</v>
      </c>
      <c r="B176">
        <v>2021</v>
      </c>
      <c r="C176" t="s">
        <v>607</v>
      </c>
      <c r="D176" t="s">
        <v>608</v>
      </c>
      <c r="E176" t="s">
        <v>173</v>
      </c>
      <c r="F176" t="s">
        <v>195</v>
      </c>
      <c r="G176" t="b">
        <f t="shared" si="2"/>
        <v>0</v>
      </c>
      <c r="H176" t="e">
        <f>VLOOKUP(A176,ID_Lookup!A:A,1,FALSE)</f>
        <v>#N/A</v>
      </c>
    </row>
    <row r="177" spans="1:8" hidden="1" x14ac:dyDescent="0.35">
      <c r="A177" t="s">
        <v>609</v>
      </c>
      <c r="B177">
        <v>2021</v>
      </c>
      <c r="C177" t="s">
        <v>610</v>
      </c>
      <c r="D177" t="s">
        <v>611</v>
      </c>
      <c r="E177" t="s">
        <v>173</v>
      </c>
      <c r="F177" t="s">
        <v>195</v>
      </c>
      <c r="G177" t="b">
        <f t="shared" si="2"/>
        <v>0</v>
      </c>
      <c r="H177" t="e">
        <f>VLOOKUP(A177,ID_Lookup!A:A,1,FALSE)</f>
        <v>#N/A</v>
      </c>
    </row>
    <row r="178" spans="1:8" hidden="1" x14ac:dyDescent="0.35">
      <c r="A178" t="s">
        <v>612</v>
      </c>
      <c r="B178">
        <v>2021</v>
      </c>
      <c r="C178" t="s">
        <v>613</v>
      </c>
      <c r="D178" t="s">
        <v>614</v>
      </c>
      <c r="E178" t="s">
        <v>173</v>
      </c>
      <c r="F178" t="s">
        <v>195</v>
      </c>
      <c r="G178" t="b">
        <f t="shared" si="2"/>
        <v>0</v>
      </c>
      <c r="H178" t="e">
        <f>VLOOKUP(A178,ID_Lookup!A:A,1,FALSE)</f>
        <v>#N/A</v>
      </c>
    </row>
    <row r="179" spans="1:8" hidden="1" x14ac:dyDescent="0.35">
      <c r="A179" t="s">
        <v>615</v>
      </c>
      <c r="B179">
        <v>2021</v>
      </c>
      <c r="C179" t="s">
        <v>616</v>
      </c>
      <c r="D179" t="s">
        <v>617</v>
      </c>
      <c r="E179" t="s">
        <v>173</v>
      </c>
      <c r="F179" t="s">
        <v>195</v>
      </c>
      <c r="G179" t="b">
        <f t="shared" si="2"/>
        <v>0</v>
      </c>
      <c r="H179" t="e">
        <f>VLOOKUP(A179,ID_Lookup!A:A,1,FALSE)</f>
        <v>#N/A</v>
      </c>
    </row>
    <row r="180" spans="1:8" hidden="1" x14ac:dyDescent="0.35">
      <c r="A180" t="s">
        <v>618</v>
      </c>
      <c r="B180">
        <v>2021</v>
      </c>
      <c r="C180" t="s">
        <v>619</v>
      </c>
      <c r="D180" t="s">
        <v>620</v>
      </c>
      <c r="E180" t="s">
        <v>173</v>
      </c>
      <c r="F180" t="s">
        <v>195</v>
      </c>
      <c r="G180" t="b">
        <f t="shared" si="2"/>
        <v>0</v>
      </c>
      <c r="H180" t="e">
        <f>VLOOKUP(A180,ID_Lookup!A:A,1,FALSE)</f>
        <v>#N/A</v>
      </c>
    </row>
    <row r="181" spans="1:8" ht="409.5" hidden="1" x14ac:dyDescent="0.35">
      <c r="A181" s="8" t="s">
        <v>621</v>
      </c>
      <c r="B181" s="8">
        <v>2021</v>
      </c>
      <c r="C181" s="8" t="s">
        <v>619</v>
      </c>
      <c r="D181" s="10" t="s">
        <v>622</v>
      </c>
      <c r="E181" t="s">
        <v>173</v>
      </c>
      <c r="F181" t="s">
        <v>195</v>
      </c>
      <c r="G181" t="b">
        <f t="shared" si="2"/>
        <v>0</v>
      </c>
      <c r="H181" t="e">
        <f>VLOOKUP(A181,ID_Lookup!A:A,1,FALSE)</f>
        <v>#N/A</v>
      </c>
    </row>
    <row r="182" spans="1:8" hidden="1" x14ac:dyDescent="0.35">
      <c r="A182" t="s">
        <v>623</v>
      </c>
      <c r="B182">
        <v>2021</v>
      </c>
      <c r="C182" t="s">
        <v>624</v>
      </c>
      <c r="D182" t="s">
        <v>625</v>
      </c>
      <c r="E182" t="s">
        <v>112</v>
      </c>
      <c r="F182" t="s">
        <v>695</v>
      </c>
      <c r="G182" t="b">
        <f t="shared" si="2"/>
        <v>1</v>
      </c>
      <c r="H182" t="e">
        <f>VLOOKUP(A182,ID_Lookup!A:A,1,FALSE)</f>
        <v>#N/A</v>
      </c>
    </row>
    <row r="183" spans="1:8" ht="409.5" hidden="1" x14ac:dyDescent="0.35">
      <c r="A183" t="s">
        <v>626</v>
      </c>
      <c r="B183">
        <v>2025</v>
      </c>
      <c r="C183" t="s">
        <v>627</v>
      </c>
      <c r="D183" s="1" t="s">
        <v>628</v>
      </c>
      <c r="E183" t="s">
        <v>173</v>
      </c>
      <c r="F183" t="s">
        <v>195</v>
      </c>
      <c r="G183" t="b">
        <f t="shared" si="2"/>
        <v>0</v>
      </c>
      <c r="H183" t="e">
        <f>VLOOKUP(A183,ID_Lookup!A:A,1,FALSE)</f>
        <v>#N/A</v>
      </c>
    </row>
    <row r="184" spans="1:8" hidden="1" x14ac:dyDescent="0.35">
      <c r="A184" s="8" t="s">
        <v>629</v>
      </c>
      <c r="B184" s="8">
        <v>2025</v>
      </c>
      <c r="C184" s="8" t="s">
        <v>627</v>
      </c>
      <c r="D184" s="8" t="s">
        <v>630</v>
      </c>
      <c r="E184" t="s">
        <v>173</v>
      </c>
      <c r="F184" t="s">
        <v>195</v>
      </c>
      <c r="G184" t="b">
        <f t="shared" si="2"/>
        <v>0</v>
      </c>
      <c r="H184" t="e">
        <f>VLOOKUP(A184,ID_Lookup!A:A,1,FALSE)</f>
        <v>#N/A</v>
      </c>
    </row>
    <row r="185" spans="1:8" hidden="1" x14ac:dyDescent="0.35">
      <c r="A185" t="s">
        <v>631</v>
      </c>
      <c r="B185">
        <v>2025</v>
      </c>
      <c r="C185" t="s">
        <v>632</v>
      </c>
      <c r="D185" t="s">
        <v>633</v>
      </c>
      <c r="E185" t="s">
        <v>173</v>
      </c>
      <c r="F185" t="s">
        <v>195</v>
      </c>
      <c r="G185" t="b">
        <f t="shared" si="2"/>
        <v>0</v>
      </c>
      <c r="H185" t="e">
        <f>VLOOKUP(A185,ID_Lookup!A:A,1,FALSE)</f>
        <v>#N/A</v>
      </c>
    </row>
    <row r="186" spans="1:8" hidden="1" x14ac:dyDescent="0.35">
      <c r="A186" t="s">
        <v>634</v>
      </c>
      <c r="B186">
        <v>2025</v>
      </c>
      <c r="C186" t="s">
        <v>635</v>
      </c>
      <c r="D186" t="s">
        <v>636</v>
      </c>
      <c r="E186" t="s">
        <v>173</v>
      </c>
      <c r="F186" t="s">
        <v>195</v>
      </c>
      <c r="G186" t="b">
        <f t="shared" si="2"/>
        <v>0</v>
      </c>
      <c r="H186" t="e">
        <f>VLOOKUP(A186,ID_Lookup!A:A,1,FALSE)</f>
        <v>#N/A</v>
      </c>
    </row>
    <row r="187" spans="1:8" hidden="1" x14ac:dyDescent="0.35">
      <c r="A187" t="s">
        <v>637</v>
      </c>
      <c r="B187">
        <v>2025</v>
      </c>
      <c r="C187" t="s">
        <v>638</v>
      </c>
      <c r="D187" t="s">
        <v>639</v>
      </c>
      <c r="E187" t="s">
        <v>173</v>
      </c>
      <c r="F187" t="s">
        <v>195</v>
      </c>
      <c r="G187" t="b">
        <f t="shared" si="2"/>
        <v>0</v>
      </c>
      <c r="H187" t="e">
        <f>VLOOKUP(A187,ID_Lookup!A:A,1,FALSE)</f>
        <v>#N/A</v>
      </c>
    </row>
    <row r="188" spans="1:8" hidden="1" x14ac:dyDescent="0.35">
      <c r="A188" t="s">
        <v>640</v>
      </c>
      <c r="B188">
        <v>2025</v>
      </c>
      <c r="C188" t="s">
        <v>641</v>
      </c>
      <c r="D188" t="s">
        <v>642</v>
      </c>
      <c r="E188" t="s">
        <v>173</v>
      </c>
      <c r="F188" t="s">
        <v>195</v>
      </c>
      <c r="G188" t="b">
        <f t="shared" si="2"/>
        <v>0</v>
      </c>
      <c r="H188" t="e">
        <f>VLOOKUP(A188,ID_Lookup!A:A,1,FALSE)</f>
        <v>#N/A</v>
      </c>
    </row>
    <row r="189" spans="1:8" hidden="1" x14ac:dyDescent="0.35">
      <c r="A189" t="s">
        <v>643</v>
      </c>
      <c r="B189">
        <v>2025</v>
      </c>
      <c r="C189" t="s">
        <v>644</v>
      </c>
      <c r="D189" t="s">
        <v>645</v>
      </c>
      <c r="E189" t="s">
        <v>173</v>
      </c>
      <c r="F189" t="s">
        <v>195</v>
      </c>
      <c r="G189" t="b">
        <f t="shared" si="2"/>
        <v>0</v>
      </c>
      <c r="H189" t="e">
        <f>VLOOKUP(A189,ID_Lookup!A:A,1,FALSE)</f>
        <v>#N/A</v>
      </c>
    </row>
    <row r="190" spans="1:8" hidden="1" x14ac:dyDescent="0.35">
      <c r="A190" t="s">
        <v>646</v>
      </c>
      <c r="B190">
        <v>2025</v>
      </c>
      <c r="C190" t="s">
        <v>647</v>
      </c>
      <c r="D190" t="s">
        <v>648</v>
      </c>
      <c r="E190" t="s">
        <v>112</v>
      </c>
      <c r="F190" t="s">
        <v>201</v>
      </c>
      <c r="G190" t="b">
        <f t="shared" si="2"/>
        <v>1</v>
      </c>
      <c r="H190" t="e">
        <f>VLOOKUP(A190,ID_Lookup!A:A,1,FALSE)</f>
        <v>#N/A</v>
      </c>
    </row>
    <row r="191" spans="1:8" hidden="1" x14ac:dyDescent="0.35">
      <c r="A191" t="s">
        <v>649</v>
      </c>
      <c r="B191">
        <v>2025</v>
      </c>
      <c r="C191" t="s">
        <v>650</v>
      </c>
      <c r="D191" t="s">
        <v>651</v>
      </c>
      <c r="E191" t="s">
        <v>112</v>
      </c>
      <c r="F191" t="s">
        <v>201</v>
      </c>
      <c r="G191" t="b">
        <f t="shared" si="2"/>
        <v>1</v>
      </c>
      <c r="H191" t="e">
        <f>VLOOKUP(A191,ID_Lookup!A:A,1,FALSE)</f>
        <v>#N/A</v>
      </c>
    </row>
    <row r="192" spans="1:8" hidden="1" x14ac:dyDescent="0.35">
      <c r="A192" t="s">
        <v>652</v>
      </c>
      <c r="B192">
        <v>2025</v>
      </c>
      <c r="C192" t="s">
        <v>653</v>
      </c>
      <c r="D192" t="s">
        <v>654</v>
      </c>
      <c r="E192" t="s">
        <v>173</v>
      </c>
      <c r="F192" t="s">
        <v>195</v>
      </c>
      <c r="G192" t="b">
        <f t="shared" si="2"/>
        <v>0</v>
      </c>
      <c r="H192" t="e">
        <f>VLOOKUP(A192,ID_Lookup!A:A,1,FALSE)</f>
        <v>#N/A</v>
      </c>
    </row>
    <row r="193" spans="1:8" hidden="1" x14ac:dyDescent="0.35">
      <c r="A193" t="s">
        <v>655</v>
      </c>
      <c r="B193">
        <v>2025</v>
      </c>
      <c r="C193" t="s">
        <v>656</v>
      </c>
      <c r="D193" t="s">
        <v>657</v>
      </c>
      <c r="E193" t="s">
        <v>173</v>
      </c>
      <c r="F193" t="s">
        <v>195</v>
      </c>
      <c r="G193" t="b">
        <f t="shared" si="2"/>
        <v>0</v>
      </c>
      <c r="H193" t="e">
        <f>VLOOKUP(A193,ID_Lookup!A:A,1,FALSE)</f>
        <v>#N/A</v>
      </c>
    </row>
    <row r="194" spans="1:8" hidden="1" x14ac:dyDescent="0.35">
      <c r="A194" t="s">
        <v>658</v>
      </c>
      <c r="B194">
        <v>2025</v>
      </c>
      <c r="C194" t="s">
        <v>659</v>
      </c>
      <c r="D194" t="s">
        <v>660</v>
      </c>
      <c r="E194" t="s">
        <v>112</v>
      </c>
      <c r="F194" t="s">
        <v>696</v>
      </c>
      <c r="G194" t="b">
        <f t="shared" si="2"/>
        <v>1</v>
      </c>
      <c r="H194" t="e">
        <f>VLOOKUP(A194,ID_Lookup!A:A,1,FALSE)</f>
        <v>#N/A</v>
      </c>
    </row>
    <row r="195" spans="1:8" x14ac:dyDescent="0.35">
      <c r="A195" t="s">
        <v>253</v>
      </c>
      <c r="B195">
        <v>2025</v>
      </c>
      <c r="C195" t="s">
        <v>254</v>
      </c>
      <c r="D195" t="s">
        <v>255</v>
      </c>
      <c r="E195" t="s">
        <v>112</v>
      </c>
      <c r="F195" t="s">
        <v>201</v>
      </c>
      <c r="G195" t="b">
        <f t="shared" ref="G195:G201" si="3">IF(E195="Include", TRUE, FALSE)</f>
        <v>1</v>
      </c>
      <c r="H195" t="str">
        <f>VLOOKUP(A195,ID_Lookup!A:A,1,FALSE)</f>
        <v>J6212</v>
      </c>
    </row>
    <row r="196" spans="1:8" x14ac:dyDescent="0.35">
      <c r="A196" t="s">
        <v>257</v>
      </c>
      <c r="B196">
        <v>2025</v>
      </c>
      <c r="C196" t="s">
        <v>258</v>
      </c>
      <c r="D196" t="s">
        <v>661</v>
      </c>
      <c r="E196" t="s">
        <v>173</v>
      </c>
      <c r="F196" t="s">
        <v>195</v>
      </c>
      <c r="G196" t="b">
        <f t="shared" si="3"/>
        <v>0</v>
      </c>
      <c r="H196" t="str">
        <f>VLOOKUP(A196,ID_Lookup!A:A,1,FALSE)</f>
        <v>J6213</v>
      </c>
    </row>
    <row r="197" spans="1:8" hidden="1" x14ac:dyDescent="0.35">
      <c r="A197" t="s">
        <v>662</v>
      </c>
      <c r="B197">
        <v>2025</v>
      </c>
      <c r="C197" t="s">
        <v>663</v>
      </c>
      <c r="D197" t="s">
        <v>664</v>
      </c>
      <c r="E197" t="s">
        <v>173</v>
      </c>
      <c r="F197" t="s">
        <v>195</v>
      </c>
      <c r="G197" t="b">
        <f t="shared" si="3"/>
        <v>0</v>
      </c>
      <c r="H197" t="e">
        <f>VLOOKUP(A197,ID_Lookup!A:A,1,FALSE)</f>
        <v>#N/A</v>
      </c>
    </row>
    <row r="198" spans="1:8" ht="409.5" hidden="1" x14ac:dyDescent="0.35">
      <c r="A198" s="8" t="s">
        <v>665</v>
      </c>
      <c r="B198" s="8">
        <v>2025</v>
      </c>
      <c r="C198" s="8" t="s">
        <v>666</v>
      </c>
      <c r="D198" s="10" t="s">
        <v>667</v>
      </c>
      <c r="E198" t="s">
        <v>173</v>
      </c>
      <c r="F198" t="s">
        <v>195</v>
      </c>
      <c r="G198" t="b">
        <f t="shared" si="3"/>
        <v>0</v>
      </c>
      <c r="H198" t="e">
        <f>VLOOKUP(A198,ID_Lookup!A:A,1,FALSE)</f>
        <v>#N/A</v>
      </c>
    </row>
    <row r="199" spans="1:8" hidden="1" x14ac:dyDescent="0.35">
      <c r="A199" t="s">
        <v>668</v>
      </c>
      <c r="B199">
        <v>2025</v>
      </c>
      <c r="C199" t="s">
        <v>669</v>
      </c>
      <c r="D199" t="s">
        <v>670</v>
      </c>
      <c r="E199" t="s">
        <v>173</v>
      </c>
      <c r="F199" t="s">
        <v>697</v>
      </c>
      <c r="G199" t="b">
        <f t="shared" si="3"/>
        <v>0</v>
      </c>
      <c r="H199" t="e">
        <f>VLOOKUP(A199,ID_Lookup!A:A,1,FALSE)</f>
        <v>#N/A</v>
      </c>
    </row>
    <row r="200" spans="1:8" hidden="1" x14ac:dyDescent="0.35">
      <c r="A200" t="s">
        <v>671</v>
      </c>
      <c r="B200">
        <v>2025</v>
      </c>
      <c r="C200" t="s">
        <v>672</v>
      </c>
      <c r="D200" t="s">
        <v>673</v>
      </c>
      <c r="E200" t="s">
        <v>173</v>
      </c>
      <c r="F200" t="s">
        <v>195</v>
      </c>
      <c r="G200" t="b">
        <f t="shared" si="3"/>
        <v>0</v>
      </c>
      <c r="H200" t="e">
        <f>VLOOKUP(A200,ID_Lookup!A:A,1,FALSE)</f>
        <v>#N/A</v>
      </c>
    </row>
    <row r="201" spans="1:8" hidden="1" x14ac:dyDescent="0.35">
      <c r="A201" t="s">
        <v>674</v>
      </c>
      <c r="B201">
        <v>2025</v>
      </c>
      <c r="C201" t="s">
        <v>675</v>
      </c>
      <c r="D201" t="s">
        <v>676</v>
      </c>
      <c r="E201" t="s">
        <v>173</v>
      </c>
      <c r="F201" t="s">
        <v>698</v>
      </c>
      <c r="G201" t="b">
        <f t="shared" si="3"/>
        <v>0</v>
      </c>
      <c r="H201" t="e">
        <f>VLOOKUP(A201,ID_Lookup!A:A,1,FALSE)</f>
        <v>#N/A</v>
      </c>
    </row>
  </sheetData>
  <autoFilter ref="A1:H201" xr:uid="{5D3E4052-2545-45A0-857B-B79114EE9774}">
    <filterColumn colId="7">
      <filters>
        <filter val="J2833"/>
        <filter val="J2843"/>
        <filter val="J2861"/>
        <filter val="J2881"/>
        <filter val="J2899"/>
        <filter val="J505"/>
        <filter val="J535"/>
        <filter val="J545"/>
        <filter val="J547"/>
        <filter val="J552"/>
        <filter val="J571"/>
        <filter val="J574"/>
        <filter val="J575"/>
        <filter val="J583"/>
        <filter val="J587"/>
        <filter val="J6212"/>
        <filter val="J6213"/>
      </filters>
    </filterColumn>
  </autoFilter>
  <conditionalFormatting sqref="E181:F201">
    <cfRule type="containsText" dxfId="5" priority="2" operator="containsText" text="Include">
      <formula>NOT(ISERROR(SEARCH("Include",E181)))</formula>
    </cfRule>
  </conditionalFormatting>
  <conditionalFormatting sqref="E1:E82 F49:F81 E83:F180">
    <cfRule type="containsText" dxfId="4" priority="3" operator="containsText" text="Include">
      <formula>NOT(ISERROR(SEARCH("Include",E1)))</formula>
    </cfRule>
  </conditionalFormatting>
  <conditionalFormatting sqref="E1:E201">
    <cfRule type="containsText" dxfId="3" priority="1" operator="containsText" text="Exclude">
      <formula>NOT(ISERROR(SEARCH("Exclude",E1)))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K26"/>
  <sheetViews>
    <sheetView workbookViewId="0">
      <selection activeCell="I1" sqref="I1:K18"/>
    </sheetView>
  </sheetViews>
  <sheetFormatPr defaultRowHeight="14.5" x14ac:dyDescent="0.35"/>
  <sheetData>
    <row r="1" spans="1:11" ht="15" thickBot="1" x14ac:dyDescent="0.4">
      <c r="A1" t="s">
        <v>0</v>
      </c>
      <c r="B1" t="s">
        <v>1</v>
      </c>
      <c r="C1" t="s">
        <v>2</v>
      </c>
      <c r="D1" t="s">
        <v>3</v>
      </c>
      <c r="E1" t="s">
        <v>182</v>
      </c>
      <c r="F1" t="s">
        <v>183</v>
      </c>
      <c r="G1" t="s">
        <v>184</v>
      </c>
      <c r="H1" t="s">
        <v>185</v>
      </c>
      <c r="I1" s="11" t="s">
        <v>109</v>
      </c>
      <c r="J1" s="12" t="s">
        <v>110</v>
      </c>
      <c r="K1" t="s">
        <v>175</v>
      </c>
    </row>
    <row r="2" spans="1:11" x14ac:dyDescent="0.35">
      <c r="A2" t="s">
        <v>14</v>
      </c>
      <c r="B2">
        <v>2019</v>
      </c>
      <c r="C2" t="s">
        <v>15</v>
      </c>
      <c r="D2" t="s">
        <v>186</v>
      </c>
      <c r="E2" t="b">
        <v>0</v>
      </c>
      <c r="F2" t="s">
        <v>187</v>
      </c>
      <c r="G2" t="s">
        <v>188</v>
      </c>
      <c r="H2">
        <v>0.9</v>
      </c>
      <c r="I2" t="s">
        <v>173</v>
      </c>
      <c r="J2" t="s">
        <v>195</v>
      </c>
      <c r="K2" t="b">
        <v>0</v>
      </c>
    </row>
    <row r="3" spans="1:11" x14ac:dyDescent="0.35">
      <c r="A3" t="s">
        <v>74</v>
      </c>
      <c r="B3">
        <v>2019</v>
      </c>
      <c r="C3" t="s">
        <v>75</v>
      </c>
      <c r="D3" t="s">
        <v>189</v>
      </c>
      <c r="E3" t="b">
        <v>0</v>
      </c>
      <c r="F3" t="s">
        <v>190</v>
      </c>
      <c r="H3">
        <v>0.9</v>
      </c>
      <c r="I3" t="s">
        <v>173</v>
      </c>
      <c r="J3" t="s">
        <v>195</v>
      </c>
      <c r="K3" t="b">
        <v>0</v>
      </c>
    </row>
    <row r="4" spans="1:11" x14ac:dyDescent="0.35">
      <c r="A4" t="s">
        <v>94</v>
      </c>
      <c r="B4">
        <v>2019</v>
      </c>
      <c r="C4" t="s">
        <v>95</v>
      </c>
      <c r="D4" t="s">
        <v>96</v>
      </c>
      <c r="E4" t="b">
        <v>0</v>
      </c>
      <c r="F4" t="s">
        <v>191</v>
      </c>
      <c r="G4" t="s">
        <v>192</v>
      </c>
      <c r="H4">
        <v>0.9</v>
      </c>
      <c r="I4" t="s">
        <v>173</v>
      </c>
      <c r="J4" t="s">
        <v>208</v>
      </c>
      <c r="K4" t="b">
        <v>0</v>
      </c>
    </row>
    <row r="5" spans="1:11" x14ac:dyDescent="0.35">
      <c r="A5" t="s">
        <v>99</v>
      </c>
      <c r="B5">
        <v>2019</v>
      </c>
      <c r="C5" t="s">
        <v>100</v>
      </c>
      <c r="D5" t="s">
        <v>101</v>
      </c>
      <c r="E5" t="b">
        <v>0</v>
      </c>
      <c r="F5" t="s">
        <v>193</v>
      </c>
      <c r="G5" t="s">
        <v>188</v>
      </c>
      <c r="H5">
        <v>0.7</v>
      </c>
      <c r="I5" t="s">
        <v>112</v>
      </c>
      <c r="J5" t="s">
        <v>200</v>
      </c>
      <c r="K5" t="b">
        <v>1</v>
      </c>
    </row>
    <row r="6" spans="1:11" x14ac:dyDescent="0.35">
      <c r="A6" t="s">
        <v>211</v>
      </c>
      <c r="B6">
        <v>2019</v>
      </c>
      <c r="C6" t="s">
        <v>212</v>
      </c>
      <c r="D6" t="s">
        <v>213</v>
      </c>
      <c r="E6" t="b">
        <v>0</v>
      </c>
      <c r="F6" t="s">
        <v>187</v>
      </c>
      <c r="G6" t="s">
        <v>188</v>
      </c>
      <c r="H6">
        <v>0.9</v>
      </c>
      <c r="I6" t="s">
        <v>173</v>
      </c>
      <c r="J6" t="s">
        <v>195</v>
      </c>
      <c r="K6" t="b">
        <v>0</v>
      </c>
    </row>
    <row r="7" spans="1:11" ht="409.5" x14ac:dyDescent="0.35">
      <c r="A7" t="s">
        <v>214</v>
      </c>
      <c r="B7">
        <v>2019</v>
      </c>
      <c r="C7" t="s">
        <v>215</v>
      </c>
      <c r="D7" s="1" t="s">
        <v>216</v>
      </c>
      <c r="E7" t="b">
        <v>0</v>
      </c>
      <c r="F7" t="s">
        <v>217</v>
      </c>
      <c r="G7" t="s">
        <v>192</v>
      </c>
      <c r="H7">
        <v>0.9</v>
      </c>
      <c r="I7" t="s">
        <v>173</v>
      </c>
      <c r="J7" t="s">
        <v>195</v>
      </c>
      <c r="K7" t="b">
        <v>0</v>
      </c>
    </row>
    <row r="8" spans="1:11" x14ac:dyDescent="0.35">
      <c r="A8" t="s">
        <v>218</v>
      </c>
      <c r="B8">
        <v>2019</v>
      </c>
      <c r="C8" t="s">
        <v>219</v>
      </c>
      <c r="D8" t="s">
        <v>220</v>
      </c>
      <c r="E8" t="b">
        <v>0</v>
      </c>
      <c r="F8" t="s">
        <v>221</v>
      </c>
      <c r="G8" t="s">
        <v>222</v>
      </c>
      <c r="H8">
        <v>0.8</v>
      </c>
      <c r="I8" t="s">
        <v>173</v>
      </c>
      <c r="J8" t="s">
        <v>682</v>
      </c>
      <c r="K8" t="b">
        <v>0</v>
      </c>
    </row>
    <row r="9" spans="1:11" x14ac:dyDescent="0.35">
      <c r="A9" t="s">
        <v>223</v>
      </c>
      <c r="B9">
        <v>2019</v>
      </c>
      <c r="C9" t="s">
        <v>224</v>
      </c>
      <c r="D9" t="s">
        <v>225</v>
      </c>
      <c r="E9" t="b">
        <v>0</v>
      </c>
      <c r="F9" t="s">
        <v>191</v>
      </c>
      <c r="G9" t="s">
        <v>222</v>
      </c>
      <c r="H9">
        <v>0.8</v>
      </c>
      <c r="I9" t="s">
        <v>173</v>
      </c>
      <c r="J9" t="s">
        <v>195</v>
      </c>
      <c r="K9" t="b">
        <v>0</v>
      </c>
    </row>
    <row r="10" spans="1:11" x14ac:dyDescent="0.35">
      <c r="A10" t="s">
        <v>226</v>
      </c>
      <c r="B10">
        <v>2019</v>
      </c>
      <c r="C10" t="s">
        <v>227</v>
      </c>
      <c r="D10" t="s">
        <v>228</v>
      </c>
      <c r="E10" t="b">
        <v>0</v>
      </c>
      <c r="F10" t="s">
        <v>229</v>
      </c>
      <c r="G10" t="s">
        <v>188</v>
      </c>
      <c r="H10">
        <v>0.9</v>
      </c>
      <c r="I10" t="s">
        <v>173</v>
      </c>
      <c r="J10" t="s">
        <v>683</v>
      </c>
      <c r="K10" t="b">
        <v>0</v>
      </c>
    </row>
    <row r="11" spans="1:11" ht="409.5" x14ac:dyDescent="0.35">
      <c r="A11" t="s">
        <v>230</v>
      </c>
      <c r="B11">
        <v>2019</v>
      </c>
      <c r="C11" t="s">
        <v>231</v>
      </c>
      <c r="D11" s="1" t="s">
        <v>232</v>
      </c>
      <c r="E11" t="b">
        <v>0</v>
      </c>
      <c r="F11" t="s">
        <v>187</v>
      </c>
      <c r="H11">
        <v>0.9</v>
      </c>
      <c r="I11" t="s">
        <v>173</v>
      </c>
      <c r="J11" t="s">
        <v>195</v>
      </c>
      <c r="K11" t="b">
        <v>0</v>
      </c>
    </row>
    <row r="12" spans="1:11" x14ac:dyDescent="0.35">
      <c r="A12" t="s">
        <v>233</v>
      </c>
      <c r="B12">
        <v>2021</v>
      </c>
      <c r="C12" t="s">
        <v>234</v>
      </c>
      <c r="D12" t="s">
        <v>235</v>
      </c>
      <c r="E12" t="b">
        <v>0</v>
      </c>
      <c r="F12" t="s">
        <v>236</v>
      </c>
      <c r="G12" t="s">
        <v>188</v>
      </c>
      <c r="H12">
        <v>0.8</v>
      </c>
      <c r="I12" t="s">
        <v>173</v>
      </c>
      <c r="J12" t="s">
        <v>688</v>
      </c>
      <c r="K12" t="b">
        <v>0</v>
      </c>
    </row>
    <row r="13" spans="1:11" x14ac:dyDescent="0.35">
      <c r="A13" t="s">
        <v>237</v>
      </c>
      <c r="B13">
        <v>2021</v>
      </c>
      <c r="C13" t="s">
        <v>238</v>
      </c>
      <c r="D13" t="s">
        <v>239</v>
      </c>
      <c r="E13" t="b">
        <v>0</v>
      </c>
      <c r="F13" t="s">
        <v>240</v>
      </c>
      <c r="G13" t="s">
        <v>188</v>
      </c>
      <c r="H13">
        <v>0.9</v>
      </c>
      <c r="I13" t="s">
        <v>173</v>
      </c>
      <c r="J13" t="s">
        <v>195</v>
      </c>
      <c r="K13" t="b">
        <v>0</v>
      </c>
    </row>
    <row r="14" spans="1:11" x14ac:dyDescent="0.35">
      <c r="A14" t="s">
        <v>241</v>
      </c>
      <c r="B14">
        <v>2021</v>
      </c>
      <c r="C14" t="s">
        <v>242</v>
      </c>
      <c r="D14" t="s">
        <v>243</v>
      </c>
      <c r="E14" t="b">
        <v>0</v>
      </c>
      <c r="F14" t="s">
        <v>244</v>
      </c>
      <c r="G14" t="s">
        <v>188</v>
      </c>
      <c r="H14">
        <v>0.9</v>
      </c>
      <c r="I14" t="s">
        <v>173</v>
      </c>
      <c r="J14" t="s">
        <v>195</v>
      </c>
      <c r="K14" t="b">
        <v>0</v>
      </c>
    </row>
    <row r="15" spans="1:11" x14ac:dyDescent="0.35">
      <c r="A15" t="s">
        <v>245</v>
      </c>
      <c r="B15">
        <v>2021</v>
      </c>
      <c r="C15" t="s">
        <v>246</v>
      </c>
      <c r="D15" t="s">
        <v>247</v>
      </c>
      <c r="E15" t="b">
        <v>0</v>
      </c>
      <c r="F15" t="s">
        <v>248</v>
      </c>
      <c r="G15" t="s">
        <v>188</v>
      </c>
      <c r="H15">
        <v>0.9</v>
      </c>
      <c r="I15" t="s">
        <v>173</v>
      </c>
      <c r="J15" t="s">
        <v>195</v>
      </c>
      <c r="K15" t="b">
        <v>0</v>
      </c>
    </row>
    <row r="16" spans="1:11" x14ac:dyDescent="0.35">
      <c r="A16" t="s">
        <v>249</v>
      </c>
      <c r="B16">
        <v>2021</v>
      </c>
      <c r="C16" t="s">
        <v>250</v>
      </c>
      <c r="D16" t="s">
        <v>251</v>
      </c>
      <c r="E16" t="b">
        <v>0</v>
      </c>
      <c r="F16" t="s">
        <v>252</v>
      </c>
      <c r="H16">
        <v>0.9</v>
      </c>
      <c r="I16" t="s">
        <v>173</v>
      </c>
      <c r="J16" t="s">
        <v>195</v>
      </c>
      <c r="K16" t="b">
        <v>0</v>
      </c>
    </row>
    <row r="17" spans="1:11" x14ac:dyDescent="0.35">
      <c r="A17" t="s">
        <v>253</v>
      </c>
      <c r="B17">
        <v>2025</v>
      </c>
      <c r="C17" t="s">
        <v>254</v>
      </c>
      <c r="D17" t="s">
        <v>255</v>
      </c>
      <c r="E17" t="b">
        <v>0</v>
      </c>
      <c r="F17" t="s">
        <v>256</v>
      </c>
      <c r="G17" t="s">
        <v>192</v>
      </c>
      <c r="H17">
        <v>0.9</v>
      </c>
      <c r="I17" t="s">
        <v>112</v>
      </c>
      <c r="J17" t="s">
        <v>201</v>
      </c>
      <c r="K17" t="b">
        <v>1</v>
      </c>
    </row>
    <row r="18" spans="1:11" x14ac:dyDescent="0.35">
      <c r="A18" t="s">
        <v>257</v>
      </c>
      <c r="B18">
        <v>2025</v>
      </c>
      <c r="C18" t="s">
        <v>258</v>
      </c>
      <c r="D18" t="s">
        <v>259</v>
      </c>
      <c r="E18" t="b">
        <v>0</v>
      </c>
      <c r="F18" t="s">
        <v>260</v>
      </c>
      <c r="G18" t="s">
        <v>188</v>
      </c>
      <c r="H18">
        <v>0.9</v>
      </c>
      <c r="I18" t="s">
        <v>173</v>
      </c>
      <c r="J18" t="s">
        <v>195</v>
      </c>
      <c r="K18" t="b">
        <v>0</v>
      </c>
    </row>
    <row r="21" spans="1:11" x14ac:dyDescent="0.35">
      <c r="D21" s="1"/>
    </row>
    <row r="26" spans="1:11" x14ac:dyDescent="0.35">
      <c r="D26" s="1"/>
    </row>
  </sheetData>
  <conditionalFormatting sqref="M10">
    <cfRule type="containsText" dxfId="15" priority="8" operator="containsText" text="Exclude">
      <formula>NOT(ISERROR(SEARCH("Exclude",M10)))</formula>
    </cfRule>
    <cfRule type="containsText" dxfId="14" priority="9" operator="containsText" text="Include">
      <formula>NOT(ISERROR(SEARCH("Include",M10)))</formula>
    </cfRule>
  </conditionalFormatting>
  <conditionalFormatting sqref="M30:M31">
    <cfRule type="containsText" dxfId="13" priority="10" operator="containsText" text="Exclude">
      <formula>NOT(ISERROR(SEARCH("Exclude",M30)))</formula>
    </cfRule>
    <cfRule type="containsText" dxfId="12" priority="11" operator="containsText" text="Include">
      <formula>NOT(ISERROR(SEARCH("Include",M30)))</formula>
    </cfRule>
  </conditionalFormatting>
  <conditionalFormatting sqref="I10:J16 J5:J9 I1:I9">
    <cfRule type="containsText" dxfId="2" priority="3" operator="containsText" text="Include">
      <formula>NOT(ISERROR(SEARCH("Include",I1)))</formula>
    </cfRule>
  </conditionalFormatting>
  <conditionalFormatting sqref="I1:I18">
    <cfRule type="containsText" dxfId="1" priority="2" operator="containsText" text="Exclude">
      <formula>NOT(ISERROR(SEARCH("Exclude",I1)))</formula>
    </cfRule>
  </conditionalFormatting>
  <conditionalFormatting sqref="I17:J18">
    <cfRule type="containsText" dxfId="0" priority="1" operator="containsText" text="Include">
      <formula>NOT(ISERROR(SEARCH("Include",I17)))</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C68"/>
  <sheetViews>
    <sheetView tabSelected="1" workbookViewId="0">
      <selection activeCell="B14" sqref="B14"/>
    </sheetView>
  </sheetViews>
  <sheetFormatPr defaultRowHeight="14.5" x14ac:dyDescent="0.35"/>
  <cols>
    <col min="1" max="1" width="16.26953125" bestFit="1" customWidth="1"/>
    <col min="2" max="2" width="11.1796875" customWidth="1"/>
  </cols>
  <sheetData>
    <row r="1" spans="1:3" x14ac:dyDescent="0.35">
      <c r="A1" t="s">
        <v>165</v>
      </c>
    </row>
    <row r="2" spans="1:3" x14ac:dyDescent="0.35">
      <c r="B2" t="s">
        <v>163</v>
      </c>
      <c r="C2" t="s">
        <v>164</v>
      </c>
    </row>
    <row r="3" spans="1:3" x14ac:dyDescent="0.35">
      <c r="A3" t="s">
        <v>161</v>
      </c>
      <c r="B3">
        <f>COUNTIFS('Merged results table'!E:E,TRUE,'Merged results table'!K:K,TRUE)</f>
        <v>0</v>
      </c>
      <c r="C3">
        <f>COUNTIFS('Merged results table'!E:E,TRUE,'Merged results table'!K:K,FALSE)</f>
        <v>0</v>
      </c>
    </row>
    <row r="4" spans="1:3" x14ac:dyDescent="0.35">
      <c r="A4" t="s">
        <v>162</v>
      </c>
      <c r="B4">
        <f>COUNTIFS('Merged results table'!E:E,FALSE,'Merged results table'!K:K,TRUE)</f>
        <v>2</v>
      </c>
      <c r="C4">
        <f>COUNTIFS('Merged results table'!E:E,FALSE,'Merged results table'!K:K,FALSE)</f>
        <v>15</v>
      </c>
    </row>
    <row r="6" spans="1:3" x14ac:dyDescent="0.35">
      <c r="A6" t="s">
        <v>168</v>
      </c>
      <c r="B6">
        <f>B3</f>
        <v>0</v>
      </c>
    </row>
    <row r="7" spans="1:3" x14ac:dyDescent="0.35">
      <c r="A7" t="s">
        <v>169</v>
      </c>
      <c r="B7">
        <f>C4</f>
        <v>15</v>
      </c>
    </row>
    <row r="8" spans="1:3" x14ac:dyDescent="0.35">
      <c r="A8" t="s">
        <v>170</v>
      </c>
      <c r="B8">
        <f>C3</f>
        <v>0</v>
      </c>
    </row>
    <row r="9" spans="1:3" x14ac:dyDescent="0.35">
      <c r="A9" t="s">
        <v>171</v>
      </c>
      <c r="B9">
        <f>B4</f>
        <v>2</v>
      </c>
    </row>
    <row r="11" spans="1:3" x14ac:dyDescent="0.35">
      <c r="A11" t="s">
        <v>166</v>
      </c>
      <c r="B11">
        <f>(B3+C4)/(B3+B4+C3+C4)</f>
        <v>0.88235294117647056</v>
      </c>
    </row>
    <row r="12" spans="1:3" x14ac:dyDescent="0.35">
      <c r="A12" t="s">
        <v>167</v>
      </c>
      <c r="B12">
        <f>B3/(B3+B4)</f>
        <v>0</v>
      </c>
    </row>
    <row r="14" spans="1:3" x14ac:dyDescent="0.35">
      <c r="A14" s="3" t="s">
        <v>172</v>
      </c>
    </row>
    <row r="15" spans="1:3" x14ac:dyDescent="0.35">
      <c r="A15" t="s">
        <v>210</v>
      </c>
    </row>
    <row r="28" spans="1:1" ht="17.5" x14ac:dyDescent="0.35">
      <c r="A28" s="4"/>
    </row>
    <row r="30" spans="1:1" x14ac:dyDescent="0.35">
      <c r="A30" s="3"/>
    </row>
    <row r="31" spans="1:1" x14ac:dyDescent="0.35">
      <c r="A31" s="5"/>
    </row>
    <row r="32" spans="1:1" x14ac:dyDescent="0.35">
      <c r="A32" s="5"/>
    </row>
    <row r="33" spans="1:1" x14ac:dyDescent="0.35">
      <c r="A33" s="5"/>
    </row>
    <row r="35" spans="1:1" x14ac:dyDescent="0.35">
      <c r="A35" s="3"/>
    </row>
    <row r="36" spans="1:1" x14ac:dyDescent="0.35">
      <c r="A36" s="5"/>
    </row>
    <row r="37" spans="1:1" x14ac:dyDescent="0.35">
      <c r="A37" s="5"/>
    </row>
    <row r="38" spans="1:1" x14ac:dyDescent="0.35">
      <c r="A38" s="5"/>
    </row>
    <row r="40" spans="1:1" x14ac:dyDescent="0.35">
      <c r="A40" s="3"/>
    </row>
    <row r="41" spans="1:1" x14ac:dyDescent="0.35">
      <c r="A41" s="5"/>
    </row>
    <row r="42" spans="1:1" x14ac:dyDescent="0.35">
      <c r="A42" s="5"/>
    </row>
    <row r="43" spans="1:1" x14ac:dyDescent="0.35">
      <c r="A43" s="5"/>
    </row>
    <row r="45" spans="1:1" x14ac:dyDescent="0.35">
      <c r="A45" s="3"/>
    </row>
    <row r="46" spans="1:1" x14ac:dyDescent="0.35">
      <c r="A46" s="5"/>
    </row>
    <row r="47" spans="1:1" x14ac:dyDescent="0.35">
      <c r="A47" s="5"/>
    </row>
    <row r="48" spans="1:1" x14ac:dyDescent="0.35">
      <c r="A48" s="5"/>
    </row>
    <row r="50" spans="1:1" x14ac:dyDescent="0.35">
      <c r="A50" s="3"/>
    </row>
    <row r="51" spans="1:1" x14ac:dyDescent="0.35">
      <c r="A51" s="5"/>
    </row>
    <row r="52" spans="1:1" x14ac:dyDescent="0.35">
      <c r="A52" s="5"/>
    </row>
    <row r="53" spans="1:1" x14ac:dyDescent="0.35">
      <c r="A53" s="5"/>
    </row>
    <row r="55" spans="1:1" x14ac:dyDescent="0.35">
      <c r="A55" s="3"/>
    </row>
    <row r="56" spans="1:1" x14ac:dyDescent="0.35">
      <c r="A56" s="5"/>
    </row>
    <row r="57" spans="1:1" x14ac:dyDescent="0.35">
      <c r="A57" s="5"/>
    </row>
    <row r="58" spans="1:1" x14ac:dyDescent="0.35">
      <c r="A58" s="5"/>
    </row>
    <row r="62" spans="1:1" ht="17.5" x14ac:dyDescent="0.35">
      <c r="A62" s="4" t="s">
        <v>176</v>
      </c>
    </row>
    <row r="64" spans="1:1" x14ac:dyDescent="0.35">
      <c r="A64" s="3" t="s">
        <v>177</v>
      </c>
    </row>
    <row r="65" spans="1:1" x14ac:dyDescent="0.35">
      <c r="A65" s="5" t="s">
        <v>178</v>
      </c>
    </row>
    <row r="66" spans="1:1" x14ac:dyDescent="0.35">
      <c r="A66" s="5" t="s">
        <v>179</v>
      </c>
    </row>
    <row r="67" spans="1:1" x14ac:dyDescent="0.35">
      <c r="A67" s="5" t="s">
        <v>180</v>
      </c>
    </row>
    <row r="68" spans="1:1" x14ac:dyDescent="0.35">
      <c r="A68" s="5" t="s">
        <v>181</v>
      </c>
    </row>
  </sheetData>
  <conditionalFormatting sqref="I18 J19:J22">
    <cfRule type="containsText" dxfId="11" priority="7" operator="containsText" text="Exclude">
      <formula>NOT(ISERROR(SEARCH("Exclude",I18)))</formula>
    </cfRule>
    <cfRule type="containsText" dxfId="10" priority="8" operator="containsText" text="Include">
      <formula>NOT(ISERROR(SEARCH("Include",I18)))</formula>
    </cfRule>
  </conditionalFormatting>
  <conditionalFormatting sqref="J26">
    <cfRule type="containsText" dxfId="9" priority="3" operator="containsText" text="Exclude">
      <formula>NOT(ISERROR(SEARCH("Exclude",J26)))</formula>
    </cfRule>
    <cfRule type="containsText" dxfId="8" priority="4" operator="containsText" text="Include">
      <formula>NOT(ISERROR(SEARCH("Include",J26)))</formula>
    </cfRule>
  </conditionalFormatting>
  <conditionalFormatting sqref="M20">
    <cfRule type="containsText" dxfId="7" priority="5" operator="containsText" text="Exclude">
      <formula>NOT(ISERROR(SEARCH("Exclude",M20)))</formula>
    </cfRule>
    <cfRule type="containsText" dxfId="6" priority="6" operator="containsText" text="Include">
      <formula>NOT(ISERROR(SEARCH("Include",M20)))</formula>
    </cfRule>
  </conditionalFormatting>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Stage_7_API_200</vt:lpstr>
      <vt:lpstr>ID_Lookup</vt:lpstr>
      <vt:lpstr>Stage_7_FF_200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2025-09-08T12:09:07Z</dcterms:modified>
</cp:coreProperties>
</file>