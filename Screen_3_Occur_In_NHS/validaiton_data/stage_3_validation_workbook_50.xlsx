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NM2.TP5IJ4AX\Downloads\"/>
    </mc:Choice>
  </mc:AlternateContent>
  <xr:revisionPtr revIDLastSave="0" documentId="13_ncr:1_{6BE0CCAD-C353-44B7-9280-4697ED9AE964}" xr6:coauthVersionLast="47" xr6:coauthVersionMax="47" xr10:uidLastSave="{00000000-0000-0000-0000-000000000000}"/>
  <bookViews>
    <workbookView xWindow="-110" yWindow="-110" windowWidth="19420" windowHeight="10300" activeTab="4" xr2:uid="{66513E08-89B8-4D61-A86D-819C01466699}"/>
  </bookViews>
  <sheets>
    <sheet name="Stage_3_API_50" sheetId="1" r:id="rId1"/>
    <sheet name="ID_Lookup" sheetId="5" r:id="rId2"/>
    <sheet name="Stage_3_FF_50" sheetId="2" r:id="rId3"/>
    <sheet name="Merged results table" sheetId="3" r:id="rId4"/>
    <sheet name="Evaluating Results" sheetId="4" r:id="rId5"/>
  </sheets>
  <definedNames>
    <definedName name="_xlnm._FilterDatabase" localSheetId="3" hidden="1">'Merged results table'!$A$1:$K$25</definedName>
    <definedName name="_xlnm._FilterDatabase" localSheetId="2" hidden="1">Stage_3_FF_50!$A$1:$H$52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 i="3" l="1"/>
  <c r="K4" i="3"/>
  <c r="K3" i="3"/>
  <c r="K2" i="3"/>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2" i="2"/>
  <c r="C3" i="4" l="1"/>
  <c r="B8" i="4" s="1"/>
  <c r="C4" i="4"/>
  <c r="B7" i="4" s="1"/>
  <c r="B4" i="4"/>
  <c r="B9" i="4" s="1"/>
  <c r="B3" i="4"/>
  <c r="B12" i="4" l="1"/>
  <c r="B6" i="4"/>
  <c r="B11" i="4"/>
</calcChain>
</file>

<file path=xl/sharedStrings.xml><?xml version="1.0" encoding="utf-8"?>
<sst xmlns="http://schemas.openxmlformats.org/spreadsheetml/2006/main" count="611" uniqueCount="241">
  <si>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</si>
  <si>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</si>
  <si>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</si>
  <si>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</si>
  <si>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</si>
  <si>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</si>
  <si>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</si>
  <si>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</si>
  <si>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</si>
  <si>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</si>
  <si>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</si>
  <si>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</si>
  <si>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</si>
  <si>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</si>
  <si>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</si>
  <si>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</si>
  <si>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</si>
  <si>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</si>
  <si>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</si>
  <si>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</si>
  <si>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</si>
  <si>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</si>
  <si>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</si>
  <si>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</si>
  <si>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</si>
  <si>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</si>
  <si>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</si>
  <si>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</si>
  <si>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</si>
  <si>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</si>
  <si>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</si>
  <si>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</si>
  <si>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</si>
  <si>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</si>
  <si>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</si>
  <si>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</si>
  <si>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</si>
  <si>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</si>
  <si>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</si>
  <si>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</si>
  <si>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</si>
  <si>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</si>
  <si>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</si>
  <si>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</si>
  <si>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</si>
  <si>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</si>
  <si>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</si>
  <si>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</si>
  <si>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</si>
  <si>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</si>
  <si>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</si>
  <si>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</si>
  <si>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</si>
  <si>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</si>
  <si>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</si>
  <si>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</si>
  <si>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</si>
  <si>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</si>
  <si>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</si>
  <si>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</si>
  <si>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</si>
  <si>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</si>
  <si>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</si>
  <si>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</si>
  <si>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</si>
  <si>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</si>
  <si>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</si>
  <si>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</si>
  <si>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</si>
  <si>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</si>
  <si>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</si>
  <si>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</si>
  <si>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</si>
  <si>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</si>
  <si>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</si>
  <si>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</si>
  <si>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</si>
  <si>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</si>
  <si>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</si>
  <si>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</si>
  <si>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</si>
  <si>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</si>
  <si>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</si>
  <si>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</si>
  <si>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</si>
  <si>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</si>
  <si>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</si>
  <si>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</si>
  <si>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</si>
  <si>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</si>
  <si>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</si>
  <si>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</si>
  <si>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</si>
  <si>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</si>
  <si>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</si>
  <si>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</si>
  <si>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</si>
  <si>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</si>
  <si>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</si>
  <si>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</si>
  <si>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</si>
  <si>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</si>
  <si>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</si>
  <si>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</si>
  <si>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</si>
  <si>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</si>
  <si>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</si>
  <si>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</si>
  <si>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</si>
  <si>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</si>
  <si>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</si>
  <si>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</si>
  <si>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</si>
  <si>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</si>
  <si>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</si>
  <si>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</si>
  <si>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</si>
  <si>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</si>
  <si>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</si>
  <si>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</si>
  <si>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</si>
  <si>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</si>
  <si>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</si>
  <si>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</si>
  <si>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</si>
  <si>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</si>
  <si>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</si>
  <si>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</si>
  <si>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</si>
  <si>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</si>
  <si>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</si>
  <si>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</si>
  <si>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</si>
  <si>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</si>
  <si>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</si>
  <si>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</si>
  <si>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</si>
  <si>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</si>
  <si>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</si>
  <si>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</si>
  <si>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</si>
  <si>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</si>
  <si>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</si>
  <si>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</si>
  <si>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</si>
  <si>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</si>
  <si>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</si>
  <si>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</si>
  <si>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</si>
  <si>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</si>
  <si>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</si>
  <si>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</si>
  <si>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</si>
  <si>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</si>
  <si>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</si>
  <si>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</si>
  <si>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</si>
  <si>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</si>
  <si>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</si>
  <si>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</si>
  <si>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</si>
  <si>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</si>
  <si>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</si>
  <si>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</si>
  <si>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</si>
  <si>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</si>
  <si>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</si>
  <si>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</si>
  <si>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</si>
  <si>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</si>
  <si>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</si>
  <si>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</si>
  <si>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</si>
  <si>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</si>
  <si>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duplicate of above</t>
  </si>
  <si>
    <t>No studies identified</t>
  </si>
  <si>
    <t>Unknown</t>
  </si>
  <si>
    <t>Id_flag</t>
  </si>
  <si>
    <t>FF_include_stage2</t>
  </si>
  <si>
    <t>include_stage3</t>
  </si>
  <si>
    <t>reason_stage3</t>
  </si>
  <si>
    <t>detected_context</t>
  </si>
  <si>
    <t>confidence_stage3</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</si>
  <si>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Ã‚Â© 2019</t>
  </si>
  <si>
    <t>Study conducted from UK NHS perspective.</t>
  </si>
  <si>
    <t>NHS</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</si>
  <si>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Ã‚Â© 2019</t>
  </si>
  <si>
    <t>Study involves NHS health system in the UK.</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</si>
  <si>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Ã‚Â© 2019 Author(s).</t>
  </si>
  <si>
    <t>Study conducted from NHS perspective.</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</si>
  <si>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Ã‚Â© 2019 European Centre for Disease Prevention and Control (ECDC). All rights reserved.</t>
  </si>
  <si>
    <t>Study uses data from NHS hospitals in England.</t>
  </si>
  <si>
    <t>Study conducted in a UK hospital setting.</t>
  </si>
  <si>
    <t>Study conducted in a UK healthcare setting.</t>
  </si>
  <si>
    <t>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</si>
  <si>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InÃ¢â‚¬ÂProcess &amp; Other NonÃ¢â‚¬ÂIndexed Citations); Ovid Embase and EBSCO CINAHL Plus. We also searched clinical trials registries for ongoing and unpublished studies, and scanned reference lists of relevant included studies as well as reviews, metaÃ¢â‚¬Âanalyses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fullÃ¢â‚¬Âtext publications, applied the inclusion criteria, and extracted data. We pooled data using a randomÃ¢â‚¬Âeffects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infectionÃ¢â‚¬Âfree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Ã¢â‚¬Â1.31, 95% CI Ã¢â‚¬Â2.03 to Ã¢â‚¬Â0.59; 1 study, 182 participants). The certainty of evidence for this outcome was judged to be moderate (we downgraded our assessment by one level for imprecision). We are uncertain whether primary closure improves the proportion of dog bite wounds that are infectionÃ¢â‚¬Âfree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highÃ¢â‚¬Âcertainty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lowerÃ¢â‚¬Âincome countries bites can also be caused by wild animals. Dogs are generally responsible for the majority of bites. Bite wounds are at high risk of infection as microbes are transmitted into the wound from the animal's mouth. In lowerÃ¢â‚¬Âincome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infectionÃ¢â‚¬Âfree compared with no closure (very lowÃ¢â‚¬Âcertainty evidence from two studies including a total of 782 people) and compared with delayed closure (very lowÃ¢â‚¬Âcertainty evidence from one study with a total of 120 people). There is little difference in the appearance of dog bite wounds when primary closure is compared with no closure (moderateÃ¢â‚¬Âcertainty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</si>
  <si>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Study involves primary healthcare facilities, likely including NHS settings.</t>
  </si>
  <si>
    <t>Community Health</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</si>
  <si>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(XpressIveÃ‚Â©) and Discrete-Even Simulation (Simul8 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</si>
  <si>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Study involves NHS settings and community health outreach services.</t>
  </si>
  <si>
    <t>Study considers drug costs from the perspective of the UK NHS.</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</si>
  <si>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Ã‚Â© 2019</t>
  </si>
  <si>
    <t>Study involves NHS prescription data analysis.</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</si>
  <si>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Ã‚Â© Published by the BMJ Publishing Group Limited.</t>
  </si>
  <si>
    <t>Study conducted in NHS paediatric diabetes services.</t>
  </si>
  <si>
    <t>Study uses cohort data without specific health setting context.</t>
  </si>
  <si>
    <t>Study occurs within NHS settings via Specialised Commissioning by NHS England.</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</si>
  <si>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Ã‚Â© 2019 Author(s).</t>
  </si>
  <si>
    <t>Study involves community health settings in multiple European regions.</t>
  </si>
  <si>
    <t>Study focuses on NHS emergency and urgent care interventions.</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</si>
  <si>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Ã‚Â© 2019 Cambridge University Press.</t>
  </si>
  <si>
    <t>Study adopts a UK NHS perspective and involves hospital-based health technology assessment.</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</si>
  <si>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Ã‚Â© 2019</t>
  </si>
  <si>
    <t>Study models NHS AAA screening programme.</t>
  </si>
  <si>
    <t>Study evaluates surgical treatments impacting NHS settings.</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</si>
  <si>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Ã‚Â© Ã‚Â© Author(s) (or their employer(s)) 2019. Re-use permitted under CC BY. Published by BMJ.</t>
  </si>
  <si>
    <t>Study conducted in NHS settings.</t>
  </si>
  <si>
    <t>Study involves NHS and social care cost outcomes.</t>
  </si>
  <si>
    <t>Study estimates NHS and social care costs.</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</si>
  <si>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Ã‚Â© 2019 BMJ Publishing Group Limited.</t>
  </si>
  <si>
    <t>Study conducted in NHS screening clinics.</t>
  </si>
  <si>
    <t>Study conducted in an NHS screening program.</t>
  </si>
  <si>
    <t>Study occurs in NHS settings with footcare services.</t>
  </si>
  <si>
    <t>unclear from abstract</t>
  </si>
  <si>
    <t>hospital</t>
  </si>
  <si>
    <t>includes hospitals and orthodontists etc</t>
  </si>
  <si>
    <t>includes hospitals</t>
  </si>
  <si>
    <t>various settings</t>
  </si>
  <si>
    <t>UK health setting</t>
  </si>
  <si>
    <t>community health</t>
  </si>
  <si>
    <t>health settings</t>
  </si>
  <si>
    <t>bit unclear from abstract, but think it would be community/health setting</t>
  </si>
  <si>
    <t>not much info</t>
  </si>
  <si>
    <t>No specific setting (other than Ghana)</t>
  </si>
  <si>
    <t>setting unclear</t>
  </si>
  <si>
    <t>NHS, hospitals</t>
  </si>
  <si>
    <t>includes hospital/pharmacy</t>
  </si>
  <si>
    <t>healthcare settings</t>
  </si>
  <si>
    <t>1 false negative</t>
  </si>
  <si>
    <t>API reason: Study uses cohort data without specific health setting context.</t>
  </si>
  <si>
    <t>FF Reason: bit unclear from abstract, but think it would be community/health setting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</si>
</sst>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FF0000"/>
      <name val="Aptos Narrow"/>
      <family val="2"/>
      <scheme val="minor"/>
    </font>
  </fonts>
  <fills count="2">
    <fill>
      <patternFill patternType="none"/>
    </fill>
    <fill>
      <patternFill patternType="gray125"/>
    </fill>
  </fills>
  <borders count="2">
    <border>
      <left/>
      <right/>
      <top/>
      <bottom/>
      <diagonal/>
    </border>
    <border>
      <left style="thin">
        <color indexed="64"/>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1" xfId="0"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H42"/>
  <sheetViews>
    <sheetView topLeftCell="A20" workbookViewId="0">
      <selection activeCell="C24" sqref="A1:H25"/>
    </sheetView>
  </sheetViews>
  <sheetFormatPr defaultRowHeight="14.5" x14ac:dyDescent="0.35"/>
  <sheetData>
    <row r="1" spans="1:8" x14ac:dyDescent="0.35">
      <c r="A1" t="s">
        <v>0</v>
      </c>
      <c r="B1" t="s">
        <v>1</v>
      </c>
      <c r="C1" t="s">
        <v>2</v>
      </c>
      <c r="D1" t="s">
        <v>3</v>
      </c>
      <c r="E1" t="s">
        <v>179</v>
      </c>
      <c r="F1" t="s">
        <v>180</v>
      </c>
      <c r="G1" t="s">
        <v>181</v>
      </c>
      <c r="H1" t="s">
        <v>182</v>
      </c>
    </row>
    <row r="2" spans="1:8" x14ac:dyDescent="0.35">
      <c r="A2" t="s">
        <v>8</v>
      </c>
      <c r="B2">
        <v>2019</v>
      </c>
      <c r="C2" t="s">
        <v>9</v>
      </c>
      <c r="D2" t="s">
        <v>183</v>
      </c>
      <c r="E2" t="b">
        <v>1</v>
      </c>
      <c r="F2" t="s">
        <v>184</v>
      </c>
      <c r="G2" t="s">
        <v>185</v>
      </c>
      <c r="H2">
        <v>0.9</v>
      </c>
    </row>
    <row r="3" spans="1:8" x14ac:dyDescent="0.35">
      <c r="A3" t="s">
        <v>12</v>
      </c>
      <c r="B3">
        <v>2019</v>
      </c>
      <c r="C3" t="s">
        <v>13</v>
      </c>
      <c r="D3" t="s">
        <v>186</v>
      </c>
      <c r="E3" t="b">
        <v>1</v>
      </c>
      <c r="F3" t="s">
        <v>187</v>
      </c>
      <c r="G3" t="s">
        <v>185</v>
      </c>
      <c r="H3">
        <v>0.9</v>
      </c>
    </row>
    <row r="4" spans="1:8" x14ac:dyDescent="0.35">
      <c r="A4" t="s">
        <v>19</v>
      </c>
      <c r="B4">
        <v>2019</v>
      </c>
      <c r="C4" t="s">
        <v>20</v>
      </c>
      <c r="D4" t="s">
        <v>188</v>
      </c>
      <c r="E4" t="b">
        <v>1</v>
      </c>
      <c r="F4" t="s">
        <v>189</v>
      </c>
      <c r="G4" t="s">
        <v>185</v>
      </c>
      <c r="H4">
        <v>0.9</v>
      </c>
    </row>
    <row r="5" spans="1:8" x14ac:dyDescent="0.35">
      <c r="A5" t="s">
        <v>21</v>
      </c>
      <c r="B5">
        <v>2019</v>
      </c>
      <c r="C5" t="s">
        <v>22</v>
      </c>
      <c r="D5" t="s">
        <v>190</v>
      </c>
      <c r="E5" t="b">
        <v>1</v>
      </c>
      <c r="F5" t="s">
        <v>191</v>
      </c>
      <c r="G5" t="s">
        <v>185</v>
      </c>
      <c r="H5">
        <v>1</v>
      </c>
    </row>
    <row r="6" spans="1:8" x14ac:dyDescent="0.35">
      <c r="A6" t="s">
        <v>24</v>
      </c>
      <c r="B6">
        <v>2019</v>
      </c>
      <c r="C6" t="s">
        <v>25</v>
      </c>
      <c r="D6" t="s">
        <v>26</v>
      </c>
      <c r="E6" t="b">
        <v>1</v>
      </c>
      <c r="F6" t="s">
        <v>192</v>
      </c>
      <c r="G6" t="s">
        <v>185</v>
      </c>
      <c r="H6">
        <v>0.9</v>
      </c>
    </row>
    <row r="7" spans="1:8" x14ac:dyDescent="0.35">
      <c r="A7" t="s">
        <v>27</v>
      </c>
      <c r="B7">
        <v>2019</v>
      </c>
      <c r="C7" t="s">
        <v>28</v>
      </c>
      <c r="D7" t="s">
        <v>29</v>
      </c>
      <c r="E7" t="b">
        <v>1</v>
      </c>
      <c r="F7" t="s">
        <v>193</v>
      </c>
      <c r="G7" t="s">
        <v>185</v>
      </c>
      <c r="H7">
        <v>0.9</v>
      </c>
    </row>
    <row r="8" spans="1:8" x14ac:dyDescent="0.35">
      <c r="A8" t="s">
        <v>31</v>
      </c>
      <c r="B8">
        <v>2019</v>
      </c>
      <c r="C8" t="s">
        <v>194</v>
      </c>
      <c r="D8" t="s">
        <v>195</v>
      </c>
      <c r="E8" t="b">
        <v>1</v>
      </c>
      <c r="F8" t="s">
        <v>196</v>
      </c>
      <c r="G8" t="s">
        <v>197</v>
      </c>
      <c r="H8">
        <v>0.9</v>
      </c>
    </row>
    <row r="9" spans="1:8" x14ac:dyDescent="0.35">
      <c r="A9" t="s">
        <v>32</v>
      </c>
      <c r="B9">
        <v>2019</v>
      </c>
      <c r="C9" t="s">
        <v>33</v>
      </c>
      <c r="D9" t="s">
        <v>198</v>
      </c>
      <c r="E9" t="b">
        <v>1</v>
      </c>
      <c r="F9" t="s">
        <v>199</v>
      </c>
      <c r="G9" t="s">
        <v>185</v>
      </c>
      <c r="H9">
        <v>0.9</v>
      </c>
    </row>
    <row r="10" spans="1:8" x14ac:dyDescent="0.35">
      <c r="A10" t="s">
        <v>42</v>
      </c>
      <c r="B10">
        <v>2019</v>
      </c>
      <c r="C10" t="s">
        <v>43</v>
      </c>
      <c r="D10" t="s">
        <v>44</v>
      </c>
      <c r="E10" t="b">
        <v>1</v>
      </c>
      <c r="F10" t="s">
        <v>200</v>
      </c>
      <c r="G10" t="s">
        <v>185</v>
      </c>
      <c r="H10">
        <v>0.9</v>
      </c>
    </row>
    <row r="11" spans="1:8" x14ac:dyDescent="0.35">
      <c r="A11" t="s">
        <v>45</v>
      </c>
      <c r="B11">
        <v>2019</v>
      </c>
      <c r="C11" t="s">
        <v>46</v>
      </c>
      <c r="D11" t="s">
        <v>201</v>
      </c>
      <c r="E11" t="b">
        <v>1</v>
      </c>
      <c r="F11" t="s">
        <v>202</v>
      </c>
      <c r="G11" t="s">
        <v>185</v>
      </c>
      <c r="H11">
        <v>0.9</v>
      </c>
    </row>
    <row r="12" spans="1:8" x14ac:dyDescent="0.35">
      <c r="A12" t="s">
        <v>47</v>
      </c>
      <c r="B12">
        <v>2019</v>
      </c>
      <c r="C12" t="s">
        <v>48</v>
      </c>
      <c r="D12" t="s">
        <v>203</v>
      </c>
      <c r="E12" t="b">
        <v>1</v>
      </c>
      <c r="F12" t="s">
        <v>204</v>
      </c>
      <c r="G12" t="s">
        <v>185</v>
      </c>
      <c r="H12">
        <v>1</v>
      </c>
    </row>
    <row r="13" spans="1:8" x14ac:dyDescent="0.35">
      <c r="A13" t="s">
        <v>51</v>
      </c>
      <c r="B13">
        <v>2019</v>
      </c>
      <c r="C13" t="s">
        <v>52</v>
      </c>
      <c r="D13" t="s">
        <v>53</v>
      </c>
      <c r="E13" t="b">
        <v>0</v>
      </c>
      <c r="F13" t="s">
        <v>205</v>
      </c>
      <c r="G13" t="s">
        <v>176</v>
      </c>
      <c r="H13">
        <v>0.8</v>
      </c>
    </row>
    <row r="14" spans="1:8" x14ac:dyDescent="0.35">
      <c r="A14" t="s">
        <v>66</v>
      </c>
      <c r="B14">
        <v>2019</v>
      </c>
      <c r="C14" t="s">
        <v>67</v>
      </c>
      <c r="D14" t="s">
        <v>68</v>
      </c>
      <c r="E14" t="b">
        <v>1</v>
      </c>
      <c r="F14" t="s">
        <v>206</v>
      </c>
      <c r="G14" t="s">
        <v>185</v>
      </c>
      <c r="H14">
        <v>0.9</v>
      </c>
    </row>
    <row r="15" spans="1:8" x14ac:dyDescent="0.35">
      <c r="A15" t="s">
        <v>69</v>
      </c>
      <c r="B15">
        <v>2019</v>
      </c>
      <c r="C15" t="s">
        <v>70</v>
      </c>
      <c r="D15" t="s">
        <v>207</v>
      </c>
      <c r="E15" t="b">
        <v>1</v>
      </c>
      <c r="F15" t="s">
        <v>208</v>
      </c>
      <c r="G15" t="s">
        <v>197</v>
      </c>
      <c r="H15">
        <v>0.9</v>
      </c>
    </row>
    <row r="16" spans="1:8" ht="409.5" x14ac:dyDescent="0.35">
      <c r="A16" t="s">
        <v>71</v>
      </c>
      <c r="B16">
        <v>2019</v>
      </c>
      <c r="C16" t="s">
        <v>72</v>
      </c>
      <c r="D16" s="1" t="s">
        <v>73</v>
      </c>
      <c r="E16" t="b">
        <v>1</v>
      </c>
      <c r="F16" t="s">
        <v>209</v>
      </c>
      <c r="G16" t="s">
        <v>185</v>
      </c>
      <c r="H16">
        <v>0.95</v>
      </c>
    </row>
    <row r="17" spans="1:8" x14ac:dyDescent="0.35">
      <c r="A17" t="s">
        <v>76</v>
      </c>
      <c r="B17">
        <v>2019</v>
      </c>
      <c r="C17" t="s">
        <v>77</v>
      </c>
      <c r="D17" t="s">
        <v>210</v>
      </c>
      <c r="E17" t="b">
        <v>1</v>
      </c>
      <c r="F17" t="s">
        <v>211</v>
      </c>
      <c r="G17" t="s">
        <v>185</v>
      </c>
      <c r="H17">
        <v>0.9</v>
      </c>
    </row>
    <row r="18" spans="1:8" x14ac:dyDescent="0.35">
      <c r="A18" t="s">
        <v>78</v>
      </c>
      <c r="B18">
        <v>2019</v>
      </c>
      <c r="C18" t="s">
        <v>79</v>
      </c>
      <c r="D18" t="s">
        <v>212</v>
      </c>
      <c r="E18" t="b">
        <v>1</v>
      </c>
      <c r="F18" t="s">
        <v>213</v>
      </c>
      <c r="G18" t="s">
        <v>185</v>
      </c>
      <c r="H18">
        <v>0.9</v>
      </c>
    </row>
    <row r="19" spans="1:8" ht="409.5" x14ac:dyDescent="0.35">
      <c r="A19" t="s">
        <v>85</v>
      </c>
      <c r="B19">
        <v>2019</v>
      </c>
      <c r="C19" t="s">
        <v>86</v>
      </c>
      <c r="D19" s="1" t="s">
        <v>87</v>
      </c>
      <c r="E19" t="b">
        <v>1</v>
      </c>
      <c r="F19" t="s">
        <v>214</v>
      </c>
      <c r="G19" t="s">
        <v>185</v>
      </c>
      <c r="H19">
        <v>0.9</v>
      </c>
    </row>
    <row r="20" spans="1:8" x14ac:dyDescent="0.35">
      <c r="A20" t="s">
        <v>89</v>
      </c>
      <c r="B20">
        <v>2019</v>
      </c>
      <c r="C20" t="s">
        <v>90</v>
      </c>
      <c r="D20" t="s">
        <v>215</v>
      </c>
      <c r="E20" t="b">
        <v>1</v>
      </c>
      <c r="F20" t="s">
        <v>216</v>
      </c>
      <c r="G20" t="s">
        <v>185</v>
      </c>
      <c r="H20">
        <v>1</v>
      </c>
    </row>
    <row r="21" spans="1:8" x14ac:dyDescent="0.35">
      <c r="A21" t="s">
        <v>91</v>
      </c>
      <c r="B21">
        <v>2019</v>
      </c>
      <c r="C21" t="s">
        <v>92</v>
      </c>
      <c r="D21" t="s">
        <v>93</v>
      </c>
      <c r="E21" t="b">
        <v>1</v>
      </c>
      <c r="F21" t="s">
        <v>217</v>
      </c>
      <c r="G21" t="s">
        <v>185</v>
      </c>
      <c r="H21">
        <v>0.9</v>
      </c>
    </row>
    <row r="22" spans="1:8" x14ac:dyDescent="0.35">
      <c r="A22" t="s">
        <v>94</v>
      </c>
      <c r="B22">
        <v>2019</v>
      </c>
      <c r="C22" t="s">
        <v>95</v>
      </c>
      <c r="D22" t="s">
        <v>96</v>
      </c>
      <c r="E22" t="b">
        <v>1</v>
      </c>
      <c r="F22" t="s">
        <v>218</v>
      </c>
      <c r="G22" t="s">
        <v>185</v>
      </c>
      <c r="H22">
        <v>0.9</v>
      </c>
    </row>
    <row r="23" spans="1:8" x14ac:dyDescent="0.35">
      <c r="A23" t="s">
        <v>97</v>
      </c>
      <c r="B23">
        <v>2019</v>
      </c>
      <c r="C23" t="s">
        <v>98</v>
      </c>
      <c r="D23" t="s">
        <v>219</v>
      </c>
      <c r="E23" t="b">
        <v>1</v>
      </c>
      <c r="F23" t="s">
        <v>220</v>
      </c>
      <c r="G23" t="s">
        <v>185</v>
      </c>
      <c r="H23">
        <v>0.95</v>
      </c>
    </row>
    <row r="24" spans="1:8" x14ac:dyDescent="0.35">
      <c r="A24" t="s">
        <v>99</v>
      </c>
      <c r="B24">
        <v>2019</v>
      </c>
      <c r="C24" t="s">
        <v>100</v>
      </c>
      <c r="D24" t="s">
        <v>101</v>
      </c>
      <c r="E24" t="b">
        <v>1</v>
      </c>
      <c r="F24" t="s">
        <v>221</v>
      </c>
      <c r="G24" t="s">
        <v>185</v>
      </c>
      <c r="H24">
        <v>1</v>
      </c>
    </row>
    <row r="25" spans="1:8" x14ac:dyDescent="0.35">
      <c r="A25" t="s">
        <v>103</v>
      </c>
      <c r="B25">
        <v>2019</v>
      </c>
      <c r="C25" t="s">
        <v>104</v>
      </c>
      <c r="D25" t="s">
        <v>105</v>
      </c>
      <c r="E25" t="b">
        <v>1</v>
      </c>
      <c r="F25" t="s">
        <v>222</v>
      </c>
      <c r="G25" t="s">
        <v>185</v>
      </c>
      <c r="H25">
        <v>1</v>
      </c>
    </row>
    <row r="35" spans="4:4" x14ac:dyDescent="0.35">
      <c r="D35" s="1"/>
    </row>
    <row r="42" spans="4:4" x14ac:dyDescent="0.35">
      <c r="D42"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25"/>
  <sheetViews>
    <sheetView topLeftCell="A8" workbookViewId="0">
      <selection activeCell="A2" sqref="A2:A25"/>
    </sheetView>
  </sheetViews>
  <sheetFormatPr defaultRowHeight="14.5" x14ac:dyDescent="0.35"/>
  <sheetData>
    <row r="1" spans="1:1" x14ac:dyDescent="0.35">
      <c r="A1" t="s">
        <v>0</v>
      </c>
    </row>
    <row r="2" spans="1:1" x14ac:dyDescent="0.35">
      <c r="A2" t="s">
        <v>8</v>
      </c>
    </row>
    <row r="3" spans="1:1" x14ac:dyDescent="0.35">
      <c r="A3" t="s">
        <v>12</v>
      </c>
    </row>
    <row r="4" spans="1:1" x14ac:dyDescent="0.35">
      <c r="A4" t="s">
        <v>19</v>
      </c>
    </row>
    <row r="5" spans="1:1" x14ac:dyDescent="0.35">
      <c r="A5" t="s">
        <v>21</v>
      </c>
    </row>
    <row r="6" spans="1:1" x14ac:dyDescent="0.35">
      <c r="A6" t="s">
        <v>24</v>
      </c>
    </row>
    <row r="7" spans="1:1" x14ac:dyDescent="0.35">
      <c r="A7" t="s">
        <v>27</v>
      </c>
    </row>
    <row r="8" spans="1:1" x14ac:dyDescent="0.35">
      <c r="A8" t="s">
        <v>31</v>
      </c>
    </row>
    <row r="9" spans="1:1" x14ac:dyDescent="0.35">
      <c r="A9" t="s">
        <v>32</v>
      </c>
    </row>
    <row r="10" spans="1:1" x14ac:dyDescent="0.35">
      <c r="A10" t="s">
        <v>42</v>
      </c>
    </row>
    <row r="11" spans="1:1" x14ac:dyDescent="0.35">
      <c r="A11" t="s">
        <v>45</v>
      </c>
    </row>
    <row r="12" spans="1:1" x14ac:dyDescent="0.35">
      <c r="A12" t="s">
        <v>47</v>
      </c>
    </row>
    <row r="13" spans="1:1" x14ac:dyDescent="0.35">
      <c r="A13" t="s">
        <v>51</v>
      </c>
    </row>
    <row r="14" spans="1:1" x14ac:dyDescent="0.35">
      <c r="A14" t="s">
        <v>66</v>
      </c>
    </row>
    <row r="15" spans="1:1" x14ac:dyDescent="0.35">
      <c r="A15" t="s">
        <v>69</v>
      </c>
    </row>
    <row r="16" spans="1:1" x14ac:dyDescent="0.35">
      <c r="A16" t="s">
        <v>71</v>
      </c>
    </row>
    <row r="17" spans="1:1" x14ac:dyDescent="0.35">
      <c r="A17" t="s">
        <v>76</v>
      </c>
    </row>
    <row r="18" spans="1:1" x14ac:dyDescent="0.35">
      <c r="A18" t="s">
        <v>78</v>
      </c>
    </row>
    <row r="19" spans="1:1" x14ac:dyDescent="0.35">
      <c r="A19" t="s">
        <v>85</v>
      </c>
    </row>
    <row r="20" spans="1:1" x14ac:dyDescent="0.35">
      <c r="A20" t="s">
        <v>89</v>
      </c>
    </row>
    <row r="21" spans="1:1" x14ac:dyDescent="0.35">
      <c r="A21" t="s">
        <v>91</v>
      </c>
    </row>
    <row r="22" spans="1:1" x14ac:dyDescent="0.35">
      <c r="A22" t="s">
        <v>94</v>
      </c>
    </row>
    <row r="23" spans="1:1" x14ac:dyDescent="0.35">
      <c r="A23" t="s">
        <v>97</v>
      </c>
    </row>
    <row r="24" spans="1:1" x14ac:dyDescent="0.35">
      <c r="A24" t="s">
        <v>99</v>
      </c>
    </row>
    <row r="25" spans="1:1" x14ac:dyDescent="0.35">
      <c r="A25"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dimension ref="A1:H52"/>
  <sheetViews>
    <sheetView workbookViewId="0">
      <selection activeCell="D14" sqref="D14"/>
    </sheetView>
  </sheetViews>
  <sheetFormatPr defaultRowHeight="14.5" x14ac:dyDescent="0.35"/>
  <sheetData>
    <row r="1" spans="1:8" x14ac:dyDescent="0.35">
      <c r="A1" t="s">
        <v>108</v>
      </c>
      <c r="B1" t="s">
        <v>1</v>
      </c>
      <c r="C1" t="s">
        <v>2</v>
      </c>
      <c r="D1" t="s">
        <v>3</v>
      </c>
      <c r="E1" t="s">
        <v>109</v>
      </c>
      <c r="F1" t="s">
        <v>110</v>
      </c>
      <c r="G1" t="s">
        <v>178</v>
      </c>
      <c r="H1" t="s">
        <v>177</v>
      </c>
    </row>
    <row r="2" spans="1:8" x14ac:dyDescent="0.35">
      <c r="A2" t="s">
        <v>4</v>
      </c>
      <c r="B2">
        <v>2019</v>
      </c>
      <c r="C2" t="s">
        <v>5</v>
      </c>
      <c r="D2" t="s">
        <v>111</v>
      </c>
      <c r="E2" t="s">
        <v>112</v>
      </c>
      <c r="F2" t="s">
        <v>223</v>
      </c>
      <c r="G2" t="b">
        <f>IF(E2="Include", TRUE, FALSE)</f>
        <v>1</v>
      </c>
      <c r="H2" t="e">
        <f>VLOOKUP(A2,ID_Lookup!$A$1:$A$25,1,FALSE)</f>
        <v>#N/A</v>
      </c>
    </row>
    <row r="3" spans="1:8" x14ac:dyDescent="0.35">
      <c r="A3" t="s">
        <v>6</v>
      </c>
      <c r="B3">
        <v>2019</v>
      </c>
      <c r="C3" t="s">
        <v>7</v>
      </c>
      <c r="D3" t="s">
        <v>113</v>
      </c>
      <c r="E3" t="s">
        <v>112</v>
      </c>
      <c r="F3" t="s">
        <v>224</v>
      </c>
      <c r="G3" t="b">
        <f t="shared" ref="G3:G52" si="0">IF(E3="Include", TRUE, FALSE)</f>
        <v>1</v>
      </c>
      <c r="H3" t="e">
        <f>VLOOKUP(A3,ID_Lookup!$A$1:$A$25,1,FALSE)</f>
        <v>#N/A</v>
      </c>
    </row>
    <row r="4" spans="1:8" x14ac:dyDescent="0.35">
      <c r="A4" t="s">
        <v>8</v>
      </c>
      <c r="B4">
        <v>2019</v>
      </c>
      <c r="C4" t="s">
        <v>9</v>
      </c>
      <c r="D4" t="s">
        <v>114</v>
      </c>
      <c r="E4" t="s">
        <v>112</v>
      </c>
      <c r="F4" t="s">
        <v>185</v>
      </c>
      <c r="G4" t="b">
        <f t="shared" si="0"/>
        <v>1</v>
      </c>
      <c r="H4" t="str">
        <f>VLOOKUP(A4,ID_Lookup!$A$1:$A$25,1,FALSE)</f>
        <v>J502</v>
      </c>
    </row>
    <row r="5" spans="1:8" x14ac:dyDescent="0.35">
      <c r="A5" t="s">
        <v>10</v>
      </c>
      <c r="B5">
        <v>2019</v>
      </c>
      <c r="C5" t="s">
        <v>11</v>
      </c>
      <c r="D5" t="s">
        <v>115</v>
      </c>
      <c r="E5" t="s">
        <v>112</v>
      </c>
      <c r="F5" t="s">
        <v>225</v>
      </c>
      <c r="G5" t="b">
        <f t="shared" si="0"/>
        <v>1</v>
      </c>
      <c r="H5" t="e">
        <f>VLOOKUP(A5,ID_Lookup!$A$1:$A$25,1,FALSE)</f>
        <v>#N/A</v>
      </c>
    </row>
    <row r="6" spans="1:8" x14ac:dyDescent="0.35">
      <c r="A6" t="s">
        <v>12</v>
      </c>
      <c r="B6">
        <v>2019</v>
      </c>
      <c r="C6" t="s">
        <v>13</v>
      </c>
      <c r="D6" t="s">
        <v>116</v>
      </c>
      <c r="E6" t="s">
        <v>112</v>
      </c>
      <c r="F6" t="s">
        <v>223</v>
      </c>
      <c r="G6" t="b">
        <f t="shared" si="0"/>
        <v>1</v>
      </c>
      <c r="H6" t="str">
        <f>VLOOKUP(A6,ID_Lookup!$A$1:$A$25,1,FALSE)</f>
        <v>J504</v>
      </c>
    </row>
    <row r="7" spans="1:8" x14ac:dyDescent="0.35">
      <c r="A7" t="s">
        <v>14</v>
      </c>
      <c r="B7">
        <v>2019</v>
      </c>
      <c r="C7" t="s">
        <v>15</v>
      </c>
      <c r="D7" t="s">
        <v>117</v>
      </c>
      <c r="E7" t="s">
        <v>112</v>
      </c>
      <c r="F7" t="s">
        <v>226</v>
      </c>
      <c r="G7" t="b">
        <f t="shared" si="0"/>
        <v>1</v>
      </c>
      <c r="H7" t="e">
        <f>VLOOKUP(A7,ID_Lookup!$A$1:$A$25,1,FALSE)</f>
        <v>#N/A</v>
      </c>
    </row>
    <row r="8" spans="1:8" x14ac:dyDescent="0.35">
      <c r="A8" t="s">
        <v>16</v>
      </c>
      <c r="B8">
        <v>2019</v>
      </c>
      <c r="C8" t="s">
        <v>17</v>
      </c>
      <c r="D8" t="s">
        <v>118</v>
      </c>
      <c r="E8" t="s">
        <v>112</v>
      </c>
      <c r="F8" t="s">
        <v>226</v>
      </c>
      <c r="G8" t="b">
        <f t="shared" si="0"/>
        <v>1</v>
      </c>
      <c r="H8" t="e">
        <f>VLOOKUP(A8,ID_Lookup!$A$1:$A$25,1,FALSE)</f>
        <v>#N/A</v>
      </c>
    </row>
    <row r="9" spans="1:8" x14ac:dyDescent="0.35">
      <c r="A9" t="s">
        <v>18</v>
      </c>
      <c r="B9">
        <v>2019</v>
      </c>
      <c r="C9" t="s">
        <v>119</v>
      </c>
      <c r="D9" t="s">
        <v>120</v>
      </c>
      <c r="E9" t="s">
        <v>112</v>
      </c>
      <c r="F9" t="s">
        <v>227</v>
      </c>
      <c r="G9" t="b">
        <f t="shared" si="0"/>
        <v>1</v>
      </c>
      <c r="H9" t="e">
        <f>VLOOKUP(A9,ID_Lookup!$A$1:$A$25,1,FALSE)</f>
        <v>#N/A</v>
      </c>
    </row>
    <row r="10" spans="1:8" x14ac:dyDescent="0.35">
      <c r="A10" t="s">
        <v>19</v>
      </c>
      <c r="B10">
        <v>2019</v>
      </c>
      <c r="C10" t="s">
        <v>20</v>
      </c>
      <c r="D10" t="s">
        <v>121</v>
      </c>
      <c r="E10" t="s">
        <v>112</v>
      </c>
      <c r="F10" t="s">
        <v>185</v>
      </c>
      <c r="G10" t="b">
        <f t="shared" si="0"/>
        <v>1</v>
      </c>
      <c r="H10" t="str">
        <f>VLOOKUP(A10,ID_Lookup!$A$1:$A$25,1,FALSE)</f>
        <v>J508</v>
      </c>
    </row>
    <row r="11" spans="1:8" x14ac:dyDescent="0.35">
      <c r="A11" t="s">
        <v>21</v>
      </c>
      <c r="B11">
        <v>2019</v>
      </c>
      <c r="C11" t="s">
        <v>22</v>
      </c>
      <c r="D11" t="s">
        <v>122</v>
      </c>
      <c r="E11" t="s">
        <v>112</v>
      </c>
      <c r="F11" t="s">
        <v>185</v>
      </c>
      <c r="G11" t="b">
        <f t="shared" si="0"/>
        <v>1</v>
      </c>
      <c r="H11" t="str">
        <f>VLOOKUP(A11,ID_Lookup!$A$1:$A$25,1,FALSE)</f>
        <v>J509</v>
      </c>
    </row>
    <row r="12" spans="1:8" x14ac:dyDescent="0.35">
      <c r="A12" t="s">
        <v>23</v>
      </c>
      <c r="B12">
        <v>2019</v>
      </c>
      <c r="C12" t="s">
        <v>123</v>
      </c>
      <c r="D12" t="s">
        <v>124</v>
      </c>
      <c r="E12" t="s">
        <v>112</v>
      </c>
      <c r="F12" t="s">
        <v>226</v>
      </c>
      <c r="G12" t="b">
        <f t="shared" si="0"/>
        <v>1</v>
      </c>
      <c r="H12" t="e">
        <f>VLOOKUP(A12,ID_Lookup!$A$1:$A$25,1,FALSE)</f>
        <v>#N/A</v>
      </c>
    </row>
    <row r="13" spans="1:8" x14ac:dyDescent="0.35">
      <c r="A13" t="s">
        <v>24</v>
      </c>
      <c r="B13">
        <v>2019</v>
      </c>
      <c r="C13" t="s">
        <v>25</v>
      </c>
      <c r="D13" t="s">
        <v>26</v>
      </c>
      <c r="E13" t="s">
        <v>112</v>
      </c>
      <c r="F13" t="s">
        <v>228</v>
      </c>
      <c r="G13" t="b">
        <f t="shared" si="0"/>
        <v>1</v>
      </c>
      <c r="H13" t="str">
        <f>VLOOKUP(A13,ID_Lookup!$A$1:$A$25,1,FALSE)</f>
        <v>J511</v>
      </c>
    </row>
    <row r="14" spans="1:8" x14ac:dyDescent="0.35">
      <c r="A14" t="s">
        <v>27</v>
      </c>
      <c r="B14">
        <v>2019</v>
      </c>
      <c r="C14" t="s">
        <v>28</v>
      </c>
      <c r="D14" t="s">
        <v>29</v>
      </c>
      <c r="E14" t="s">
        <v>112</v>
      </c>
      <c r="F14" t="s">
        <v>174</v>
      </c>
      <c r="G14" t="b">
        <f t="shared" si="0"/>
        <v>1</v>
      </c>
      <c r="H14" t="str">
        <f>VLOOKUP(A14,ID_Lookup!$A$1:$A$25,1,FALSE)</f>
        <v>J512</v>
      </c>
    </row>
    <row r="15" spans="1:8" x14ac:dyDescent="0.35">
      <c r="A15" t="s">
        <v>30</v>
      </c>
      <c r="B15">
        <v>2019</v>
      </c>
      <c r="C15" t="s">
        <v>125</v>
      </c>
      <c r="D15" t="s">
        <v>126</v>
      </c>
      <c r="E15" t="s">
        <v>112</v>
      </c>
      <c r="F15" t="s">
        <v>226</v>
      </c>
      <c r="G15" t="b">
        <f t="shared" si="0"/>
        <v>1</v>
      </c>
      <c r="H15" t="e">
        <f>VLOOKUP(A15,ID_Lookup!$A$1:$A$25,1,FALSE)</f>
        <v>#N/A</v>
      </c>
    </row>
    <row r="16" spans="1:8" x14ac:dyDescent="0.35">
      <c r="A16" t="s">
        <v>31</v>
      </c>
      <c r="B16">
        <v>2019</v>
      </c>
      <c r="C16" t="s">
        <v>127</v>
      </c>
      <c r="D16" t="s">
        <v>128</v>
      </c>
      <c r="E16" t="s">
        <v>112</v>
      </c>
      <c r="F16" t="s">
        <v>226</v>
      </c>
      <c r="G16" t="b">
        <f t="shared" si="0"/>
        <v>1</v>
      </c>
      <c r="H16" t="str">
        <f>VLOOKUP(A16,ID_Lookup!$A$1:$A$25,1,FALSE)</f>
        <v>J514</v>
      </c>
    </row>
    <row r="17" spans="1:8" x14ac:dyDescent="0.35">
      <c r="A17" t="s">
        <v>32</v>
      </c>
      <c r="B17">
        <v>2019</v>
      </c>
      <c r="C17" t="s">
        <v>33</v>
      </c>
      <c r="D17" t="s">
        <v>129</v>
      </c>
      <c r="E17" t="s">
        <v>112</v>
      </c>
      <c r="F17" t="s">
        <v>229</v>
      </c>
      <c r="G17" t="b">
        <f t="shared" si="0"/>
        <v>1</v>
      </c>
      <c r="H17" t="str">
        <f>VLOOKUP(A17,ID_Lookup!$A$1:$A$25,1,FALSE)</f>
        <v>J515</v>
      </c>
    </row>
    <row r="18" spans="1:8" x14ac:dyDescent="0.35">
      <c r="A18" t="s">
        <v>34</v>
      </c>
      <c r="B18">
        <v>2019</v>
      </c>
      <c r="C18" t="s">
        <v>35</v>
      </c>
      <c r="D18" t="s">
        <v>130</v>
      </c>
      <c r="E18" t="s">
        <v>112</v>
      </c>
      <c r="F18" t="s">
        <v>227</v>
      </c>
      <c r="G18" t="b">
        <f t="shared" si="0"/>
        <v>1</v>
      </c>
      <c r="H18" t="e">
        <f>VLOOKUP(A18,ID_Lookup!$A$1:$A$25,1,FALSE)</f>
        <v>#N/A</v>
      </c>
    </row>
    <row r="19" spans="1:8" s="3" customFormat="1" x14ac:dyDescent="0.35">
      <c r="A19" t="s">
        <v>36</v>
      </c>
      <c r="B19">
        <v>2019</v>
      </c>
      <c r="C19" t="s">
        <v>37</v>
      </c>
      <c r="D19" t="s">
        <v>131</v>
      </c>
      <c r="E19" t="s">
        <v>112</v>
      </c>
      <c r="F19" t="s">
        <v>230</v>
      </c>
      <c r="G19" t="b">
        <f t="shared" si="0"/>
        <v>1</v>
      </c>
      <c r="H19" t="e">
        <f>VLOOKUP(A19,ID_Lookup!$A$1:$A$25,1,FALSE)</f>
        <v>#N/A</v>
      </c>
    </row>
    <row r="20" spans="1:8" x14ac:dyDescent="0.35">
      <c r="A20" t="s">
        <v>38</v>
      </c>
      <c r="B20">
        <v>2019</v>
      </c>
      <c r="C20" t="s">
        <v>39</v>
      </c>
      <c r="D20" t="s">
        <v>132</v>
      </c>
      <c r="E20" t="s">
        <v>112</v>
      </c>
      <c r="F20" t="s">
        <v>230</v>
      </c>
      <c r="G20" t="b">
        <f t="shared" si="0"/>
        <v>1</v>
      </c>
      <c r="H20" t="e">
        <f>VLOOKUP(A20,ID_Lookup!$A$1:$A$25,1,FALSE)</f>
        <v>#N/A</v>
      </c>
    </row>
    <row r="21" spans="1:8" x14ac:dyDescent="0.35">
      <c r="A21" t="s">
        <v>40</v>
      </c>
      <c r="B21">
        <v>2019</v>
      </c>
      <c r="C21" t="s">
        <v>41</v>
      </c>
      <c r="D21" t="s">
        <v>133</v>
      </c>
      <c r="E21" t="s">
        <v>112</v>
      </c>
      <c r="F21" t="s">
        <v>230</v>
      </c>
      <c r="G21" t="b">
        <f t="shared" si="0"/>
        <v>1</v>
      </c>
      <c r="H21" t="e">
        <f>VLOOKUP(A21,ID_Lookup!$A$1:$A$25,1,FALSE)</f>
        <v>#N/A</v>
      </c>
    </row>
    <row r="22" spans="1:8" x14ac:dyDescent="0.35">
      <c r="A22" t="s">
        <v>42</v>
      </c>
      <c r="B22">
        <v>2019</v>
      </c>
      <c r="C22" t="s">
        <v>43</v>
      </c>
      <c r="D22" t="s">
        <v>44</v>
      </c>
      <c r="E22" t="s">
        <v>112</v>
      </c>
      <c r="F22" t="s">
        <v>185</v>
      </c>
      <c r="G22" t="b">
        <f t="shared" si="0"/>
        <v>1</v>
      </c>
      <c r="H22" t="str">
        <f>VLOOKUP(A22,ID_Lookup!$A$1:$A$25,1,FALSE)</f>
        <v>J520</v>
      </c>
    </row>
    <row r="23" spans="1:8" x14ac:dyDescent="0.35">
      <c r="A23" t="s">
        <v>45</v>
      </c>
      <c r="B23">
        <v>2019</v>
      </c>
      <c r="C23" t="s">
        <v>46</v>
      </c>
      <c r="D23" t="s">
        <v>134</v>
      </c>
      <c r="E23" t="s">
        <v>112</v>
      </c>
      <c r="F23" t="s">
        <v>185</v>
      </c>
      <c r="G23" t="b">
        <f t="shared" si="0"/>
        <v>1</v>
      </c>
      <c r="H23" t="str">
        <f>VLOOKUP(A23,ID_Lookup!$A$1:$A$25,1,FALSE)</f>
        <v>J521</v>
      </c>
    </row>
    <row r="24" spans="1:8" x14ac:dyDescent="0.35">
      <c r="A24" t="s">
        <v>47</v>
      </c>
      <c r="B24">
        <v>2019</v>
      </c>
      <c r="C24" t="s">
        <v>48</v>
      </c>
      <c r="D24" t="s">
        <v>135</v>
      </c>
      <c r="E24" t="s">
        <v>112</v>
      </c>
      <c r="F24" t="s">
        <v>185</v>
      </c>
      <c r="G24" t="b">
        <f t="shared" si="0"/>
        <v>1</v>
      </c>
      <c r="H24" t="str">
        <f>VLOOKUP(A24,ID_Lookup!$A$1:$A$25,1,FALSE)</f>
        <v>J522</v>
      </c>
    </row>
    <row r="25" spans="1:8" x14ac:dyDescent="0.35">
      <c r="A25" t="s">
        <v>49</v>
      </c>
      <c r="B25">
        <v>2019</v>
      </c>
      <c r="C25" t="s">
        <v>136</v>
      </c>
      <c r="D25" t="s">
        <v>137</v>
      </c>
      <c r="E25" t="s">
        <v>112</v>
      </c>
      <c r="F25" t="s">
        <v>226</v>
      </c>
      <c r="G25" t="b">
        <f t="shared" si="0"/>
        <v>1</v>
      </c>
      <c r="H25" t="e">
        <f>VLOOKUP(A25,ID_Lookup!$A$1:$A$25,1,FALSE)</f>
        <v>#N/A</v>
      </c>
    </row>
    <row r="26" spans="1:8" x14ac:dyDescent="0.35">
      <c r="A26" t="s">
        <v>50</v>
      </c>
      <c r="B26">
        <v>2019</v>
      </c>
      <c r="C26" t="s">
        <v>138</v>
      </c>
      <c r="D26" t="s">
        <v>139</v>
      </c>
      <c r="E26" t="s">
        <v>112</v>
      </c>
      <c r="F26" t="s">
        <v>226</v>
      </c>
      <c r="G26" t="b">
        <f t="shared" si="0"/>
        <v>1</v>
      </c>
      <c r="H26" t="e">
        <f>VLOOKUP(A26,ID_Lookup!$A$1:$A$25,1,FALSE)</f>
        <v>#N/A</v>
      </c>
    </row>
    <row r="27" spans="1:8" x14ac:dyDescent="0.35">
      <c r="A27" t="s">
        <v>51</v>
      </c>
      <c r="B27">
        <v>2019</v>
      </c>
      <c r="C27" t="s">
        <v>52</v>
      </c>
      <c r="D27" t="s">
        <v>53</v>
      </c>
      <c r="E27" t="s">
        <v>112</v>
      </c>
      <c r="F27" t="s">
        <v>231</v>
      </c>
      <c r="G27" t="b">
        <f t="shared" si="0"/>
        <v>1</v>
      </c>
      <c r="H27" t="str">
        <f>VLOOKUP(A27,ID_Lookup!$A$1:$A$25,1,FALSE)</f>
        <v>J525</v>
      </c>
    </row>
    <row r="28" spans="1:8" x14ac:dyDescent="0.35">
      <c r="A28" t="s">
        <v>54</v>
      </c>
      <c r="B28">
        <v>2019</v>
      </c>
      <c r="C28" t="s">
        <v>55</v>
      </c>
      <c r="D28" t="s">
        <v>56</v>
      </c>
      <c r="E28" t="s">
        <v>173</v>
      </c>
      <c r="F28" t="s">
        <v>232</v>
      </c>
      <c r="G28" t="b">
        <f t="shared" si="0"/>
        <v>0</v>
      </c>
      <c r="H28" t="e">
        <f>VLOOKUP(A28,ID_Lookup!$A$1:$A$25,1,FALSE)</f>
        <v>#N/A</v>
      </c>
    </row>
    <row r="29" spans="1:8" x14ac:dyDescent="0.35">
      <c r="A29" t="s">
        <v>57</v>
      </c>
      <c r="B29">
        <v>2019</v>
      </c>
      <c r="C29" t="s">
        <v>58</v>
      </c>
      <c r="D29" t="s">
        <v>140</v>
      </c>
      <c r="E29" t="s">
        <v>112</v>
      </c>
      <c r="F29" t="s">
        <v>226</v>
      </c>
      <c r="G29" t="b">
        <f t="shared" si="0"/>
        <v>1</v>
      </c>
      <c r="H29" t="e">
        <f>VLOOKUP(A29,ID_Lookup!$A$1:$A$25,1,FALSE)</f>
        <v>#N/A</v>
      </c>
    </row>
    <row r="30" spans="1:8" x14ac:dyDescent="0.35">
      <c r="A30" t="s">
        <v>59</v>
      </c>
      <c r="B30">
        <v>2019</v>
      </c>
      <c r="C30" t="s">
        <v>141</v>
      </c>
      <c r="D30" t="s">
        <v>142</v>
      </c>
      <c r="E30" t="s">
        <v>112</v>
      </c>
      <c r="F30" t="s">
        <v>226</v>
      </c>
      <c r="G30" t="b">
        <f t="shared" si="0"/>
        <v>1</v>
      </c>
      <c r="H30" t="e">
        <f>VLOOKUP(A30,ID_Lookup!$A$1:$A$25,1,FALSE)</f>
        <v>#N/A</v>
      </c>
    </row>
    <row r="31" spans="1:8" x14ac:dyDescent="0.35">
      <c r="A31" t="s">
        <v>60</v>
      </c>
      <c r="B31">
        <v>2019</v>
      </c>
      <c r="C31" t="s">
        <v>61</v>
      </c>
      <c r="D31" t="s">
        <v>143</v>
      </c>
      <c r="E31" t="s">
        <v>112</v>
      </c>
      <c r="F31" t="s">
        <v>226</v>
      </c>
      <c r="G31" t="b">
        <f t="shared" si="0"/>
        <v>1</v>
      </c>
      <c r="H31" t="e">
        <f>VLOOKUP(A31,ID_Lookup!$A$1:$A$25,1,FALSE)</f>
        <v>#N/A</v>
      </c>
    </row>
    <row r="32" spans="1:8" x14ac:dyDescent="0.35">
      <c r="A32" t="s">
        <v>62</v>
      </c>
      <c r="B32">
        <v>2019</v>
      </c>
      <c r="C32" t="s">
        <v>63</v>
      </c>
      <c r="D32" t="s">
        <v>144</v>
      </c>
      <c r="E32" t="s">
        <v>112</v>
      </c>
      <c r="F32" t="s">
        <v>226</v>
      </c>
      <c r="G32" t="b">
        <f t="shared" si="0"/>
        <v>1</v>
      </c>
      <c r="H32" t="e">
        <f>VLOOKUP(A32,ID_Lookup!$A$1:$A$25,1,FALSE)</f>
        <v>#N/A</v>
      </c>
    </row>
    <row r="33" spans="1:8" x14ac:dyDescent="0.35">
      <c r="A33" t="s">
        <v>64</v>
      </c>
      <c r="B33">
        <v>2019</v>
      </c>
      <c r="C33" t="s">
        <v>65</v>
      </c>
      <c r="D33" t="s">
        <v>145</v>
      </c>
      <c r="E33" t="s">
        <v>173</v>
      </c>
      <c r="F33" t="s">
        <v>233</v>
      </c>
      <c r="G33" t="b">
        <f t="shared" si="0"/>
        <v>0</v>
      </c>
      <c r="H33" t="e">
        <f>VLOOKUP(A33,ID_Lookup!$A$1:$A$25,1,FALSE)</f>
        <v>#N/A</v>
      </c>
    </row>
    <row r="34" spans="1:8" x14ac:dyDescent="0.35">
      <c r="A34" t="s">
        <v>66</v>
      </c>
      <c r="B34">
        <v>2019</v>
      </c>
      <c r="C34" t="s">
        <v>67</v>
      </c>
      <c r="D34" t="s">
        <v>68</v>
      </c>
      <c r="E34" t="s">
        <v>112</v>
      </c>
      <c r="F34" t="s">
        <v>185</v>
      </c>
      <c r="G34" t="b">
        <f t="shared" si="0"/>
        <v>1</v>
      </c>
      <c r="H34" t="str">
        <f>VLOOKUP(A34,ID_Lookup!$A$1:$A$25,1,FALSE)</f>
        <v>J532</v>
      </c>
    </row>
    <row r="35" spans="1:8" x14ac:dyDescent="0.35">
      <c r="A35" t="s">
        <v>69</v>
      </c>
      <c r="B35">
        <v>2019</v>
      </c>
      <c r="C35" t="s">
        <v>70</v>
      </c>
      <c r="D35" t="s">
        <v>146</v>
      </c>
      <c r="E35" t="s">
        <v>112</v>
      </c>
      <c r="F35" t="s">
        <v>229</v>
      </c>
      <c r="G35" t="b">
        <f t="shared" si="0"/>
        <v>1</v>
      </c>
      <c r="H35" t="str">
        <f>VLOOKUP(A35,ID_Lookup!$A$1:$A$25,1,FALSE)</f>
        <v>J533</v>
      </c>
    </row>
    <row r="36" spans="1:8" ht="409.5" x14ac:dyDescent="0.35">
      <c r="A36" t="s">
        <v>71</v>
      </c>
      <c r="B36">
        <v>2019</v>
      </c>
      <c r="C36" t="s">
        <v>72</v>
      </c>
      <c r="D36" s="1" t="s">
        <v>73</v>
      </c>
      <c r="E36" t="s">
        <v>112</v>
      </c>
      <c r="F36" t="s">
        <v>185</v>
      </c>
      <c r="G36" t="b">
        <f t="shared" si="0"/>
        <v>1</v>
      </c>
      <c r="H36" t="str">
        <f>VLOOKUP(A36,ID_Lookup!$A$1:$A$25,1,FALSE)</f>
        <v>J534</v>
      </c>
    </row>
    <row r="37" spans="1:8" x14ac:dyDescent="0.35">
      <c r="A37" t="s">
        <v>74</v>
      </c>
      <c r="B37">
        <v>2019</v>
      </c>
      <c r="C37" t="s">
        <v>75</v>
      </c>
      <c r="D37" t="s">
        <v>147</v>
      </c>
      <c r="E37" t="s">
        <v>112</v>
      </c>
      <c r="F37" t="s">
        <v>227</v>
      </c>
      <c r="G37" t="b">
        <f t="shared" si="0"/>
        <v>1</v>
      </c>
      <c r="H37" t="e">
        <f>VLOOKUP(A37,ID_Lookup!$A$1:$A$25,1,FALSE)</f>
        <v>#N/A</v>
      </c>
    </row>
    <row r="38" spans="1:8" x14ac:dyDescent="0.35">
      <c r="A38" t="s">
        <v>76</v>
      </c>
      <c r="B38">
        <v>2019</v>
      </c>
      <c r="C38" t="s">
        <v>77</v>
      </c>
      <c r="D38" t="s">
        <v>148</v>
      </c>
      <c r="E38" t="s">
        <v>112</v>
      </c>
      <c r="F38" t="s">
        <v>185</v>
      </c>
      <c r="G38" t="b">
        <f t="shared" si="0"/>
        <v>1</v>
      </c>
      <c r="H38" t="str">
        <f>VLOOKUP(A38,ID_Lookup!$A$1:$A$25,1,FALSE)</f>
        <v>J536</v>
      </c>
    </row>
    <row r="39" spans="1:8" x14ac:dyDescent="0.35">
      <c r="A39" t="s">
        <v>78</v>
      </c>
      <c r="B39">
        <v>2019</v>
      </c>
      <c r="C39" t="s">
        <v>79</v>
      </c>
      <c r="D39" t="s">
        <v>149</v>
      </c>
      <c r="E39" t="s">
        <v>112</v>
      </c>
      <c r="F39" t="s">
        <v>228</v>
      </c>
      <c r="G39" t="b">
        <f t="shared" si="0"/>
        <v>1</v>
      </c>
      <c r="H39" t="str">
        <f>VLOOKUP(A39,ID_Lookup!$A$1:$A$25,1,FALSE)</f>
        <v>J537</v>
      </c>
    </row>
    <row r="40" spans="1:8" x14ac:dyDescent="0.35">
      <c r="A40" t="s">
        <v>80</v>
      </c>
      <c r="B40">
        <v>2019</v>
      </c>
      <c r="C40" t="s">
        <v>81</v>
      </c>
      <c r="D40" t="s">
        <v>150</v>
      </c>
      <c r="E40" t="s">
        <v>173</v>
      </c>
      <c r="F40" t="s">
        <v>234</v>
      </c>
      <c r="G40" t="b">
        <f t="shared" si="0"/>
        <v>0</v>
      </c>
      <c r="H40" t="e">
        <f>VLOOKUP(A40,ID_Lookup!$A$1:$A$25,1,FALSE)</f>
        <v>#N/A</v>
      </c>
    </row>
    <row r="41" spans="1:8" x14ac:dyDescent="0.35">
      <c r="A41" t="s">
        <v>82</v>
      </c>
      <c r="B41">
        <v>2019</v>
      </c>
      <c r="C41" t="s">
        <v>151</v>
      </c>
      <c r="D41" t="s">
        <v>152</v>
      </c>
      <c r="E41" t="s">
        <v>173</v>
      </c>
      <c r="F41" t="s">
        <v>175</v>
      </c>
      <c r="G41" t="b">
        <f t="shared" si="0"/>
        <v>0</v>
      </c>
      <c r="H41" t="e">
        <f>VLOOKUP(A41,ID_Lookup!$A$1:$A$25,1,FALSE)</f>
        <v>#N/A</v>
      </c>
    </row>
    <row r="42" spans="1:8" x14ac:dyDescent="0.35">
      <c r="A42" t="s">
        <v>83</v>
      </c>
      <c r="B42">
        <v>2019</v>
      </c>
      <c r="C42" t="s">
        <v>84</v>
      </c>
      <c r="D42" t="s">
        <v>153</v>
      </c>
      <c r="E42" t="s">
        <v>112</v>
      </c>
      <c r="F42" t="s">
        <v>235</v>
      </c>
      <c r="G42" t="b">
        <f t="shared" si="0"/>
        <v>1</v>
      </c>
      <c r="H42" t="e">
        <f>VLOOKUP(A42,ID_Lookup!$A$1:$A$25,1,FALSE)</f>
        <v>#N/A</v>
      </c>
    </row>
    <row r="43" spans="1:8" ht="409.5" x14ac:dyDescent="0.35">
      <c r="A43" t="s">
        <v>85</v>
      </c>
      <c r="B43">
        <v>2019</v>
      </c>
      <c r="C43" t="s">
        <v>86</v>
      </c>
      <c r="D43" s="1" t="s">
        <v>87</v>
      </c>
      <c r="E43" t="s">
        <v>112</v>
      </c>
      <c r="F43" t="s">
        <v>185</v>
      </c>
      <c r="G43" t="b">
        <f t="shared" si="0"/>
        <v>1</v>
      </c>
      <c r="H43" t="str">
        <f>VLOOKUP(A43,ID_Lookup!$A$1:$A$25,1,FALSE)</f>
        <v>J541</v>
      </c>
    </row>
    <row r="44" spans="1:8" x14ac:dyDescent="0.35">
      <c r="A44" t="s">
        <v>88</v>
      </c>
      <c r="B44">
        <v>2019</v>
      </c>
      <c r="C44" t="s">
        <v>154</v>
      </c>
      <c r="D44" t="s">
        <v>155</v>
      </c>
      <c r="E44" t="s">
        <v>112</v>
      </c>
      <c r="F44" t="s">
        <v>236</v>
      </c>
      <c r="G44" t="b">
        <f t="shared" si="0"/>
        <v>1</v>
      </c>
      <c r="H44" t="e">
        <f>VLOOKUP(A44,ID_Lookup!$A$1:$A$25,1,FALSE)</f>
        <v>#N/A</v>
      </c>
    </row>
    <row r="45" spans="1:8" x14ac:dyDescent="0.35">
      <c r="A45" t="s">
        <v>89</v>
      </c>
      <c r="B45">
        <v>2019</v>
      </c>
      <c r="C45" t="s">
        <v>90</v>
      </c>
      <c r="D45" t="s">
        <v>156</v>
      </c>
      <c r="E45" t="s">
        <v>112</v>
      </c>
      <c r="F45" t="s">
        <v>235</v>
      </c>
      <c r="G45" t="b">
        <f t="shared" si="0"/>
        <v>1</v>
      </c>
      <c r="H45" t="str">
        <f>VLOOKUP(A45,ID_Lookup!$A$1:$A$25,1,FALSE)</f>
        <v>J543</v>
      </c>
    </row>
    <row r="46" spans="1:8" x14ac:dyDescent="0.35">
      <c r="A46" t="s">
        <v>91</v>
      </c>
      <c r="B46">
        <v>2019</v>
      </c>
      <c r="C46" t="s">
        <v>92</v>
      </c>
      <c r="D46" t="s">
        <v>93</v>
      </c>
      <c r="E46" t="s">
        <v>112</v>
      </c>
      <c r="F46" t="s">
        <v>185</v>
      </c>
      <c r="G46" t="b">
        <f t="shared" si="0"/>
        <v>1</v>
      </c>
      <c r="H46" t="str">
        <f>VLOOKUP(A46,ID_Lookup!$A$1:$A$25,1,FALSE)</f>
        <v>J544</v>
      </c>
    </row>
    <row r="47" spans="1:8" x14ac:dyDescent="0.35">
      <c r="A47" t="s">
        <v>94</v>
      </c>
      <c r="B47">
        <v>2019</v>
      </c>
      <c r="C47" t="s">
        <v>95</v>
      </c>
      <c r="D47" t="s">
        <v>96</v>
      </c>
      <c r="E47" t="s">
        <v>112</v>
      </c>
      <c r="F47" t="s">
        <v>185</v>
      </c>
      <c r="G47" t="b">
        <f t="shared" si="0"/>
        <v>1</v>
      </c>
      <c r="H47" t="str">
        <f>VLOOKUP(A47,ID_Lookup!$A$1:$A$25,1,FALSE)</f>
        <v>J545</v>
      </c>
    </row>
    <row r="48" spans="1:8" x14ac:dyDescent="0.35">
      <c r="A48" t="s">
        <v>97</v>
      </c>
      <c r="B48">
        <v>2019</v>
      </c>
      <c r="C48" t="s">
        <v>98</v>
      </c>
      <c r="D48" t="s">
        <v>157</v>
      </c>
      <c r="E48" t="s">
        <v>112</v>
      </c>
      <c r="F48" t="s">
        <v>185</v>
      </c>
      <c r="G48" t="b">
        <f t="shared" si="0"/>
        <v>1</v>
      </c>
      <c r="H48" t="str">
        <f>VLOOKUP(A48,ID_Lookup!$A$1:$A$25,1,FALSE)</f>
        <v>J546</v>
      </c>
    </row>
    <row r="49" spans="1:8" x14ac:dyDescent="0.35">
      <c r="A49" t="s">
        <v>99</v>
      </c>
      <c r="B49">
        <v>2019</v>
      </c>
      <c r="C49" t="s">
        <v>100</v>
      </c>
      <c r="D49" t="s">
        <v>101</v>
      </c>
      <c r="E49" t="s">
        <v>112</v>
      </c>
      <c r="F49" t="s">
        <v>185</v>
      </c>
      <c r="G49" t="b">
        <f t="shared" si="0"/>
        <v>1</v>
      </c>
      <c r="H49" t="str">
        <f>VLOOKUP(A49,ID_Lookup!$A$1:$A$25,1,FALSE)</f>
        <v>J547</v>
      </c>
    </row>
    <row r="50" spans="1:8" x14ac:dyDescent="0.35">
      <c r="A50" t="s">
        <v>102</v>
      </c>
      <c r="B50">
        <v>2019</v>
      </c>
      <c r="C50" t="s">
        <v>158</v>
      </c>
      <c r="D50" t="s">
        <v>159</v>
      </c>
      <c r="E50" t="s">
        <v>173</v>
      </c>
      <c r="F50" t="s">
        <v>175</v>
      </c>
      <c r="G50" t="b">
        <f t="shared" si="0"/>
        <v>0</v>
      </c>
      <c r="H50" t="e">
        <f>VLOOKUP(A50,ID_Lookup!$A$1:$A$25,1,FALSE)</f>
        <v>#N/A</v>
      </c>
    </row>
    <row r="51" spans="1:8" x14ac:dyDescent="0.35">
      <c r="A51" t="s">
        <v>103</v>
      </c>
      <c r="B51">
        <v>2019</v>
      </c>
      <c r="C51" t="s">
        <v>104</v>
      </c>
      <c r="D51" t="s">
        <v>105</v>
      </c>
      <c r="E51" t="s">
        <v>112</v>
      </c>
      <c r="F51" t="s">
        <v>185</v>
      </c>
      <c r="G51" t="b">
        <f t="shared" si="0"/>
        <v>1</v>
      </c>
      <c r="H51" t="str">
        <f>VLOOKUP(A51,ID_Lookup!$A$1:$A$25,1,FALSE)</f>
        <v>J549</v>
      </c>
    </row>
    <row r="52" spans="1:8" x14ac:dyDescent="0.35">
      <c r="A52" t="s">
        <v>106</v>
      </c>
      <c r="B52">
        <v>2019</v>
      </c>
      <c r="C52" t="s">
        <v>107</v>
      </c>
      <c r="D52" t="s">
        <v>160</v>
      </c>
      <c r="E52" t="s">
        <v>112</v>
      </c>
      <c r="F52" t="s">
        <v>237</v>
      </c>
      <c r="G52" t="b">
        <f t="shared" si="0"/>
        <v>1</v>
      </c>
      <c r="H52" t="e">
        <f>VLOOKUP(A52,ID_Lookup!$A$1:$A$25,1,FALSE)</f>
        <v>#N/A</v>
      </c>
    </row>
  </sheetData>
  <autoFilter ref="A1:H52" xr:uid="{5D3E4052-2545-45A0-857B-B79114EE9774}"/>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K51"/>
  <sheetViews>
    <sheetView workbookViewId="0">
      <selection activeCell="J13" sqref="J13"/>
    </sheetView>
  </sheetViews>
  <sheetFormatPr defaultRowHeight="14.5" x14ac:dyDescent="0.35"/>
  <cols>
    <col min="10" max="10" width="8.7265625" style="2"/>
  </cols>
  <sheetData>
    <row r="1" spans="1:11" x14ac:dyDescent="0.35">
      <c r="A1" t="s">
        <v>0</v>
      </c>
      <c r="B1" t="s">
        <v>1</v>
      </c>
      <c r="C1" t="s">
        <v>2</v>
      </c>
      <c r="D1" t="s">
        <v>3</v>
      </c>
      <c r="E1" t="s">
        <v>179</v>
      </c>
      <c r="F1" t="s">
        <v>180</v>
      </c>
      <c r="G1" t="s">
        <v>181</v>
      </c>
      <c r="H1" t="s">
        <v>182</v>
      </c>
      <c r="I1" t="s">
        <v>109</v>
      </c>
      <c r="J1" t="s">
        <v>110</v>
      </c>
      <c r="K1" t="s">
        <v>178</v>
      </c>
    </row>
    <row r="2" spans="1:11" hidden="1" x14ac:dyDescent="0.35">
      <c r="A2" t="s">
        <v>8</v>
      </c>
      <c r="B2">
        <v>2019</v>
      </c>
      <c r="C2" t="s">
        <v>9</v>
      </c>
      <c r="D2" t="s">
        <v>183</v>
      </c>
      <c r="E2" t="b">
        <v>1</v>
      </c>
      <c r="F2" t="s">
        <v>184</v>
      </c>
      <c r="G2" t="s">
        <v>185</v>
      </c>
      <c r="H2">
        <v>0.9</v>
      </c>
      <c r="I2" t="s">
        <v>112</v>
      </c>
      <c r="J2" t="s">
        <v>185</v>
      </c>
      <c r="K2" t="b">
        <f t="shared" ref="K2:K5" si="0">IF(I2="Include", TRUE, FALSE)</f>
        <v>1</v>
      </c>
    </row>
    <row r="3" spans="1:11" hidden="1" x14ac:dyDescent="0.35">
      <c r="A3" t="s">
        <v>12</v>
      </c>
      <c r="B3">
        <v>2019</v>
      </c>
      <c r="C3" t="s">
        <v>13</v>
      </c>
      <c r="D3" t="s">
        <v>186</v>
      </c>
      <c r="E3" t="b">
        <v>1</v>
      </c>
      <c r="F3" t="s">
        <v>187</v>
      </c>
      <c r="G3" t="s">
        <v>185</v>
      </c>
      <c r="H3">
        <v>0.9</v>
      </c>
      <c r="I3" t="s">
        <v>112</v>
      </c>
      <c r="J3" t="s">
        <v>223</v>
      </c>
      <c r="K3" t="b">
        <f t="shared" si="0"/>
        <v>1</v>
      </c>
    </row>
    <row r="4" spans="1:11" hidden="1" x14ac:dyDescent="0.35">
      <c r="A4" t="s">
        <v>19</v>
      </c>
      <c r="B4">
        <v>2019</v>
      </c>
      <c r="C4" t="s">
        <v>20</v>
      </c>
      <c r="D4" t="s">
        <v>188</v>
      </c>
      <c r="E4" t="b">
        <v>1</v>
      </c>
      <c r="F4" t="s">
        <v>189</v>
      </c>
      <c r="G4" t="s">
        <v>185</v>
      </c>
      <c r="H4">
        <v>0.9</v>
      </c>
      <c r="I4" t="s">
        <v>112</v>
      </c>
      <c r="J4" t="s">
        <v>185</v>
      </c>
      <c r="K4" t="b">
        <f t="shared" si="0"/>
        <v>1</v>
      </c>
    </row>
    <row r="5" spans="1:11" hidden="1" x14ac:dyDescent="0.35">
      <c r="A5" t="s">
        <v>21</v>
      </c>
      <c r="B5">
        <v>2019</v>
      </c>
      <c r="C5" t="s">
        <v>22</v>
      </c>
      <c r="D5" t="s">
        <v>190</v>
      </c>
      <c r="E5" t="b">
        <v>1</v>
      </c>
      <c r="F5" t="s">
        <v>191</v>
      </c>
      <c r="G5" t="s">
        <v>185</v>
      </c>
      <c r="H5">
        <v>1</v>
      </c>
      <c r="I5" t="s">
        <v>112</v>
      </c>
      <c r="J5" t="s">
        <v>185</v>
      </c>
      <c r="K5" t="b">
        <f t="shared" si="0"/>
        <v>1</v>
      </c>
    </row>
    <row r="6" spans="1:11" hidden="1" x14ac:dyDescent="0.35">
      <c r="A6" t="s">
        <v>24</v>
      </c>
      <c r="B6">
        <v>2019</v>
      </c>
      <c r="C6" t="s">
        <v>25</v>
      </c>
      <c r="D6" t="s">
        <v>26</v>
      </c>
      <c r="E6" t="b">
        <v>1</v>
      </c>
      <c r="F6" t="s">
        <v>192</v>
      </c>
      <c r="G6" t="s">
        <v>185</v>
      </c>
      <c r="H6">
        <v>0.9</v>
      </c>
      <c r="I6" t="s">
        <v>112</v>
      </c>
      <c r="J6" t="s">
        <v>228</v>
      </c>
      <c r="K6" t="b">
        <v>1</v>
      </c>
    </row>
    <row r="7" spans="1:11" hidden="1" x14ac:dyDescent="0.35">
      <c r="A7" t="s">
        <v>27</v>
      </c>
      <c r="B7">
        <v>2019</v>
      </c>
      <c r="C7" t="s">
        <v>28</v>
      </c>
      <c r="D7" t="s">
        <v>29</v>
      </c>
      <c r="E7" t="b">
        <v>1</v>
      </c>
      <c r="F7" t="s">
        <v>193</v>
      </c>
      <c r="G7" t="s">
        <v>185</v>
      </c>
      <c r="H7">
        <v>0.9</v>
      </c>
      <c r="I7" t="s">
        <v>112</v>
      </c>
      <c r="J7" t="s">
        <v>174</v>
      </c>
      <c r="K7" t="b">
        <v>1</v>
      </c>
    </row>
    <row r="8" spans="1:11" hidden="1" x14ac:dyDescent="0.35">
      <c r="A8" t="s">
        <v>31</v>
      </c>
      <c r="B8">
        <v>2019</v>
      </c>
      <c r="C8" t="s">
        <v>194</v>
      </c>
      <c r="D8" t="s">
        <v>195</v>
      </c>
      <c r="E8" t="b">
        <v>1</v>
      </c>
      <c r="F8" t="s">
        <v>196</v>
      </c>
      <c r="G8" t="s">
        <v>197</v>
      </c>
      <c r="H8">
        <v>0.9</v>
      </c>
      <c r="I8" t="s">
        <v>112</v>
      </c>
      <c r="J8" t="s">
        <v>226</v>
      </c>
      <c r="K8" t="b">
        <v>1</v>
      </c>
    </row>
    <row r="9" spans="1:11" hidden="1" x14ac:dyDescent="0.35">
      <c r="A9" t="s">
        <v>32</v>
      </c>
      <c r="B9">
        <v>2019</v>
      </c>
      <c r="C9" t="s">
        <v>33</v>
      </c>
      <c r="D9" t="s">
        <v>198</v>
      </c>
      <c r="E9" t="b">
        <v>1</v>
      </c>
      <c r="F9" t="s">
        <v>199</v>
      </c>
      <c r="G9" t="s">
        <v>185</v>
      </c>
      <c r="H9">
        <v>0.9</v>
      </c>
      <c r="I9" t="s">
        <v>112</v>
      </c>
      <c r="J9" t="s">
        <v>229</v>
      </c>
      <c r="K9" t="b">
        <v>1</v>
      </c>
    </row>
    <row r="10" spans="1:11" hidden="1" x14ac:dyDescent="0.35">
      <c r="A10" t="s">
        <v>42</v>
      </c>
      <c r="B10">
        <v>2019</v>
      </c>
      <c r="C10" t="s">
        <v>43</v>
      </c>
      <c r="D10" t="s">
        <v>44</v>
      </c>
      <c r="E10" t="b">
        <v>1</v>
      </c>
      <c r="F10" t="s">
        <v>200</v>
      </c>
      <c r="G10" t="s">
        <v>185</v>
      </c>
      <c r="H10">
        <v>0.9</v>
      </c>
      <c r="I10" t="s">
        <v>112</v>
      </c>
      <c r="J10" t="s">
        <v>185</v>
      </c>
      <c r="K10" t="b">
        <v>1</v>
      </c>
    </row>
    <row r="11" spans="1:11" hidden="1" x14ac:dyDescent="0.35">
      <c r="A11" t="s">
        <v>45</v>
      </c>
      <c r="B11">
        <v>2019</v>
      </c>
      <c r="C11" t="s">
        <v>46</v>
      </c>
      <c r="D11" t="s">
        <v>201</v>
      </c>
      <c r="E11" t="b">
        <v>1</v>
      </c>
      <c r="F11" t="s">
        <v>202</v>
      </c>
      <c r="G11" t="s">
        <v>185</v>
      </c>
      <c r="H11">
        <v>0.9</v>
      </c>
      <c r="I11" t="s">
        <v>112</v>
      </c>
      <c r="J11" t="s">
        <v>185</v>
      </c>
      <c r="K11" t="b">
        <v>1</v>
      </c>
    </row>
    <row r="12" spans="1:11" hidden="1" x14ac:dyDescent="0.35">
      <c r="A12" t="s">
        <v>47</v>
      </c>
      <c r="B12">
        <v>2019</v>
      </c>
      <c r="C12" t="s">
        <v>48</v>
      </c>
      <c r="D12" t="s">
        <v>203</v>
      </c>
      <c r="E12" t="b">
        <v>1</v>
      </c>
      <c r="F12" t="s">
        <v>204</v>
      </c>
      <c r="G12" t="s">
        <v>185</v>
      </c>
      <c r="H12">
        <v>1</v>
      </c>
      <c r="I12" t="s">
        <v>112</v>
      </c>
      <c r="J12" t="s">
        <v>185</v>
      </c>
      <c r="K12" t="b">
        <v>1</v>
      </c>
    </row>
    <row r="13" spans="1:11" x14ac:dyDescent="0.35">
      <c r="A13" t="s">
        <v>51</v>
      </c>
      <c r="B13">
        <v>2019</v>
      </c>
      <c r="C13" t="s">
        <v>52</v>
      </c>
      <c r="D13" t="s">
        <v>53</v>
      </c>
      <c r="E13" t="b">
        <v>0</v>
      </c>
      <c r="F13" t="s">
        <v>205</v>
      </c>
      <c r="G13" t="s">
        <v>176</v>
      </c>
      <c r="H13">
        <v>0.8</v>
      </c>
      <c r="I13" t="s">
        <v>112</v>
      </c>
      <c r="J13" t="s">
        <v>231</v>
      </c>
      <c r="K13" t="b">
        <v>1</v>
      </c>
    </row>
    <row r="14" spans="1:11" hidden="1" x14ac:dyDescent="0.35">
      <c r="A14" t="s">
        <v>66</v>
      </c>
      <c r="B14">
        <v>2019</v>
      </c>
      <c r="C14" t="s">
        <v>67</v>
      </c>
      <c r="D14" t="s">
        <v>68</v>
      </c>
      <c r="E14" t="b">
        <v>1</v>
      </c>
      <c r="F14" t="s">
        <v>206</v>
      </c>
      <c r="G14" t="s">
        <v>185</v>
      </c>
      <c r="H14">
        <v>0.9</v>
      </c>
      <c r="I14" t="s">
        <v>112</v>
      </c>
      <c r="J14" t="s">
        <v>185</v>
      </c>
      <c r="K14" t="b">
        <v>1</v>
      </c>
    </row>
    <row r="15" spans="1:11" hidden="1" x14ac:dyDescent="0.35">
      <c r="A15" t="s">
        <v>69</v>
      </c>
      <c r="B15">
        <v>2019</v>
      </c>
      <c r="C15" t="s">
        <v>70</v>
      </c>
      <c r="D15" t="s">
        <v>207</v>
      </c>
      <c r="E15" t="b">
        <v>1</v>
      </c>
      <c r="F15" t="s">
        <v>208</v>
      </c>
      <c r="G15" t="s">
        <v>197</v>
      </c>
      <c r="H15">
        <v>0.9</v>
      </c>
      <c r="I15" t="s">
        <v>112</v>
      </c>
      <c r="J15" t="s">
        <v>229</v>
      </c>
      <c r="K15" t="b">
        <v>1</v>
      </c>
    </row>
    <row r="16" spans="1:11" ht="409.5" hidden="1" x14ac:dyDescent="0.35">
      <c r="A16" t="s">
        <v>71</v>
      </c>
      <c r="B16">
        <v>2019</v>
      </c>
      <c r="C16" t="s">
        <v>72</v>
      </c>
      <c r="D16" s="1" t="s">
        <v>73</v>
      </c>
      <c r="E16" t="b">
        <v>1</v>
      </c>
      <c r="F16" t="s">
        <v>209</v>
      </c>
      <c r="G16" t="s">
        <v>185</v>
      </c>
      <c r="H16">
        <v>0.95</v>
      </c>
      <c r="I16" t="s">
        <v>112</v>
      </c>
      <c r="J16" t="s">
        <v>185</v>
      </c>
      <c r="K16" t="b">
        <v>1</v>
      </c>
    </row>
    <row r="17" spans="1:11" hidden="1" x14ac:dyDescent="0.35">
      <c r="A17" t="s">
        <v>76</v>
      </c>
      <c r="B17">
        <v>2019</v>
      </c>
      <c r="C17" t="s">
        <v>77</v>
      </c>
      <c r="D17" t="s">
        <v>210</v>
      </c>
      <c r="E17" t="b">
        <v>1</v>
      </c>
      <c r="F17" t="s">
        <v>211</v>
      </c>
      <c r="G17" t="s">
        <v>185</v>
      </c>
      <c r="H17">
        <v>0.9</v>
      </c>
      <c r="I17" t="s">
        <v>112</v>
      </c>
      <c r="J17" t="s">
        <v>185</v>
      </c>
      <c r="K17" t="b">
        <v>1</v>
      </c>
    </row>
    <row r="18" spans="1:11" hidden="1" x14ac:dyDescent="0.35">
      <c r="A18" t="s">
        <v>78</v>
      </c>
      <c r="B18">
        <v>2019</v>
      </c>
      <c r="C18" t="s">
        <v>79</v>
      </c>
      <c r="D18" t="s">
        <v>212</v>
      </c>
      <c r="E18" t="b">
        <v>1</v>
      </c>
      <c r="F18" t="s">
        <v>213</v>
      </c>
      <c r="G18" t="s">
        <v>185</v>
      </c>
      <c r="H18">
        <v>0.9</v>
      </c>
      <c r="I18" t="s">
        <v>112</v>
      </c>
      <c r="J18" t="s">
        <v>228</v>
      </c>
      <c r="K18" t="b">
        <v>1</v>
      </c>
    </row>
    <row r="19" spans="1:11" ht="409.5" hidden="1" x14ac:dyDescent="0.35">
      <c r="A19" t="s">
        <v>85</v>
      </c>
      <c r="B19">
        <v>2019</v>
      </c>
      <c r="C19" t="s">
        <v>86</v>
      </c>
      <c r="D19" s="1" t="s">
        <v>87</v>
      </c>
      <c r="E19" t="b">
        <v>1</v>
      </c>
      <c r="F19" t="s">
        <v>214</v>
      </c>
      <c r="G19" t="s">
        <v>185</v>
      </c>
      <c r="H19">
        <v>0.9</v>
      </c>
      <c r="I19" t="s">
        <v>112</v>
      </c>
      <c r="J19" t="s">
        <v>185</v>
      </c>
      <c r="K19" t="b">
        <v>1</v>
      </c>
    </row>
    <row r="20" spans="1:11" hidden="1" x14ac:dyDescent="0.35">
      <c r="A20" t="s">
        <v>89</v>
      </c>
      <c r="B20">
        <v>2019</v>
      </c>
      <c r="C20" t="s">
        <v>90</v>
      </c>
      <c r="D20" t="s">
        <v>215</v>
      </c>
      <c r="E20" t="b">
        <v>1</v>
      </c>
      <c r="F20" t="s">
        <v>216</v>
      </c>
      <c r="G20" t="s">
        <v>185</v>
      </c>
      <c r="H20">
        <v>1</v>
      </c>
      <c r="I20" t="s">
        <v>112</v>
      </c>
      <c r="J20" t="s">
        <v>235</v>
      </c>
      <c r="K20" t="b">
        <v>1</v>
      </c>
    </row>
    <row r="21" spans="1:11" hidden="1" x14ac:dyDescent="0.35">
      <c r="A21" t="s">
        <v>91</v>
      </c>
      <c r="B21">
        <v>2019</v>
      </c>
      <c r="C21" t="s">
        <v>92</v>
      </c>
      <c r="D21" t="s">
        <v>93</v>
      </c>
      <c r="E21" t="b">
        <v>1</v>
      </c>
      <c r="F21" t="s">
        <v>217</v>
      </c>
      <c r="G21" t="s">
        <v>185</v>
      </c>
      <c r="H21">
        <v>0.9</v>
      </c>
      <c r="I21" t="s">
        <v>112</v>
      </c>
      <c r="J21" t="s">
        <v>185</v>
      </c>
      <c r="K21" t="b">
        <v>1</v>
      </c>
    </row>
    <row r="22" spans="1:11" hidden="1" x14ac:dyDescent="0.35">
      <c r="A22" t="s">
        <v>94</v>
      </c>
      <c r="B22">
        <v>2019</v>
      </c>
      <c r="C22" t="s">
        <v>95</v>
      </c>
      <c r="D22" t="s">
        <v>96</v>
      </c>
      <c r="E22" t="b">
        <v>1</v>
      </c>
      <c r="F22" t="s">
        <v>218</v>
      </c>
      <c r="G22" t="s">
        <v>185</v>
      </c>
      <c r="H22">
        <v>0.9</v>
      </c>
      <c r="I22" t="s">
        <v>112</v>
      </c>
      <c r="J22" t="s">
        <v>185</v>
      </c>
      <c r="K22" t="b">
        <v>1</v>
      </c>
    </row>
    <row r="23" spans="1:11" hidden="1" x14ac:dyDescent="0.35">
      <c r="A23" t="s">
        <v>97</v>
      </c>
      <c r="B23">
        <v>2019</v>
      </c>
      <c r="C23" t="s">
        <v>98</v>
      </c>
      <c r="D23" t="s">
        <v>219</v>
      </c>
      <c r="E23" t="b">
        <v>1</v>
      </c>
      <c r="F23" t="s">
        <v>220</v>
      </c>
      <c r="G23" t="s">
        <v>185</v>
      </c>
      <c r="H23">
        <v>0.95</v>
      </c>
      <c r="I23" t="s">
        <v>112</v>
      </c>
      <c r="J23" t="s">
        <v>185</v>
      </c>
      <c r="K23" t="b">
        <v>1</v>
      </c>
    </row>
    <row r="24" spans="1:11" hidden="1" x14ac:dyDescent="0.35">
      <c r="A24" t="s">
        <v>99</v>
      </c>
      <c r="B24">
        <v>2019</v>
      </c>
      <c r="C24" t="s">
        <v>100</v>
      </c>
      <c r="D24" t="s">
        <v>101</v>
      </c>
      <c r="E24" t="b">
        <v>1</v>
      </c>
      <c r="F24" t="s">
        <v>221</v>
      </c>
      <c r="G24" t="s">
        <v>185</v>
      </c>
      <c r="H24">
        <v>1</v>
      </c>
      <c r="I24" t="s">
        <v>112</v>
      </c>
      <c r="J24" t="s">
        <v>185</v>
      </c>
      <c r="K24" t="b">
        <v>1</v>
      </c>
    </row>
    <row r="25" spans="1:11" hidden="1" x14ac:dyDescent="0.35">
      <c r="A25" t="s">
        <v>103</v>
      </c>
      <c r="B25">
        <v>2019</v>
      </c>
      <c r="C25" t="s">
        <v>104</v>
      </c>
      <c r="D25" t="s">
        <v>105</v>
      </c>
      <c r="E25" t="b">
        <v>1</v>
      </c>
      <c r="F25" t="s">
        <v>222</v>
      </c>
      <c r="G25" t="s">
        <v>185</v>
      </c>
      <c r="H25">
        <v>1</v>
      </c>
      <c r="I25" t="s">
        <v>112</v>
      </c>
      <c r="J25" t="s">
        <v>185</v>
      </c>
      <c r="K25" t="b">
        <v>1</v>
      </c>
    </row>
    <row r="26" spans="1:11" x14ac:dyDescent="0.35">
      <c r="J26"/>
    </row>
    <row r="27" spans="1:11" x14ac:dyDescent="0.35">
      <c r="J27"/>
    </row>
    <row r="28" spans="1:11" x14ac:dyDescent="0.35">
      <c r="J28"/>
    </row>
    <row r="29" spans="1:11" x14ac:dyDescent="0.35">
      <c r="J29"/>
    </row>
    <row r="30" spans="1:11" x14ac:dyDescent="0.35">
      <c r="J30"/>
    </row>
    <row r="31" spans="1:11" x14ac:dyDescent="0.35">
      <c r="J31"/>
    </row>
    <row r="32" spans="1:11" x14ac:dyDescent="0.35">
      <c r="J32"/>
    </row>
    <row r="33" spans="4:10" x14ac:dyDescent="0.35">
      <c r="J33"/>
    </row>
    <row r="34" spans="4:10" x14ac:dyDescent="0.35">
      <c r="J34"/>
    </row>
    <row r="35" spans="4:10" x14ac:dyDescent="0.35">
      <c r="D35" s="1"/>
      <c r="J35"/>
    </row>
    <row r="36" spans="4:10" x14ac:dyDescent="0.35">
      <c r="J36"/>
    </row>
    <row r="37" spans="4:10" x14ac:dyDescent="0.35">
      <c r="J37"/>
    </row>
    <row r="38" spans="4:10" x14ac:dyDescent="0.35">
      <c r="J38"/>
    </row>
    <row r="39" spans="4:10" x14ac:dyDescent="0.35">
      <c r="J39"/>
    </row>
    <row r="40" spans="4:10" x14ac:dyDescent="0.35">
      <c r="J40"/>
    </row>
    <row r="41" spans="4:10" x14ac:dyDescent="0.35">
      <c r="J41"/>
    </row>
    <row r="42" spans="4:10" x14ac:dyDescent="0.35">
      <c r="D42" s="1"/>
      <c r="J42"/>
    </row>
    <row r="43" spans="4:10" x14ac:dyDescent="0.35">
      <c r="J43"/>
    </row>
    <row r="44" spans="4:10" x14ac:dyDescent="0.35">
      <c r="J44"/>
    </row>
    <row r="45" spans="4:10" x14ac:dyDescent="0.35">
      <c r="J45"/>
    </row>
    <row r="46" spans="4:10" x14ac:dyDescent="0.35">
      <c r="J46"/>
    </row>
    <row r="47" spans="4:10" x14ac:dyDescent="0.35">
      <c r="J47"/>
    </row>
    <row r="48" spans="4:10" x14ac:dyDescent="0.35">
      <c r="J48"/>
    </row>
    <row r="49" spans="10:10" x14ac:dyDescent="0.35">
      <c r="J49"/>
    </row>
    <row r="50" spans="10:10" x14ac:dyDescent="0.35">
      <c r="J50"/>
    </row>
    <row r="51" spans="10:10" x14ac:dyDescent="0.35">
      <c r="J51"/>
    </row>
  </sheetData>
  <autoFilter ref="A1:K25" xr:uid="{1235A4A9-643F-403F-8F39-91437DA8F632}">
    <filterColumn colId="4">
      <filters>
        <filter val="FALS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C18"/>
  <sheetViews>
    <sheetView tabSelected="1" topLeftCell="A2" workbookViewId="0">
      <selection activeCell="A19" sqref="A19"/>
    </sheetView>
  </sheetViews>
  <sheetFormatPr defaultRowHeight="14.5" x14ac:dyDescent="0.35"/>
  <cols>
    <col min="1" max="1" width="14.453125" bestFit="1" customWidth="1"/>
  </cols>
  <sheetData>
    <row r="1" spans="1:3" x14ac:dyDescent="0.35">
      <c r="A1" t="s">
        <v>165</v>
      </c>
    </row>
    <row r="2" spans="1:3" x14ac:dyDescent="0.35">
      <c r="B2" t="s">
        <v>163</v>
      </c>
      <c r="C2" t="s">
        <v>164</v>
      </c>
    </row>
    <row r="3" spans="1:3" x14ac:dyDescent="0.35">
      <c r="A3" t="s">
        <v>161</v>
      </c>
      <c r="B3">
        <f>COUNTIFS('Merged results table'!$E$1:$E$51,TRUE,'Merged results table'!$K$1:$K$51,TRUE)</f>
        <v>23</v>
      </c>
      <c r="C3">
        <f>COUNTIFS('Merged results table'!$E$1:$E$51,TRUE,'Merged results table'!$K$1:$K$51,FALSE)</f>
        <v>0</v>
      </c>
    </row>
    <row r="4" spans="1:3" x14ac:dyDescent="0.35">
      <c r="A4" t="s">
        <v>162</v>
      </c>
      <c r="B4">
        <f>COUNTIFS('Merged results table'!$E$1:$E$51,FALSE,'Merged results table'!$K$1:$K$51,TRUE)</f>
        <v>1</v>
      </c>
      <c r="C4">
        <f>COUNTIFS('Merged results table'!$E$1:$E$51,FALSE,'Merged results table'!$K$1:$K$51,FALSE)</f>
        <v>0</v>
      </c>
    </row>
    <row r="6" spans="1:3" x14ac:dyDescent="0.35">
      <c r="A6" t="s">
        <v>168</v>
      </c>
      <c r="B6">
        <f>B3</f>
        <v>23</v>
      </c>
    </row>
    <row r="7" spans="1:3" x14ac:dyDescent="0.35">
      <c r="A7" t="s">
        <v>169</v>
      </c>
      <c r="B7">
        <f>C4</f>
        <v>0</v>
      </c>
    </row>
    <row r="8" spans="1:3" x14ac:dyDescent="0.35">
      <c r="A8" t="s">
        <v>170</v>
      </c>
      <c r="B8">
        <f>C3</f>
        <v>0</v>
      </c>
    </row>
    <row r="9" spans="1:3" x14ac:dyDescent="0.35">
      <c r="A9" t="s">
        <v>171</v>
      </c>
      <c r="B9">
        <f>B4</f>
        <v>1</v>
      </c>
    </row>
    <row r="11" spans="1:3" x14ac:dyDescent="0.35">
      <c r="A11" t="s">
        <v>166</v>
      </c>
      <c r="B11">
        <f>(B3+C4)/(B3+B4+C3+C4)</f>
        <v>0.95833333333333337</v>
      </c>
    </row>
    <row r="12" spans="1:3" x14ac:dyDescent="0.35">
      <c r="A12" t="s">
        <v>167</v>
      </c>
      <c r="B12">
        <f>B3/(B3+B4)</f>
        <v>0.95833333333333337</v>
      </c>
    </row>
    <row r="14" spans="1:3" x14ac:dyDescent="0.35">
      <c r="A14" t="s">
        <v>172</v>
      </c>
    </row>
    <row r="15" spans="1:3" x14ac:dyDescent="0.35">
      <c r="A15" t="s">
        <v>238</v>
      </c>
    </row>
    <row r="16" spans="1:3" x14ac:dyDescent="0.35">
      <c r="A16" t="s">
        <v>51</v>
      </c>
    </row>
    <row r="17" spans="1:1" x14ac:dyDescent="0.35">
      <c r="A17" t="s">
        <v>239</v>
      </c>
    </row>
    <row r="18" spans="1:1" x14ac:dyDescent="0.35">
      <c r="A18" t="s">
        <v>240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Stage_3_API_50</vt:lpstr>
      <vt:lpstr>ID_Lookup</vt:lpstr>
      <vt:lpstr>Stage_3_FF_50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2025-09-03T11:33:35Z</dcterms:modified>
</cp:coreProperties>
</file>