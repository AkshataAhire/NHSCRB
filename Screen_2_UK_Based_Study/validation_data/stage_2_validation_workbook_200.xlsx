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D715C365-F23B-4EB9-B2B4-2F1DB0174850}" xr6:coauthVersionLast="47" xr6:coauthVersionMax="47" xr10:uidLastSave="{00000000-0000-0000-0000-000000000000}"/>
  <bookViews>
    <workbookView xWindow="-110" yWindow="-110" windowWidth="19420" windowHeight="10300" activeTab="4" xr2:uid="{66513E08-89B8-4D61-A86D-819C01466699}"/>
  </bookViews>
  <sheets>
    <sheet name="Stage_2_API_50" sheetId="1" r:id="rId1"/>
    <sheet name="ID_Lookup" sheetId="5" r:id="rId2"/>
    <sheet name="Stage_2_FF_50" sheetId="2" r:id="rId3"/>
    <sheet name="Merged results table" sheetId="3" r:id="rId4"/>
    <sheet name="Evaluating Results" sheetId="4" r:id="rId5"/>
  </sheets>
  <definedNames>
    <definedName name="_xlnm._FilterDatabase" localSheetId="3" hidden="1">'Merged results table'!$A$1:$K$198</definedName>
    <definedName name="_xlnm._FilterDatabase" localSheetId="2" hidden="1">Stage_2_FF_50!$A$1:$H$201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3" i="4"/>
  <c r="B4" i="4"/>
  <c r="B3" i="4"/>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B8" i="4" l="1"/>
  <c r="B7" i="4"/>
  <c r="B9" i="4"/>
  <c r="B12" i="4" l="1"/>
  <c r="B6" i="4"/>
  <c r="B11" i="4"/>
</calcChain>
</file>

<file path=xl/sharedStrings.xml><?xml version="1.0" encoding="utf-8"?>
<sst xmlns="http://schemas.openxmlformats.org/spreadsheetml/2006/main" count="3831" uniqueCount="952">
  <si>
    <t>id</t>
  </si>
  <si>
    <t>Year</t>
  </si>
  <si>
    <t>Title</t>
  </si>
  <si>
    <t>Abstract</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</si>
  <si>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</si>
  <si>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</si>
  <si>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Â© 2019 Elsevier Ltd</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</si>
  <si>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</si>
  <si>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</si>
  <si>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Â© 2019</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</si>
  <si>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</si>
  <si>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</si>
  <si>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Â© 2019</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</si>
  <si>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</si>
  <si>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</si>
  <si>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Participantâ€assessed outcomes, such as perception of DLs, and oral healthâ€related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Parallelâ€group, randomised controlled trials comparing the use of a fluorideâ€containing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lowâ€certainty evidence). One placebo (nonâ€fluoride)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comparisons:â€¨ â€ an amine fluoride and stannous fluoride toothpaste/mouthrinse combination versus a sodium fluoride toothpaste/mouthrinse,â€¨ â€ an amine fluoride gel versus a nonâ€fluoride placebo applied by participants at home once a week and by professional application every three months,â€¨ â€ resinâ€modified glass ionomer cement versus lightâ€cured composite resin for bonding orthodontic brackets,â€¨ â€ a 250 ppm F mouthrinse versus 0 ppm F placebo mouthrinse,â€¨ â€ the use of an intraoral fluorideâ€releasing glass bead device attached to the brace versus a daily fluoride mouthrinse. The last two comparisons involved studies that were assessed at high risk of bias, because a substantial number of participants were lost to followâ€up.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followâ€up studies, in different settings, to confirm external validity. A patientâ€reported outcome, such as concern about the aesthetics of any DLs, was still not included as an outcome in any study. Reports of adverse effects from topical fluoride applications were rare and unlikely to be significant. One study involving fluorideâ€containing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â€¨ Ugly white or brown marks sometimes appear on the teeth during treatment with braces to straighten teeth. These are due to early tooth decay and usually occur with fixed, gluedâ€on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â€¨ Wearing a fixed brace makes it harder for people to keep their teeth clean and may also cause pain. Pain can make it more difficult for people to brush their teeth. This can lead to a buildâ€up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â€¨ This review is upâ€toâ€date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treatments:â€¨ â€ dentist or nurseâ€applied fluoride e.g. varnish, gel or foam,â€¨ â€ patientâ€applied/used fluoride e.g. toothpaste, mouthwash, gel or foam, andâ€¨ â€ materials that release fluoride over time e.g. glues, elastic bands. Key results 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â€¨ The level of belief we have in these findings is low, due to the lack of studies testing the same fluorides and showing the same results. We suggest that more, wellâ€conducted studies should be done in this area.</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</si>
  <si>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</si>
  <si>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</si>
  <si>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Â© 2019</t>
  </si>
  <si>
    <t>J505</t>
  </si>
  <si>
    <t>Fetal fibronectin testing for reducing the risk of preterm birth</t>
  </si>
  <si>
    <t>- Background Fetal fibronectin (FFN) is an extracellular matrix glycoprotein localized at the maternalâ€fetal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lowâ€quality evidence). However, management based on knowledge of FFN results may make little or no difference to preterm birth before 34 (RR 1.09, 95% CI 0.54 to 2.18; 4 trials; 357 women; lowâ€quality evidence) or maternal hospitalization (RR 1.06, 95% CI 0.79 to 1.43; 5 trials; 441 women; lowâ€quality evidence). The evidence for preterm birth before 32 weeks is uncertain because the quality was found to be very low (average RR 0.79, 95% CI 0.16 to 3.96; 4 trials; 357 women; very lowâ€quality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â€˜glueâ€™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womenâ€™s gestational age at delivery; babies with a birthweight less than 2500 g; newborn deaths; the number of babies with respiratory distress syndrome; giving steroids to mature the unborn babiesâ€™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</si>
  <si>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</si>
  <si>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</si>
  <si>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TVUâ€measured cervical length of singletons with symptoms of PTL versus no knowledge. We are uncertain of the effects because of inconclusive results and very lowâ€quality evidence for: preterm births at less than 37 weeks (average RR 0.59, 95% CI 0.26 to 1.32; 2 studies, 242 participants; IÂ² = 66%; TauÂ²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costâ€effectiveness analyses. Most importantly, future studies should include a clear protocol for management of women based on TVUâ€measured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costâ€effectiveness analyses.</t>
  </si>
  <si>
    <t>J507</t>
  </si>
  <si>
    <t>Comparison of different human papillomavirus (HPV) vaccine types and dose schedules for prevention of HPVâ€related disease in females and males</t>
  </si>
  <si>
    <t>- Background Uptake of human papillomavirus (HPV) vaccine remains low in many countries, although the bivalent and quadrivalent HPV vaccines given as a threeâ€dose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HIVâ€negative males or females aged 9 to 26 years, or HIVâ€positive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followâ€up in the included studies ranged from seven months to five years. Two doses versus three doses of HPV vaccine in 9â€ to 15â€yearâ€old females Antibody responses after twoâ€dose and threeâ€dose HPV vaccine schedules were similar after up to five years of followâ€up (4 RCTs, moderateâ€ to highâ€certainty evidence). No RCTs collected clinical outcome data. Evidence about serious adverse events in studies comparing dose schedules was of very lowâ€certainty owing to imprecision and indirectness (three doses 35/1159; two doses 36/1158; 4 RCTs). One death was reported in the threeâ€dose group (1/898) and none in the twoâ€dose group (0/899) (lowâ€certainty evidence). Interval between doses of HPV vaccine in 9â€ to 14â€yearâ€old females and males Antibody responses were stronger with a longer interval (6 or 12 months) between the first two doses of HPV vaccine than a shorter interval (2 or 6 months) at up to three years of followâ€up (4 RCTs, moderateâ€ to highâ€certainty evidence). No RCTs collected data about clinical outcomes. Evidence about serious adverse events in studies comparing intervals was of very lowâ€certainty, owing to imprecision and indirectness. No deaths were reported in any of the studies (0/1898, 3 RCTs, lowâ€certainty evidence). HPV vaccination of 10â€ to 26â€yearâ€old males In one RCT there was moderateâ€certainty evidence that quadrivalent HPV vaccine, compared with control, reduced the incidence of external genital lesions (control 36 per 3081 personâ€years; quadrivalent 6 per 3173 personâ€years; rate ratio 0.16, 95% CI 0.07 to 0.38; 6254 personâ€years) and anogenital warts (control 28 per 2814 personâ€years; quadrivalent 3 per 2831 personâ€years; rate ratio 0.11, 95% CI 0.03 to 0.38; 5645 personâ€years). The quadrivalent vaccine resulted in more injectionâ€site adverse events, such as pain or redness, than control (5 7 versus 601 per 1000; risk ratio (RR) 1.12, 95% CI 1.06 to 1.18, 3895 participants, highâ€certainty evidence). There was very lowâ€certainty evidence from two RCTs about serious adverse events with quadrivalent vaccine (control 12/2588; quadrivalent 8/2574), and about deaths (control 11/2591; quadrivalent 3/2582), owing to imprecision and indirectness. Nonavalent versus quadrivalent vaccine in 9â€ to 26â€yearâ€old females and males Three RCTs were included; one in females aged 9â€ to 15â€years (n = 600), one in females aged 16â€ to 26â€years (n = 14,215), and one in males aged 16â€ to 26â€years (n = 500). The RCT in 16â€ to 26â€yearâ€old females reported clinical outcomes. There was little to no difference in the incidence of the combined outcome of highâ€grade cervical epithelial neoplasia, adenocarcinoma in situ, or cervical cancer between the HPV vaccines (quadrivalent 325/6882, nonavalent 326/6871; OR 1.00, 95% CI 0.85 to 1.16; 13,753 participants; highâ€certainty evidence). The other two RCTs did not collect data about clinical outcomes. There were slightly more local adverse events with the nonavalent vaccine (905 per 1000) than the quadrivalent vaccine (846 per 1000) (RR 1.07, 95% CI 1.05 to 1.08; 3 RCTs, 15,863 participants; highâ€certainty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(lowâ€certainty evidence). The evidence about clinical outcomes and harms for HPV vaccines in people with HIV is very uncertain (lowâ€ to very lowâ€certainty evidence), owing to imprecision and indirectness. Authors' conclusions The immunogenicity of twoâ€dose and threeâ€dose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Postâ€marketing surveillance is needed to continue monitoring harms that might be associated with HPV vaccines in the population, and this evidence will be incorporated in future updates of this review. Longâ€term observational studies are needed to determine the effectiveness of reducedâ€dose schedules against HPVâ€related cancer endpoints, and whether adopting these schedules improves vaccine coverage rates. Plain language summary Comparison of different human papillomavirus (HPV) vaccines and the number of doses administered to prevent HPVâ€related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â€“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16â€ to 26â€yearâ€old men, one study showed evidence of moderate certainty that a quadrivalent HPV vaccine provides better protection against external genital lesions and genital warts than a dummy treatment (control). In 16â€ to 26â€yearâ€old women, one study showed that the nonavalent and quadrivalent vaccines provide the same levels of protection against cervical, vaginal, and vulval precancer lesions and cancer (highâ€certainty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lowâ€certainty. In people living with HIV, HPV vaccines result in reasonable levels of immune system response, but evidence about their effects on persistent HPV infection or HPVâ€related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Moderateâ€certainty evidence means that there is a possibility that further research may have an important effect on our findings, whilst lowâ€certainty evidence means that our confidence was limited and further research may have an important impact on our findings. Very lowâ€certainty evidence means that we were uncertain about the result. Conclusion A twoâ€dose schedule of HPV vaccines in young females results in immune system responses that are comparable with a threeâ€dose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longâ€term populationâ€level studies are needed to continue monitoring safety of these vaccines, to determine for how long two doses of vaccine can provide protection against HPVâ€related disease, the effect against HPVâ€related cancer, and whether a twoâ€dose immunisation schedule will increase vaccine coverage.</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</si>
  <si>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</si>
  <si>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</si>
  <si>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Â©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</si>
  <si>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</si>
  <si>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</si>
  <si>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Â© 2019 European Centre for Disease Prevention and Control (ECDC). All rights reserved.</t>
  </si>
  <si>
    <t>J510</t>
  </si>
  <si>
    <t>Treatment for hepatorenal syndrome in people with decompensated liver cirrhosis: a network metaâ€analysis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</si>
  <si>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metaâ€analysis with OpenBUGS using Bayesian methods and calculated the odds ratio (OR), rate ratio, hazard ratio (HR), and mean difference (MD) with 95% credible intervals (CrI) based on an availableâ€case analysis, according to National Institute of Health and Care Excellence Decision Support Unit guidance. Main results We included a total of 25 trials (1263 participants; 12 interventions) in the review. Twentyâ€three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followâ€up between the different interventions. None of the trials reported healthâ€related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followâ€up (four trials; 342 participants), or other features of decompensation at maximal followâ€up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lowâ€certainty evidence, there is no evidence of benefit or harm of any of the interventions for hepatorenal syndrome with regards to the following outcomes: allâ€cause mortality, serious adverse events (proportion), number of serious adverse events per participant, any adverse events (proportion), liver transplantation, or other decompensation events. Lowâ€certainty evidence suggests that albumin plus noradrenaline had fewer 'any adverse events per participant' than albumin plus terlipressin. Lowâ€ or very lowâ€certainty evidence also found that albumin plus midodrine plus octreotide and albumin alone had lower recovery from hepatorenal syndrome compared with albumin plus terlipressin. Future randomised clinical trials should be adequately powered; employ blinding, avoid postâ€randomisation dropouts or planned crossâ€overs (or perform an intentionâ€toâ€treat analysis); and report clinically important outcomes such as mortality, healthâ€related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metaâ€analysis' or 'multiple treatment comparisons'). The aim is to gather reliable evidence on the relative benefits and harms of the different treatments. Date of literature search â€¨ December 2018 Key messages 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nonâ€serious complications, time to liver transplantation, recovery from hepatorenal syndrome, and disappearance of symptoms. What were the main results of the review? The 25 studies included a small number of participants (1263 participants). Study data were sparse. Twentyâ€three studies with 1185 participants provided data for analyses. The followâ€up in the trials ranged from one week to six months. The review shows that: â€ About 60 out of every 100 people died within three months, and 35 out of every 100 people recovered from hepatorenal syndrome. 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â€ None of the trials reported healthâ€related quality of life. â€ The number of complications of any severity was lower with albumin plus noradrenaline than albumin plus terlipressin. â€ Recovery from hepatorenal syndrome may be lower with albumin plus midodrine plus octreotide and albumin alone than albumin plus terlipressin and albumin plus noradrenaline. â€ We have very low confidence in the overall results. â€ Future trials with proper design and quality are needed to clarify the best treatment for people with advanced liver disease having hepatorenal syndrome.</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</si>
  <si>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</si>
  <si>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</si>
  <si>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</si>
  <si>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</si>
  <si>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</si>
  <si>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</si>
  <si>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</si>
  <si>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Onceâ€daily versus multipleâ€daily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</si>
  <si>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onceâ€daily versus multipleâ€daily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onceâ€daily dosing of aminoglycosides has been compared with multipleâ€daily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onceâ€daily dosing with thriceâ€daily dosing. One crossâ€over trial had 26 participants who received the firstâ€arm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â€2.81 to 3.48, moderateâ€quality evidence); forced vital capacity, MD 0.29 (95% CI â€6.58 to 7.16, lowâ€quality evidence); % weight for height, MD â€0.82 (95% CI â€3.77 to 2.13, lowâ€quality evidence); body mass index, MD 0.00 (95% CI â€0.42 to 0.42, lowâ€quality evidence); or in the incidence of ototoxicity, relative risk 0.56 (95% CI 0.04 to 7.96, moderateâ€quality evidence). Onceâ€daily treatment in children probably improved the percentage change in creatinine, MD â€8.20 (95% CI â€15.32 to â€1.08, moderateâ€quality evidence), but showed no difference in adults, MD 3.25 (95% CI â€1.82 to 8.33, moderateâ€quality evidence). The included trials did not report antibiotic resistance patterns or quality of life. Authors' conclusions Onceâ€ and threeâ€times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onceâ€aâ€day dosing with three timesâ€aâ€day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onceâ€daily treatment can be just as effective and more convenient than threeâ€times daily treatment, we recommend further studies to look at the longâ€term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</si>
  <si>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J514</t>
  </si>
  <si>
    <t>â€‹Primary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</si>
  <si>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Inâ€Process &amp; Other Nonâ€Indexed Citations); Ovid Embase and EBSCO CINAHL Plus. We also searched clinical trials registries for ongoing and unpublished studies, and scanned reference lists of relevant included studies as well as reviews, metaâ€analyses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fullâ€text publications, applied the inclusion criteria, and extracted data. We pooled data using a randomâ€effects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â€1.31, 95% CI â€2.03 to â€0.59; 1 study, 182 participants). The certainty of evidence for this outcome was judged to be moderate (we downgraded our assessment by one level for imprecision). We are uncertain whether primary closure improves the proportion of dog bite wounds that are infectionâ€free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lowerâ€income countries bites can also be caused by wild animals. Dogs are generally responsible for the majority of bites. Bite wounds are at high risk of infection as microbes are transmitted into the wound from the animal's mouth. In lowerâ€income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infectionâ€free compared with no closure (very lowâ€certainty evidence from two studies including a total of 782 people) and compared with delayed closure (very lowâ€certainty evidence from one study with a total of 120 people). There is little difference in the appearance of dog bite wounds when primary closure is compared with no closure (moderateâ€certainty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</si>
  <si>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</si>
  <si>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</si>
  <si>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(XpressIveÂ©) and Discrete-Even Simulation (Simul8 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</si>
  <si>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</si>
  <si>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</si>
  <si>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nonâ€exercise (e.g. biofeedback), and other exercise interventions. Design flaws across studies led to selection, performance, detection, and selective reporting biases. We prioritised the findings of mixed exercise compared to control and present them fully here. Twentyâ€one trials (1253 participants) provided moderateâ€quality evidence for all major outcomes but stiffness (low quality). With the exception of withdrawals and adverse events, major outcome measures were selfâ€reported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moderateâ€quality risk ratio for allâ€cause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lowâ€quality evidence on longâ€term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Lowâ€quality evidence suggests that mixed exercise may slightly improve stiffness. Very lowâ€quality evidence indicates that we are 'uncertain' whether the longâ€term effects of mixed exercise are maintained for all outcomes; allâ€cause withdrawals and adverse events were not measured. Compared to other exercise or nonâ€exercise interventions, we are uncertain about the effects of mixed exercise because we found only very lowâ€quality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â€“ mixed exercise vs control Each outcome below is measured on a scale that goes from 0 to 100, where lower sco es are better. Healthâ€related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â€“ 11% of control participants left the study early compared with 12% of exercisers. Longâ€term effects â€ Analysis of longâ€term effects of HRQL showed maintenance of mixed exercise effects at 6 to 12 weeks and at 13 to 26 weeks but not at 27 to 52 weeks. Very lowâ€quality evidence suggests that it is uncertain whether mixed exercises improve HRQL in the long term. Withdrawals and adverse events were not measured. Other â€ Reviewers found no evidence that the benefits and harms of mixed exercise were any different from education programmes, cognitiveâ€behavioural training, biofeedback, medication, or other types of exercise. Conclusions and quality of evidence Mixed exercise may improve HRQL and the ability to do daily activities, may decrease pain and tiredness, and may be acceptable to individuals with fibromyalgia. Lowâ€quality evidence suggests that mixed exercise may slightly improve stiffness. When compared to other exercise or nonâ€exercise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</si>
  <si>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</si>
  <si>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</si>
  <si>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</si>
  <si>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</si>
  <si>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Â© 2019</t>
  </si>
  <si>
    <t>J519</t>
  </si>
  <si>
    <t>Lateral flow urine lipoarabinomannan assay for detecting active tuberculosis in people living with HIV</t>
  </si>
  <si>
    <t>- Background The lateral flow urine lipoarabinomannan (LFâ€LAM) assay Alere Determineâ„¢ TB LAM Ag is recommended by the World Health Organization (WHO) to help detect active tuberculosis in HIVâ€positive people with severe HIV disease. This review update asks the question, does new evidence justify the use of LFâ€LAM in a broader group of people?â€, and is part of the WHO process for updating guidance on the use of LFâ€LAM. Objectives To assess the accuracy of LFâ€LAM for the diagnosis of active tuberculosis among HIVâ€positive adults with signs and symptoms of tuberculosis (symptomatic participants) and among HIVâ€positive adults irrespective of signs and symptoms of tuberculosis (unselected participants not assessed for tuberculosis signs and symptoms). The proposed role for LFâ€LAM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crossâ€sectional, and observational cohort studies that evaluated LFâ€LAM for active tuberculosis (pulmonary and extrapulmonary) in HIVâ€positive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Studiesâ€2 (QUADASâ€2) tool and performed metaâ€analyses to estimate pooled sensitivity and specificity using a bivariate randomâ€effects model and a Bayesian approach. We analyzed studies enrolling strictly symptomatic participants separately from those enrolling unselected participants. We investigated preâ€defined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lowâ€ or middleâ€income countries. Risk of bias was high in the patient selection and reference standard domains, mainly because studies excluded participants unable to produce sputum and used a lower quality reference standard. Participants with tuberculosis symptoms LFâ€LAM pooled sensitivity (95% credible interval (CrI) ) was 42% (31% to 55%) (moderateâ€certainty evidence) and pooled specificity was 91% (85% to 95%) (very lowâ€certainty evidence), (8 studies, 3449 participants, 37% with tuberculosis).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LFâ€LAM pooled sensitivity was 35% (22% to 50%), (moderateâ€certainty evidence) and pooled specificity was 95% (89% to 96%), (lowâ€certainty evidence), (7 studies, 3365 participants, 13% with tuberculosis).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LFâ€LAM has a sensitivity of 42% to diagnose tuberculosis in HIVâ€positive individuals with tuberculosis symptoms and 35% in HIVâ€positive individuals not assessed for tuberculosis symptoms, consistent with findings reported previously. Regardless of how people are enrolled, sensitivity is higher in inpatients and those with lower CD4 cell, but a concomitant lower specificity. As a simple pointâ€ofâ€care test that does not depend upon sputum evaluation, LFâ€LAM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(LFâ€LAM, Alere Determineâ„¢ TB LAM Ag assay) is a World Health Organizationâ€recommended rapid test to assist in detection of active tuberculosis in HIVâ€positive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LFâ€LAM is for diagnosing tuberculosis in HIVâ€positive people with tuberculosis symptoms (symptomatic participants) and those not assessed for tuberculosis symptoms (unselected participants). This is an update of the 2016 Cochrane Review. What was studied in this review? LFâ€LAM is a commercially available pointâ€ofâ€care test that detects lipoarabinomannan (LAM), a component of the bacterial cell walls, present in some people with active tuberculosis. The test is simple and shows results in 25 minutes. LFâ€LAM results were measured against culture or molecular tests (benchmark). What are the main results of this review? Fifteen studies: eight studies evaluated LFâ€LAM for tuberculosis among symptomatic participants and seven studies among unselected participants. All studies were conducted in lowâ€ or middleâ€income countries. Tuberculosis diagnosis among symptomatic participants: LFâ€LAM registered positive in 42% (sensitivity) of people who actually had tuberculosis and did not register positive in 91% of people who were actually negative (specificity). Tuberculosis diagnosis among unselected participants: LFâ€LAM sensitivity was 35% and specificity 95%. How confident are we in the reviewâ€™s results? Several studies excluded participants who could not produce sputum and most studies relied on a lower quality benchmark. Few studies and participants were included in some analyses and only one study was conducted outside of subâ€Saharan Africa. Results should be interpreted with caution. What do the results mean? Among symptomatic participants, in theory,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Among unselected participants, in theory,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Who do the reviewâ€™s results apply to? HIVâ€positive people with tuberculosis symptoms and those not assessed for tuberculosis symptoms. What are the implications of this review? LFâ€LAM has sensitivity around 40% to detect tuberculosis. As the test does not require sputum collection, LFâ€LAM may be the only way to diagnose tuberculosis when sputum cannot be produced. How upâ€toâ€date is this review? To 11 May 2018."</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</si>
  <si>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</si>
  <si>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</si>
  <si>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</si>
  <si>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</si>
  <si>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</si>
  <si>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Â©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</si>
  <si>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</si>
  <si>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</si>
  <si>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Â© Published by the BMJ Publishing Group Limited.</t>
  </si>
  <si>
    <t>J523</t>
  </si>
  <si>
    <t>Perioperative betaâ€blockers for preventing surgeryâ€related mortality and morbidity in adults undergoing nonâ€cardiac surgery</t>
  </si>
  <si>
    <t>- Background Randomized controlled trials (RCTs) have yielded conflicting results regarding the ability of betaâ€blockers to influence perioperative cardiovascular morbidity and mortality. Thus routine prescription of these drugs in an unselected population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nonâ€cardiac surgery only. Objectives To assess the effectiveness of perioperatively administered betaâ€blockers for the prevention of surgeryâ€related mortality and morbidity in adults undergoing nonâ€cardiac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nonâ€cardiac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quasiâ€randomized studies. All participants were undergoing nonâ€cardiac surgery, and types of surgery ranged from low to high risk. Types of betaâ€blockers were: propranolol, metoprolol, esmolol, landiolol, nadolol, atenolol, labetalol, oxprenolol, and pindolol. In nine studies, betaâ€blockers were titrated according to heart rate or blood pressure. Duration of administration varied between studies, as did the time at which drugs were administered; in most studies, it was intraoperatively, but in 18 studies it was before surgery, in six postoperatively, one multiâ€arm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openâ€label study design. Only two studies were prospectively registered with clinical trials registers, which limited the assessment of reporting bias. In six studies, participants in the control group were given betaâ€blockers as rescue therapy during the study period. The evidence for allâ€cause mortality at 30 days was uncertain; based on the risk of death in the control group of 25 per 1000, the effect with betaâ€blockers was between two fewer and 13 more per 1000 (risk ratio (RR) 1.17, 95% confidence interval (CI) 0.89 to 1.54; 16 studies, 11,446 participants; lowâ€certainty evidence). Betaâ€blockers may reduce the incidence of myocardial infarction by 13 fewer incidences per 1000 (RR 0.72, 95% CI 0.60 to 0.87; 12 studies, 10,520 participants; lowâ€certainty evidence). We found no evidence of a difference in cerebrovascular events (RR 1.65, 95% CI 0.97 to 2.81; 6 studies, 9460 participants; lowâ€certainty evidence), or in ventricular arrhythmias (RR 0.72, 95% CI 0.35 to 1.47; 5 studies, 47 participants; very lowâ€certainty evidence). Betaâ€blockers may reduce atrial fibrillation or flutter by 26 fewer incidences per 1000 (RR 0.41, 95% CI 0.21 to 0.79; 9 studies, 9080 participants; lowâ€certainty evidence). However, betaâ€blockers may increase bradycardia by 55 more incidences per 1000 (RR 2.49, 95% CI 1.74 to 3.56; 49 studies, 12,239 participants; lowâ€certainty evidence), and hypotension by 44 more per 1000 (RR 1.40, 95% CI 1.29 to 1.51; 49 studies, 12,304 participants; moderateâ€certainty evidence). We downgraded the certainty of the evidence owing to study limitations; some studies had high risks of bias, and the effects were sometimes altered when we excluded studies with a standard care control group (including only placeboâ€controlled trials showed an increase in early mortality and cerebrovascular events with betaâ€blockers). We also downgraded for inconsistency; one large, wellâ€conducted, international study found a reduction in myocardial infarction, and an increase in cerebrovascular events and allâ€cause mortality, when betaâ€blockers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allâ€cause mortality with perioperative betaâ€blockers was uncertain. We found no evidence of a difference in cerebrovascular events or ventricular arrhythmias, and the certainty of the evidence for these outcomes was low and very low. We found lowâ€certainty evidence that betaâ€blockers may reduce atrial fibrillation and myocardial infarctions. However, betaâ€blockers may increase bradycardia (lowâ€certainty evidence) and probably increase hypotension (moderateâ€certainty evidence). Further evidence from large placeboâ€controlled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Betaâ€blockers to prevent death or serious events after surgery not involving the heart This review assessed evidence from randomized controlled trials (RCTs) on whether betaâ€blockers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Betaâ€blockers are drugs that block the action of adrenaline and noradrenaline on the heart. Betaâ€blockers can slow down the heart, and reduce blood pressure, and this may reduce the risk of serious events. However, betaâ€blockers may lead to a very low heart rate or very low blood pressure which could increase the risk of death or a stroke. Prevention of early complications after surgery is important, but using betaâ€blockers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betaâ€blockers used in the studies were: propranolol, metoprolol, esmolol, landiolol, nadolol, atenolol, labetalol, oxprenolol, and pindolol. Studies compared these betaâ€blockers with either a placebo (disguised to look like a betaâ€blocker but containing no medicine) or with standard care. Key results Betaâ€blockers may make l ttle or no difference to the number of people who die within 30 days of surgery (16 studies, 11,446 participants; lowâ€certainty evidence), have a stroke (6 studies, 9460 participants; lowâ€certainty evidence), or experience ventricular arrhythmias (irregular heartbeat rhythms, starting in the main chambers of the heart, that are potentially lifeâ€threatening and may need immediate medical treatment; 5 studies, 476 participants; very lowâ€certainty evidence). We found that betaâ€blockers may reduce atrial fibrillation (an irregular heartbeat, starting in the atrial chambers of the heart, that increases the risk of stroke if untreated; 9 studies, 9080 participants; low certaintyâ€evidence), and the number of people who have a heart attack (12 studies, 10,520 participants; lowâ€certainty evidence). However, taking betaâ€blockers may increase the number of people who experience a very low heart rate (49 studies, 12,239 participants; lowâ€certainty evidence), or very low blood pressure (49 studies, 12,304 participants; moderateâ€certainty evidence), around the time of surgery. In a few studies, we also found little or no difference in the number of people who died after 30 days, who died because of a heart problem, or had heart failure. We found no evidence of whether betaâ€blockers alter the length of time in hospital. No studies assessed whether people who were given betaâ€blockers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placeboâ€controlled studies or studies that reported how participants were randomized. We also found one large, wellâ€conducted, international study that had different findings to the smaller studies. It showed a reduction in heart attacks and an increase in stroke and allâ€cause mortality when betaâ€blockers were used, whilst the other studies did not show a clear effect. We were also less certain of the findings for outcomes with few studies, such as for ventricular arrhythmias. Conclusion Although betaâ€blockers may make little or no difference to the number of people who die within 30 days, have a stroke, or have ventricular arrhythmias, they may reduce atrial fibrillation and heart attacks. Taking betaâ€blockers may increase the number of people with a very low heart rate or very low blood pressure around the time of surgery. Further evidence from large, placeboâ€controlled trials is likely to increase the certainty of these findings, and we recommend the assessment of impact on quality of life.</t>
  </si>
  <si>
    <t>J524</t>
  </si>
  <si>
    <t>Perioperative betaâ€blockers for preventing surgeryâ€related mortality and morbidity in adults undergoing cardiac surgery</t>
  </si>
  <si>
    <t>- Background Randomized controlled trials (RCTs) have yielded conflicting results regarding the ability of betaâ€blockers to influence perioperative cardiovascular morbidity and mortality. Thus routine prescription of these drugs in unselected patients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cardiac surgery only. Objectives To assess the effectiveness of perioperatively administered betaâ€blockers for the prevention of surgeryâ€related mortality and morbidity in adults undergoing 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quasiâ€randomized and the remaining were RCTs. All participants were undergoing cardiac surgery, and in most studies, at least some of the participants were previously taking betaâ€blockers. Types of betaâ€blockers were: propranolol, metoprolol, sotalol, esmolol, landiolol, acebutolol, timolol, carvedilol, nadolol, and atenolol. In twelve studies, betaâ€blockers were titrated according to heart rate or blood pressure. Duration of administration varied between studies, as did the time at which drugs were administered; in nine studies this was before surgery, in 20 studies during surgery, and in the remaining studies betaâ€blockers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betaâ€blockers as rescue therapy during the study period, and all studies in which the control was standard care were at high risk of performance bias because of the openâ€label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lowâ€certainty evidence that betaâ€blockers may make little or no difference to allâ€cause mortality at 30 days (risk ratio (RR) 0.95, 95% confidence interval (CI) 0.47 to 1.90; 29 studies, 4099 participants). For myocardial infarctions, we found no evidence of a difference in events (RR 1.05, 95% CI 0.72 to 1.52; 25 studies, 3946 participants; lowâ€certainty evidence). Few study authors reported cerebrovascular events, and the evidence was uncertain (RR 1.37, 95% CI 0.51 to 3.67; 5 studies, 1471 participants; very lowâ€certainty evidence). Based on a control risk of 54 per 1000, we found lowâ€certainty evidence that betaâ€blockers may reduce episodes of ventr cular arrhythmias by 32 episodes per 1000 (RR 0.40, 95% CI 0.25 to 0.63; 12 studies, 2296 participants). For atrial fibrillation or flutter, there may be 163 fewer incidences with betaâ€blockers, based on a control risk of 327 incidences per 1000 (RR 0.50, 95% CI 0.42 to 0.59; 40 studies, 5650 participants; lowâ€certainty evidence). However, the evidence for bradycardia and hypotension was less certain. We found that betaâ€blockers may make little or no difference to bradycardia (RR 1.63, 95% CI 0.92 to 2.91; 12 studies, 1640 participants; lowâ€certainty evidence), or hypotension (RR 1.84, 95% CI 0.89 to 3.80; 10 studies, 1538 participants; lowâ€certainty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allâ€cause mortality, myocardial infarction, cerebrovascular events, hypotension and bradycardia. However, there may be a reduction in atrial fibrillation and ventricular arrhythmias when betaâ€blockers are used. A larger sample size is likely to increase the certainty of this evidence. Four studies awaiting classification may alter the conclusions of this review. Plain language summary Betaâ€blockers to prevent death or serious events after heart surgery This review assessed evidence of whether betaâ€blockers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Betaâ€blockers are drugs that block the action of adrenaline and noradrenaline on the heart. Betaâ€blockers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quasiâ€randomized (participants were allocated to groups by methods such as using hospital record numbers or dates of birth). The types of betaâ€blockers were: propranolol, metoprolol, sotalol, esmolol, landiolol, acebutolol, timolol, carvedilol, nadolol, and atenolol. These betaâ€blockers were compared with either a placebo (disguised to look like a betaâ€blocker but containing no medicine) or with standard care. Betaâ€blockers were started before surgery, during surgery or at the latest by the end of the first day after surgery. The length of time betaâ€blockers were given varied between studies. In most studies, at least some of the people were already taking betaâ€blockers, which would be expected for people who had conditions that needed heart surgery. Key results Betaâ€blockers probably make little or no difference to the number of people who die (29 studies, 4099 participants) or have a heart attack (25 studies, 3946 participants) within 30 days of surgery. This w s supported by lowâ€certainty evidence. Few studies reported on people who had a stroke, and we were uncertain whether or not betaâ€blockers reduced strokes because the certainty of the evidence was very low (5 studies, 1471 participants). Betaâ€blockers may reduce atrial fibrillation, which is an irregular heartbeat starting in the atrial chambers of the heart that increases the risk of stroke if untreated (40 studies, 5650 participants; lowâ€certainty evidence). Betaâ€blockers may also reduce ventricular arrhythmias, which are potentially lifeâ€threatening irregular heartbeat rhythms originating in the main chambers of the heart, and which may need immediate medical treatment (12 studies, 2296 participants). We found that betaâ€blockers may make little or no difference to whether people experience a very low heart rate or very low blood pressure. We were uncertain whether betaâ€blockers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betaâ€blockers had a shorter hospital stay by about half a day (14 studies, 2450 participants; lowâ€certainty evidence). No studies assessed whether people on betaâ€blockers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Betaâ€blockers may be beneficial for people who are undergoing cardiac surgery because they may reduce the number of people who experience atrial fibrillation and ventricular arrhythmias. Betaâ€blockers may make little or no difference to the other outcomes in this review, including death, heart attacks or stroke.</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</si>
  <si>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</si>
  <si>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</si>
  <si>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</si>
  <si>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</si>
  <si>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</si>
  <si>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</si>
  <si>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</si>
  <si>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</si>
  <si>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 Background Cerebral palsy (CP) is the most common cause of physical disabilities in children in highâ€income countries. Spasticity is the most common motor disturbance in CP. Botulinum toxin type A (BoNTâ€A) is considered the firstâ€line treatment for focal spasticity in people with CP. Objectives To evaluate the effectiveness and safety of BoNTâ€A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BoNTâ€A versus usual care or physiotherapy BoNTâ€A might improve overall gait scores at mediumâ€term followâ€up (MD 2.80, 95% CI 1.55 to 4.05; 1 study, 40 children; very lowâ€quality evidence) and is moderately effective at improving function at shortâ€term (SMD 0.59, 95% CI 0.23 to 0.95; 2 studies, 123 children) and mediumâ€term (SMD 1.04, 95% CI 0.16 to 1.91; 4 studies, 191 children) followâ€up (all very lowâ€quality evidence). BoNTâ€A improves ankle range of motion, satisfaction, and ankle plantarflexors spasticity at one or more time points (very lowâ€quality evidence). The proportion of adverse events in the BoNTâ€A group was 0.37 (95% CI 0.08 to 0.66; I 2 = 95%; very lowâ€quality evidence). No adverse events were reported in the control group. BoNTâ€A versus placebo or sham BoNTâ€A improves overall gait scores at shortâ€term (RR 1.66, 95% CI 1.16 to 2.37, P = 0.006; 4 studies, 261 assessments) and mediumâ€term (RR 1.90, 95% CI 1.32 to 2.74, P &lt; 0.001; 3 studies, 248 assessments) followâ€up, and may improve peak ankle dorsiflexion in stance (MD 15.90 degrees, 95% CI 4.87 to 26.93, P = 0.005; 1 study, 19 children) and in swing (MD 10.20 degrees, 95% CI 4.01 to 16.39, P = 0.001; 1 study, 19 children) at shortâ€term followâ€up (all moderateâ€quality evidence). BoNTâ€A is not more effective than placebo or sham at improving function at shortâ€term (SMD 0.24, 95% CI âˆ’0.35 to 0.83, P = 0.42; 4 studies, 305 children) or longâ€term (SMD âˆ’0.07, 95% CI âˆ’0.48 to 0.35, P = 0.76; 2 studies, 91 children) followâ€up, but has a small positive effect at mediumâ€term followâ€up (SMD 0.28, 95% CI 0.06 to 0.49, P = 0.01; 5 studies, 327 children) (all moderateâ€quality evidence). BoNTâ€A improves passive ankle range of motion, satisfaction, and ankle plantarflexors spasticity at one or more time points (moderateâ€quality evidence). There was no difference between groups in the rate of adverse events at shortâ€term followâ€up (RR 1.29, 95% CI 0.87 to 1.93, P = 0.21; 12 studies, 918 children; moderateâ€quality evidence). BoNTâ€A versus serial casting There was no difference between groups for overall gait scores at shortâ€term (MD 0.00, 95% CI âˆ’1.66 to 1.66); mediumâ€term (MD 0.65, 95% CI âˆ’1.21 to 2.51); or longâ€term (MD 0.46, 95% CI âˆ’1.33 to 2.25) followâ€up in one study with 18 children (moderateâ€quality evidence). BoNTâ€A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(moderateâ€ and lowâ€quality evidence). BoNTâ€A is not more effective than serial casting at improving function, ankle range of motion, and spasticity at any time point (moderateâ€ and lowâ€quality evidence). BoNTâ€A is not associated with a higher risk of adverse events than serial casting (RR 0.59, 95% CI 0.03 to 11.03; 3 studies, 64 children; lowâ€quality evidence). BoNTâ€A versus orthoses There was no difference between groups for function at mediumâ€term followâ€up (MD 11.14, 95% CI âˆ’0.05 to 22.33; 1 study, 43 children), but BoNTâ€A is more effective than orthoses at improving hip range of motion and hip adductors spasticity (all very lowâ€quality evidence). Authors' conclusions The quality of the evidence was low or very low for most of the outcomes analysed. We found limited evidence that BoNTâ€A is more effective than placebo or a nonâ€placebo control at improving gait, joint range of motion, satisfaction, and lower limb spasticity in children with CP, whereas the results for function were contradictory. The rate of adverse events with BoNTâ€A is similar to placebo. BoNTâ€A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(BoNTâ€A; a poisonous biological substance that is thought to relieve spasticity by reducing muscle overactivity when injected into the muscle). This review looked at the effects of BoNTâ€A. Review question The aim of this review was to assess and summarise scientific studies comparing BoNTâ€A injections to other treatments for lower limb spasticity in children with CP. Study characteristics We found 31 studies assessing 1508 participants. The use of BoNTâ€A in the lower limb muscles was compared to: (1) children's regular care or physiotherapy, (2) placebo (fake injections), (3) a series of belowâ€knee plaster casts, and (4) leg splints. Key results Children receiving BoNTâ€A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BoNTâ€A injections. The rate of side effects was similar when comparing BoNTâ€A injections to placebo. BoNTâ€A injections and plaster cas s below the knee produced similar benefits in walking and joint motion and relieving spasms. In addition, BoNTâ€A provided better results in terms of joint range of motion compared to a specific type of splinting (Johnstone pressure splints). Quality of the evidence We considered the quality of the evidence as very low for the comparison BoNTâ€A versus usual care or physiotherapy; moderate for the comparison BoNTâ€A versus placebo; moderate and low for the comparison BoNTâ€A versus plaster casts; and very low for the comparison BoNTâ€A versus splints. Conclusion There is limited evidence that, compared to placebo or regular care, BoNTâ€A improves walking, joint motion, satisfaction with the outcome of treatment, and muscle spasticity in children with CP. The rate of side effects with BoNTâ€A was similar to placebo. BoNTâ€A was no better than plaster casts in any of our analyses, but was better than splints at improving range of motion and spasticity.</t>
  </si>
  <si>
    <t>J528</t>
  </si>
  <si>
    <t>Nonâ€steroidal antiâ€inflammatory drugs for heavy menstrual bleeding</t>
  </si>
  <si>
    <t>- Background Heavy menstrual bleeding (HMB) is an important cause of ill health in premenopausal women. Although surgery is often used as a treatment, a range of medical therapies are also available. Nonâ€steroidal antiâ€inflammatory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progesteroneâ€releasing intrauterine system. Plain language summary Are nonâ€steroidal antiâ€inflammatory drugs safe and effective for treating heavy menstrual bleeding? Review question Cochrane authors investigated whether nonâ€steroidal antiâ€inflammatory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levonorgestrelâ€releasing intrauterine system (LNG IUS), are more effective. These results were based on a small number of lowâ€ to moderateâ€quality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</si>
  <si>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</si>
  <si>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</si>
  <si>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Firstâ€line treatment has traditionally consisted of medical therapy (hormonal and nonâ€hormonal),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Firstâ€generation techniques require visualisation of the uterus with a hysteroscope during the procedure; although it is safe, this procedure requires specific technical skills. Newer techniques for endometrial ablation (secondâ€ and thirdâ€generation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firstâ€ and secondâ€generation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secondâ€generation versus firstâ€generation (i.e. gold standard hysteroscopic ablative) techniques revealed no evidence of differences in amenorrhoea at 1 year and 2 to 5 years' followâ€up (risk ratio (RR) 0.99, 95% confidence interval (CI) 0.78 to 1.27; 12 studies; 2145 women; IÂ² = 77%; and RR 1.16, 95% CI 0.78 to 1.72; 672 women; 4 studies; IÂ² = 80%; very lowâ€quality evidence) and showed subjective improvement at 1 year followâ€up based on a Pictorial Blood Assessment Chart (PBAC) (&lt; 75 or acceptable improvement) (RR 1.03, 95% CI 0.98 to 1.09; 5 studies; 1282 women; IÂ² = 0%; and RR 1.12, 95% CI 0.97 to 1.28; 236 women; 1 study; lowâ€quality evidence). Study results showed no difference in patient satisfaction between secondâ€ and firstâ€generation techniques at 1 year followâ€up (RR 1.01, 95% CI 0.98 to 1.04; 11 studies; 1750 women; IÂ² = 36%; lowâ€quality evidence) nor at 2 to 5 years' followâ€up (RR 1.02, 95% CI 0.93 t 1.13; 672 women; 4 studies; IÂ² = 81%). Compared with firstâ€generation techniques, secondâ€generation endometrial ablation techniques were associated with shorter operating times (mean difference (MD) â€13.52 minutes, 95% CI â€16.90 to â€10.13; 9 studies; 1822 women; lowâ€quality evidence) and more often were performed under local rather than general anaesthesia (RR 2.8, 95% CI 1.8 to 4.4; 6 studies; 1434 women; lowâ€quality evidence). We are uncertain whether perforation rates differed between secondâ€ and firstâ€generation techniques (RR 0.32, 95% CI 0.10 to 1.01; 1885 women; 8 studies; IÂ² = 0%). Trials reported little or no difference between secondâ€ and firstâ€generation techniques in requirement for additional surgery (ablation or hysterectomy) at 1 year followâ€up (RR 0.72, 95% CI 0.41 to 1.26; 6 studies: 935 women; lowâ€quality evidence). At 5 years, results showed probably little or no difference between groups in the requirement for hysterectomy (RR 0.85, 95% CI 0.59 to 1.22; 4 studies; 758 women; moderateâ€quality evidence). Authors' conclusions Approaches to endometrial ablation have evolved from firstâ€generation techniques to newer secondâ€ and thirdâ€generation approaches. Current evidence suggests that compared to firstâ€generation techniques (endometrial laser ablation, transcervical resection of the endometrium, rollerball endometrial ablation), secondâ€generation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Secondâ€generation techniques are associated with shorter operating times and are performed more often under local rather than general anaesthesia. It is uncertain whether perforation rates differed between secondâ€ and firstâ€generation techniques. Evidence was insufficient to show which secondâ€generation approaches were superior to others and to reveal the efficacy and safety of thirdâ€generation approaches versus firstâ€ and secondâ€generation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firstâ€, secondâ€ and thirdâ€generation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Moderateâ€ to very lowâ€quality evidence suggests that firstâ€ and secondâ€generation approaches were equally effective in the treatment of HMB. Newer (secondâ€generation) treatment approaches were safer in terms of rate of fluid overload, cervical lacerations, and haematometra, with similar rates of uterine perforation. The newer approaches (secondâ€generation ablation) w re quicker and were more likely to be done under local (rather than general) anaesthesia compared with firstâ€generation approaches. Most women in both groups were satisfied with results of the procedure. Not enough evidence is available to show which secondâ€generation approaches are superior to others, and information about thirdâ€generation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</si>
  <si>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</si>
  <si>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</si>
  <si>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Shortâ€cycle progestogen therapy during the luteal phase (medroxyprogesterone acetate or norethisterone for 7 to 10 days, from day 15 to 19) was inferior to other medical therapy, including tranexamic acid, danazol and the progestogenâ€releasing intrauterine system (Pgâ€IUS (off the market since 2001)), releasing 60 mcg of progesterone daily, with respect to reduction of menstrual blood loss (mean difference (MD) 37.29, 95% confidence interval (CI) 17.67 to 56.91; I 2 = 50%; 6 trials, 145 women, lowâ€quality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Longâ€cycle progestogen therapy (medroxyprogesterone acetate or norethisterone), from day 5 to day 26 of the menstrual cycle, is also inferior compared to the levonorgestrelâ€releasing intrauterine system (LNGâ€IUS), tranexamic acid and ormeloxifene, ut may be similar to the combined vaginal ring with respect to reduction of menstrual blood loss (MD 16.88, 95% CI 10.93 to 22.84; I 2 = 87%; 4 trials, 355 women, very lowâ€quality evidence). There was no clear evidence of a difference between progestogen therapy long cycle and other medical therapy in terms of headache (OR 1.45, 95% CI 0.40 to 5.31; I 2 = 0%; 2 trials, 189 women; lowâ€quality evidence). Breakthrough bleeding or spotting was more likely in women with the LNGâ€IUS (OR 0.18, 95% CI 0.06 to 0.55; I 2 = 0%; 3 trials, 220 women; lowâ€quality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Lowâ€ or very lowâ€quality evidence suggests that shortâ€course progestogen was inferior to other medical therapy, including tranexamic acid, danazol and the Pgâ€IUS with respect to reduction of menstrual blood loss. Long cycle progestogen therapy (medroxyprogesterone acetate or norethisterone) was also inferior to the LNGâ€IUS,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levonorgestrelâ€releasing intrauterine device. No studies in this comparison reported on quality of life. Satisfaction with treatment was similar to women using the combined vaginal ring, but there were no data to compare satisfaction between long cycle and LNGâ€IUS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</si>
  <si>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</si>
  <si>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</si>
  <si>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Â© 2019</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</si>
  <si>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</si>
  <si>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</si>
  <si>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</si>
  <si>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</si>
  <si>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</si>
  <si>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Â© 2019 Author(s).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</si>
  <si>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</si>
  <si>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</si>
  <si>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</si>
  <si>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</si>
  <si>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</si>
  <si>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â€˜transition to psychosisâ€™. For details of other main outcomes please see 'Summary of findings' tables. In Group A (comparisons of absolute effects) we found no clear difference between amino acids and placebo (risk ratio (RR) 0.48 95% confidence interval (CI) 0.08 to 2.98; 2 RCTs, 52 participants; very lowâ€quality evidence). When omegaâ€3 fatty acids were compared to placebo, fewer participants given the omegaâ€3 (10%) transitioned to psychosis compared to the placebo group (33%) during longâ€term followâ€up of seven years (RR 0.24 95% CI 0.09 to 0.67; 1 RCT, 81 participants; lowâ€quality evidence). In Group B (comparisons where complex interactions are probable) and in the subgroup focusing on antipsychotic drugs added to specific care packages, the amisulpiride + needsâ€focused intervention (NFI) compared to NFI comparison (no reporting of transition to psychosis; 1 RCT, 102 participants; very lowâ€quality evidence) and the olanzapine + supportive intervention compared to supportive intervention alone comparison (RR 0.58 95% CI 0.28 to 1.18; 1 RCT, 60 participants; very lowâ€quality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followâ€up by 18 months, compared with double that percentage in the supportive therapy alone group (RR 0.45 95% CI 0.23 to 0.89; 2 RCTs, 252 participants; very lowâ€quality evidence). The CBT + risperidone versus CBT + placebo comparison identified no clear difference between treatments (RR 1.02 95% CI 0.39 to 2.67; 1 RCT, 87 participants; very lowâ€quality evidence) and this also applies to the CBT + needsâ€based intervention (NBI) + risperidone versus NBI comparison (RR 0.75 95% CI 0.39 to 1.46; 1 RCT, 59 participants; very lowâ€quality evidence). Group C (differential effects) also involved six comparisons. The first compared CBT with supportive therapy. No clear difference was found for the â€˜transition to psychosisâ€™ outcome (RR 0.74 95% CI 0.28 to 1.98; 1 RCT, 72 participants; very lowâ€quality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lowâ€quality evidence) and integrated treatment compared to standard treatment comparison (RR 0.57 95% CI 0.28 to 1.15; 1 RCT, 79 participants; very lowâ€quality evidence) no effects of any of these approaches was evident. Authors' conclusions There has been considerable research effort in this area and several interventions have been trialled. The evidence available suggests that omegaâ€3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omegaâ€3 fatty acids in terms of reduced transition to psychosis. Other studies found adding antipsychotic drugs to supportiveâ€care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lowâ€quality evidence suggesting that omegaâ€3 fatty acids may be effective, but there is no highâ€quality evidence to suggest that any type of treatment is effective, and no firm conclusions can be made.</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</si>
  <si>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</si>
  <si>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</si>
  <si>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Â© 2019 Cambridge University Press.</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</si>
  <si>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</si>
  <si>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</si>
  <si>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Â© 2019</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</si>
  <si>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</si>
  <si>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</si>
  <si>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crossâ€over designs) of doubleâ€blind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participantâ€reported pain relief of 30%, or 50%, or greater, and participantâ€reported global impression of clinical change (PGIC). We also collected information on adverse events. We assessed evidence using GRADE and created a 'Summary of findings' table. Main results We included two studies (128 participants). Both diabetic neuropathy and nonâ€diabetic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Î¼g total hypericin each, taken three times daily, giving a total concentration of 2700 mg for five weeks). Both studies allowed the use of concurrent analgesia. Both reported at least one painâ€related outcome but we could not carry out metaâ€analysis of effectiveness due to heterogeneity between the primary outcomes and could not draw any conclusions of effect. Other outcomes included PGIC, adverse events and withdrawals. There were no data for participantâ€reported pain relief of 50% or greater or PGIC (moderate and substantial) outcomes. When looking at participantâ€reported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Johnâ€™s wort compared to placebo, as there was only a reduction of 1 point when looking at median differences in change from baseline on a 0 to 10â€point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Johnâ€™s wort. There were also no reductions in dropout rates or number of side effects between the treatment and placebo. Quality of the evidence We rated the quality of the evidence from studies using four levels: very low, low, moderate, or high. Very lowâ€quality evidence means that we are very uncertain about the results. Highâ€quality evidence means that we are very confident. Only two small studies met this reviewâ€™s search criteria. Neither provided any highâ€quality evidence for either possible benefits or harms. We judged the evidence to b of very low quality. Thus, results from the studies contained in this review are very uncertain and prevent any meaningful conclusions. Larger, highâ€quality studies are needed to assess accurately if herbal products are of any benefit or have the potential to harm when used to treat adults with neuropathic pain.</t>
  </si>
  <si>
    <t>J539</t>
  </si>
  <si>
    <t>Contact tracing strategies in household and congregate environments to identify cases of tuberculosis in lowâ€ and moderateâ€incidence populations</t>
  </si>
  <si>
    <t>- Background Tuberculosis is an infectious bacterial disease that is spread via respiratory droplets from infected individuals to susceptible contacts. To eliminate this disease from lowâ€ and mediumâ€incidence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lowâ€ to moderateâ€incidence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highâ€certainty evidence comparing current contact tracing methods used against alternate options; further research is therefore needed. How upâ€toâ€date is this review We searched for studies published up to 15 July 2019.</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</si>
  <si>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</si>
  <si>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</si>
  <si>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reâ€dislocation, patientâ€reported shoulder instability measures and return to preâ€injury activities. Secondary outcomes included participant satisfaction, healthâ€related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reâ€dislocation after 12 months' or longer followâ€up compared with immobilisation in internal rotation (55/245 versus 73/243; risk ratio (RR) 0.67, 95% confidence interval (CI) 0.38 to 1.19; 488 participants; 6 studies; IÂ² = 61%; very low certainty evidence). In a moderateâ€risk population with an illustrative risk of 312 per 1000 people experiencing a dislocation in the internal rotation group, this equates to 103 fewer (95% CI 194 fewer to 60 more) reâ€dislocations after immobilisation in external rotation. Thus this result covers the possibility of a benefit for each intervention. Individually, the four studies (380 participants) reporting on validated patientâ€reported outcome measures for shoulder instability at a minimum of 12 months' followâ€up found no evidence of a clinically important difference between the two interventions. We are uncertain of the relative effects of the two methods of immobilisat on on resumption of preâ€injury activities or sports. One study (169 participants) found no evidence of a difference between interventions in the return to preâ€injury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goodâ€quality, wellâ€reported randomised controlled trials with longâ€term followâ€up. Future research should aim to determine the optimal immobilisation duration, precise indications for immobilisation, optimal rehabilitation interventions, and the acceptability of these different interventions. Plain language summary Nonâ€surgical management after nonâ€surgical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reâ€dislocation, especially in active young adults. Initial treatment involves putting the joint back in place. This is called â€˜closed reductionâ€™ when it is done without surgery. Subsequent treatment is often conservative (nonâ€surgical)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reâ€dislocation, patientâ€reported shoulder instability measures (usually questionnaires) and return to preâ€injury activities. Further outcomes of interest included patientsâ€™ satisfaction with the intervention, healthâ€related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reâ€dislocation at oneâ€year or more followâ€up compared with immobilisation in internal rotation. None of the four studies reporting on patientâ€reported outcome measures for shoulder instability at a minimum of oneâ€year followâ€up found evidence of any important difference between the two interventions. We are uncertain of the relative effects of the two methods of immobilisation on resumption of preâ€injury activities or sports. One study found no evidence of a difference between interventions in the return to preâ€injury activity of the affected arm. Two other studies found greater return to sports in the external rotation group in a small 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(a partial dislocation). The reporting of adverse events (complications) was unsatisfactory. There were reports of nine cases of shortâ€term shoulder stiffness in the external rotation group and two cases of underâ€arm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</si>
  <si>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</si>
  <si>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</si>
  <si>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</si>
  <si>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</si>
  <si>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Clobazam addâ€on therapy for drugâ€resistant epilepsy</t>
  </si>
  <si>
    <t>- Background Epilepsy affects approximately 1% of the population, with up to 30% of patients continuing to have seizures, despite antiepileptic drug treatment. Clobazam is a 1,5â€benzodiazepine and is commonly used as an addâ€on treatment for drugâ€resistant epilepsy. This review is an updated version of the original Cochrane Review, first published in 2008, and examines the most current literature regarding clobazam as an addâ€on for drugâ€resistant epilepsy. Objectives To assess the efficacy, effectiveness and tolerability of clobazam as an addâ€on therapy for drugâ€resistant generalisedâ€onset and focalâ€onset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quasiâ€randomised controlled trials in EMBASE are now included in CENTRAL; DARE ceased operation at the end of March 2015; BIOSIS Previews yielded no relevant items that were not found in the other databases). Selection criteria Randomised trials of addâ€on clobazam, with adequate methods of allocation concealment, recruiting patients with drugâ€resistant focal or generalisedâ€onset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doubleâ€blind, placeboâ€controlled, crossâ€over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metaâ€analysis. Instead, findings were summarised in a narrative data synthesis, Only two of the studies reported 50% or greater seizure reduction. They respectively reported that 57.7% and 52.4% of participants receiving addâ€on clobazam experienced a 50% or greater reduction in seizure frequency, although publication bias needs to be considered (2 RCTs, n = 47, very lowâ€quality evidence). Seizure freedom was reported by three of the included studies. Collectively, 27 out of 175 patients were seizureâ€free during treatment with clobazam (3 RCTs, n = 175, very lowâ€quality evidence). Two studies specifically stated that seizure freedom was not observed in any of the participants receiving addâ€on placebo. Treatment withdrawal was reported by all four studies. There was a slightly higher incidence of treatment withdrawal associated with receiving clobazam, although the overall incidence was still fairly low (4 RCTs, n = 197, very lowâ€quality evidence). Adverse events were only described in two of the studies, reportedly 36% and 85% of participants experienced one or more adverse events whilst receiving clobazam. The most commonly reported adverse event was drowsiness. Authors' conclusions Clobazam as an addâ€on treatment may reduce seizure frequency and may be most effective in focalâ€onset seizures. It is important to recognise that this finding has been derived from very lowâ€quality evidence and from studies judged to have an unclear risk of bias. It remains unclear which population demographic will best benefit from clobazam and over what timeâ€frame. A largeâ€scale, randomised controlled trial, conducted over a greater peri d of time, incorporating subgroups with differing seizure types, is required to effectively inform clinical practice. Plain language summary Clobazam as an addâ€on treatment in the management of drugâ€resistant epilepsy Background â€¨ Epilepsy is a disorder of repeated seizures. Whilst many people will achieve freedom from seizures on one antiepileptic medication, some may require multiple medications to try to reduce the number of seizures that they have. These people are said to have drugâ€resistant epilepsy. Aim of the review â€¨ Clobazam is an antiepileptic medication. Here, we examine the evidence from medical studies to determine how effective clobazam is at reducing the number of seizures that people have when used as an addâ€on treatment by people with drugâ€resistant epilepsy. Results â€¨ We found four studies which had assessed clobazam as an addâ€on treatment for drugâ€resistant epilepsy. They included a total of 197 people. Two studies reported that more than half of the people given clobazam reached a 50% of greater reduction in the number of their seizures. Three of the studies reported how many people were seizureâ€free whilst taking clobazam. In total, approximately 15% of people were seizureâ€free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</si>
  <si>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</si>
  <si>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</si>
  <si>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Â© Â© Author(s) (or their employer(s)) 2019. Re-use permitted under CC BY. Published by BMJ.</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</si>
  <si>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</si>
  <si>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</si>
  <si>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</si>
  <si>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</si>
  <si>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</si>
  <si>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</si>
  <si>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</si>
  <si>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</si>
  <si>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Â© 2019 BMJ Publishing Group Limited.</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</si>
  <si>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</si>
  <si>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</si>
  <si>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</si>
  <si>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</si>
  <si>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nonâ€standard care for schizophrenia</t>
  </si>
  <si>
    <t>- Background Yoga is an ancient bodyâ€mind practice which originated in India and is popular in the Western world as a form of relaxation and exercise. It has been of interest for people with schizophrenia to determine the efficacy of yoga delivered as a package of care versus nonâ€standard care. Objectives To examine the effects of yoga as part of a package of care versus nonâ€standard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nonâ€standard care. Plain language summary Yoga as part of a package of care versus nonâ€standard care Review question Is yoga, delivered as part of a larger package of care, effective for people with schizophrenia compared with nonâ€standard care? Background Yoga involves physical postures and breathing exercises to promote balance between mind and body. Yoga has now been widely adopted as a method of relaxation and exercise for reduction of stress and promotion of health and feelings of wellâ€being.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addâ€on treatment could be beneficial and help improve the quality of life of people with schizophrenia. Yoga can be combined with other therapies such as counselling or other forms of exercise into a 'package of care'. Nonâ€standard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fullâ€text versions of these studies, checking that they were randomised controlled trials that randomised people with schizophrenia to receive, in addition to their ongoing care, either yoga as part of a package of care or another type of nonâ€standard care intervention. Twentyâ€nine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nonâ€standard care for people with schizophrenia. Quality of the evidence Currenlty, there is no highâ€quality evidence to support or discourage the use of yoga as part of a package of care versus nonâ€standard care. Schizophrenia is often a longâ€term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</si>
  <si>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</si>
  <si>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</si>
  <si>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</si>
  <si>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</si>
  <si>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</si>
  <si>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Â© 2019 Elsevier Ltd. All rights reserved.</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</si>
  <si>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</si>
  <si>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</si>
  <si>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</si>
  <si>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</si>
  <si>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</si>
  <si>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</si>
  <si>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</si>
  <si>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</si>
  <si>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</si>
  <si>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</si>
  <si>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</si>
  <si>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</si>
  <si>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</si>
  <si>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</si>
  <si>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</si>
  <si>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</si>
  <si>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</si>
  <si>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</si>
  <si>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</si>
  <si>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</si>
  <si>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</si>
  <si>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</si>
  <si>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</si>
  <si>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</si>
  <si>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</si>
  <si>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</si>
  <si>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</si>
  <si>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</si>
  <si>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</si>
  <si>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</si>
  <si>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</si>
  <si>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</si>
  <si>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</si>
  <si>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</si>
  <si>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</si>
  <si>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</si>
  <si>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</si>
  <si>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</si>
  <si>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</si>
  <si>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</si>
  <si>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</si>
  <si>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</si>
  <si>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</si>
  <si>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</si>
  <si>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</si>
  <si>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</si>
  <si>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</si>
  <si>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</si>
  <si>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</si>
  <si>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</si>
  <si>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</si>
  <si>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</si>
  <si>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</si>
  <si>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</si>
  <si>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</si>
  <si>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</si>
  <si>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</si>
  <si>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</si>
  <si>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</si>
  <si>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</si>
  <si>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</si>
  <si>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</si>
  <si>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</si>
  <si>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</si>
  <si>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</si>
  <si>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</si>
  <si>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Not UK</t>
  </si>
  <si>
    <t>UK</t>
  </si>
  <si>
    <t>includes UK</t>
  </si>
  <si>
    <t>doesn't include UK</t>
  </si>
  <si>
    <t>England</t>
  </si>
  <si>
    <t>unclear from abstract if it includes UK studies</t>
  </si>
  <si>
    <t>England and Wales</t>
  </si>
  <si>
    <t>not UK</t>
  </si>
  <si>
    <t>Scotland</t>
  </si>
  <si>
    <t>No UK studies</t>
  </si>
  <si>
    <t>No studies identified</t>
  </si>
  <si>
    <t>unclear from abstract if it has UK studies</t>
  </si>
  <si>
    <t>include_stage2</t>
  </si>
  <si>
    <t>reason_stage2</t>
  </si>
  <si>
    <t>detected_setting</t>
  </si>
  <si>
    <t>confidence_stage2</t>
  </si>
  <si>
    <t>Unknown</t>
  </si>
  <si>
    <t>Study conducted in England using NHS data.</t>
  </si>
  <si>
    <t>One trial conducted in the UK.</t>
  </si>
  <si>
    <t>Study conducted in British Columbia, not UK</t>
  </si>
  <si>
    <t>Study includes the UK as a site.</t>
  </si>
  <si>
    <t>Study references NHS and UK initiatives.</t>
  </si>
  <si>
    <t>Study conducted in the West of Scotland with UK NHS perspective.</t>
  </si>
  <si>
    <t>Id_flag</t>
  </si>
  <si>
    <t>FF_include_stage2</t>
  </si>
  <si>
    <t>Study conducted in Canada, not UK-based</t>
  </si>
  <si>
    <t>Study conducted in Germany, no UK setting mentioned</t>
  </si>
  <si>
    <t>Study conducted from UK NHS perspective</t>
  </si>
  <si>
    <t>Unclear setting, flagged for review</t>
  </si>
  <si>
    <t>Study includes UK setting</t>
  </si>
  <si>
    <t>Study conducted from NHS perspective, UK setting</t>
  </si>
  <si>
    <t>Study conducted in the UK</t>
  </si>
  <si>
    <t>Study conducted in a UK setting</t>
  </si>
  <si>
    <t>Study conducted in the UK, references NHS and UK setting.</t>
  </si>
  <si>
    <t>Study conducted in low- or middle-income countries, not UK-based.</t>
  </si>
  <si>
    <t>Study applied to UK NHS setting.</t>
  </si>
  <si>
    <t>Study conducted in England and references NHS and NICE.</t>
  </si>
  <si>
    <t>Study conducted in NHS services in England and Wales</t>
  </si>
  <si>
    <t>Study uses data from a British cohort</t>
  </si>
  <si>
    <t>Study conducted in Ghana, not UK-based</t>
  </si>
  <si>
    <t>Study involves NHS England, indicating a UK setting.</t>
  </si>
  <si>
    <t>Study uses UK NHS AAA screening programme parameters.</t>
  </si>
  <si>
    <t>Study references NHS and funded by UK NIHR.</t>
  </si>
  <si>
    <t>Study conducted in the UK with NHS involvement.</t>
  </si>
  <si>
    <t>Study conducted in England, references NHS</t>
  </si>
  <si>
    <t>Study conducted in England, references NHS and UK policies.</t>
  </si>
  <si>
    <t>Study conducted in the UK with NHS reference.</t>
  </si>
  <si>
    <t>Study conducted in a single English program with NHS cost analysis.</t>
  </si>
  <si>
    <t>Study conducted in UK setting, references NHS England and Sheffield.</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</si>
  <si>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</si>
  <si>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</si>
  <si>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</si>
  <si>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</si>
  <si>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</si>
  <si>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</si>
  <si>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</si>
  <si>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</si>
  <si>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</si>
  <si>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</si>
  <si>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</si>
  <si>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</si>
  <si>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</si>
  <si>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</si>
  <si>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</si>
  <si>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</si>
  <si>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</si>
  <si>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</si>
  <si>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</si>
  <si>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</si>
  <si>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</si>
  <si>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</si>
  <si>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</si>
  <si>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</si>
  <si>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</si>
  <si>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</si>
  <si>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</si>
  <si>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</si>
  <si>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</si>
  <si>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</si>
  <si>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</si>
  <si>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</si>
  <si>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</si>
  <si>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</si>
  <si>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</si>
  <si>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</si>
  <si>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</si>
  <si>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</si>
  <si>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</si>
  <si>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</si>
  <si>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</si>
  <si>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</si>
  <si>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</si>
  <si>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</si>
  <si>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</si>
  <si>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</si>
  <si>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</si>
  <si>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</si>
  <si>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J567</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</si>
  <si>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</si>
  <si>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</si>
  <si>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</si>
  <si>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</si>
  <si>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</si>
  <si>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</si>
  <si>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</si>
  <si>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</si>
  <si>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J570</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</si>
  <si>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</si>
  <si>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</si>
  <si>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</si>
  <si>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</si>
  <si>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</si>
  <si>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</si>
  <si>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</si>
  <si>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</si>
  <si>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</si>
  <si>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</si>
  <si>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</si>
  <si>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</si>
  <si>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</si>
  <si>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</si>
  <si>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</si>
  <si>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</si>
  <si>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</si>
  <si>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</si>
  <si>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</si>
  <si>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</si>
  <si>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</si>
  <si>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</si>
  <si>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</si>
  <si>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</si>
  <si>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</si>
  <si>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</si>
  <si>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</si>
  <si>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</si>
  <si>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</si>
  <si>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</si>
  <si>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</si>
  <si>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</si>
  <si>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</si>
  <si>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</si>
  <si>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</si>
  <si>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</si>
  <si>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</si>
  <si>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</si>
  <si>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</si>
  <si>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</si>
  <si>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</si>
  <si>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</si>
  <si>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</si>
  <si>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</si>
  <si>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</si>
  <si>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</si>
  <si>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</si>
  <si>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</si>
  <si>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</si>
  <si>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</si>
  <si>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</si>
  <si>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</si>
  <si>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</si>
  <si>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</si>
  <si>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</si>
  <si>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</si>
  <si>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</si>
  <si>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</si>
  <si>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</si>
  <si>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</si>
  <si>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</si>
  <si>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</si>
  <si>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</si>
  <si>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</si>
  <si>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</si>
  <si>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</si>
  <si>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</si>
  <si>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</si>
  <si>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</si>
  <si>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</si>
  <si>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</si>
  <si>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</si>
  <si>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</si>
  <si>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</si>
  <si>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</si>
  <si>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</si>
  <si>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</si>
  <si>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</si>
  <si>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</si>
  <si>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</si>
  <si>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</si>
  <si>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</si>
  <si>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</si>
  <si>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</si>
  <si>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</si>
  <si>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</si>
  <si>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</si>
  <si>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</si>
  <si>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</si>
  <si>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</si>
  <si>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</si>
  <si>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</si>
  <si>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</si>
  <si>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</si>
  <si>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</si>
  <si>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</si>
  <si>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</si>
  <si>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</si>
  <si>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J2833</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</si>
  <si>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</si>
  <si>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</si>
  <si>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</si>
  <si>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</si>
  <si>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</si>
  <si>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J2835</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</si>
  <si>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</si>
  <si>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</si>
  <si>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</si>
  <si>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</si>
  <si>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</si>
  <si>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</si>
  <si>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</si>
  <si>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</si>
  <si>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</si>
  <si>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</si>
  <si>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</si>
  <si>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</si>
  <si>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</si>
  <si>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</si>
  <si>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</si>
  <si>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</si>
  <si>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</si>
  <si>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</si>
  <si>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</si>
  <si>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</si>
  <si>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</si>
  <si>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</si>
  <si>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</si>
  <si>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</si>
  <si>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</si>
  <si>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</si>
  <si>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</si>
  <si>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</si>
  <si>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</si>
  <si>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</si>
  <si>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</si>
  <si>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</si>
  <si>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</si>
  <si>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</si>
  <si>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</si>
  <si>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</si>
  <si>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</si>
  <si>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</si>
  <si>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</si>
  <si>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</si>
  <si>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</si>
  <si>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</si>
  <si>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</si>
  <si>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</si>
  <si>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</si>
  <si>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</si>
  <si>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</si>
  <si>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</si>
  <si>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</si>
  <si>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</si>
  <si>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</si>
  <si>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</si>
  <si>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</si>
  <si>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</si>
  <si>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</si>
  <si>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</si>
  <si>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</si>
  <si>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</si>
  <si>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</si>
  <si>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</si>
  <si>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</si>
  <si>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</si>
  <si>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</si>
  <si>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</si>
  <si>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</si>
  <si>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</si>
  <si>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</si>
  <si>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</si>
  <si>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J2858</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</si>
  <si>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</si>
  <si>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</si>
  <si>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</si>
  <si>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</si>
  <si>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</si>
  <si>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</si>
  <si>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</si>
  <si>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</si>
  <si>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J2861</t>
  </si>
  <si>
    <t>Integrated disease management interventions for patients with chronic obstructive pulmonary disease</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</si>
  <si>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</si>
  <si>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</si>
  <si>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</si>
  <si>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</si>
  <si>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</si>
  <si>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</si>
  <si>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</si>
  <si>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</si>
  <si>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</si>
  <si>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</si>
  <si>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J2865</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</si>
  <si>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</si>
  <si>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</si>
  <si>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</si>
  <si>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</si>
  <si>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</si>
  <si>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</si>
  <si>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</si>
  <si>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</si>
  <si>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</si>
  <si>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</si>
  <si>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</si>
  <si>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</si>
  <si>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</si>
  <si>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</si>
  <si>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</si>
  <si>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</si>
  <si>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</si>
  <si>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</si>
  <si>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</si>
  <si>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</si>
  <si>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</si>
  <si>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</si>
  <si>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</si>
  <si>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</si>
  <si>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</si>
  <si>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</si>
  <si>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</si>
  <si>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</si>
  <si>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</si>
  <si>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</si>
  <si>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</si>
  <si>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</si>
  <si>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</si>
  <si>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</si>
  <si>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</si>
  <si>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</si>
  <si>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</si>
  <si>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</si>
  <si>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J2878</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</si>
  <si>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</si>
  <si>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</si>
  <si>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</si>
  <si>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</si>
  <si>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</si>
  <si>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J2880</t>
  </si>
  <si>
    <t>Status of primary and secondary mental healthcare of people with severe mental illness: An epidemiological study from the UK PARTNERS2 programme</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</si>
  <si>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</si>
  <si>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</si>
  <si>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</si>
  <si>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</si>
  <si>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</si>
  <si>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</si>
  <si>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</si>
  <si>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</si>
  <si>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</si>
  <si>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</si>
  <si>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</si>
  <si>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</si>
  <si>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</si>
  <si>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</si>
  <si>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</si>
  <si>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</si>
  <si>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</si>
  <si>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</si>
  <si>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</si>
  <si>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</si>
  <si>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</si>
  <si>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</si>
  <si>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</si>
  <si>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</si>
  <si>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</si>
  <si>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</si>
  <si>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</si>
  <si>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</si>
  <si>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</si>
  <si>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</si>
  <si>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</si>
  <si>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</si>
  <si>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</si>
  <si>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</si>
  <si>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</si>
  <si>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</si>
  <si>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</si>
  <si>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</si>
  <si>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</si>
  <si>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</si>
  <si>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</si>
  <si>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</si>
  <si>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</si>
  <si>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</si>
  <si>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</si>
  <si>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J2896</t>
  </si>
  <si>
    <t>Dietetics and community pharmacy working together; improving nutritional care for patients prescribed oral nutritional supplements (ONS)</t>
  </si>
  <si>
    <t>A pilot to support ‘New Ways of Working’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</si>
  <si>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</si>
  <si>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</si>
  <si>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</si>
  <si>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</si>
  <si>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</si>
  <si>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</si>
  <si>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</si>
  <si>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</si>
  <si>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</si>
  <si>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</si>
  <si>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</si>
  <si>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</si>
  <si>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</si>
  <si>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</si>
  <si>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</si>
  <si>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</si>
  <si>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</si>
  <si>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</si>
  <si>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</si>
  <si>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</si>
  <si>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</si>
  <si>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</si>
  <si>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</si>
  <si>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J2905</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</si>
  <si>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</si>
  <si>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</si>
  <si>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</si>
  <si>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</si>
  <si>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</si>
  <si>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</si>
  <si>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</si>
  <si>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</si>
  <si>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</si>
  <si>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</si>
  <si>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</si>
  <si>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</si>
  <si>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</si>
  <si>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</si>
  <si>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</si>
  <si>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</si>
  <si>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</si>
  <si>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</si>
  <si>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</si>
  <si>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</si>
  <si>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</si>
  <si>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</si>
  <si>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</si>
  <si>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</si>
  <si>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</si>
  <si>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</si>
  <si>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</si>
  <si>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</si>
  <si>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</si>
  <si>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</si>
  <si>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</si>
  <si>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</si>
  <si>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</si>
  <si>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J6206</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</si>
  <si>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</si>
  <si>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</si>
  <si>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</si>
  <si>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</si>
  <si>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</si>
  <si>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</si>
  <si>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</si>
  <si>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</si>
  <si>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J6209</t>
  </si>
  <si>
    <t>Tranexamic acid for preventing postpartum haemorrhage after vaginal birth</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</si>
  <si>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</si>
  <si>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</si>
  <si>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</si>
  <si>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</si>
  <si>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</si>
  <si>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</si>
  <si>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</si>
  <si>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</si>
  <si>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</si>
  <si>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</si>
  <si>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</si>
  <si>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</si>
  <si>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</si>
  <si>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</si>
  <si>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</si>
  <si>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</si>
  <si>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</si>
  <si>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</si>
  <si>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</si>
  <si>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</si>
  <si>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</si>
  <si>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</si>
  <si>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</si>
  <si>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</si>
  <si>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</si>
  <si>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</si>
  <si>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</si>
  <si>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</si>
  <si>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includes ongoing UK studies</t>
  </si>
  <si>
    <t>Canada</t>
  </si>
  <si>
    <t>China</t>
  </si>
  <si>
    <t>UK and Ireland</t>
  </si>
  <si>
    <t>portugal</t>
  </si>
  <si>
    <t>unclear from abstract if any of the studies are UK</t>
  </si>
  <si>
    <t>England, NHS</t>
  </si>
  <si>
    <t>UK, NHS</t>
  </si>
  <si>
    <t>US</t>
  </si>
  <si>
    <t>Korea?</t>
  </si>
  <si>
    <t>UK?</t>
  </si>
  <si>
    <t>NHS</t>
  </si>
  <si>
    <t>Aus</t>
  </si>
  <si>
    <t>includes England</t>
  </si>
  <si>
    <t>unclear if any studies are UK</t>
  </si>
  <si>
    <t>England and Wales, NHS</t>
  </si>
  <si>
    <t>1 ongoing UK study included</t>
  </si>
  <si>
    <t>Northern Ireland</t>
  </si>
  <si>
    <t>includes UK and Ireland</t>
  </si>
  <si>
    <t>NHS Fife</t>
  </si>
  <si>
    <t>unclear from abstract if UK is one of the 15</t>
  </si>
  <si>
    <t>Wales, NHS</t>
  </si>
  <si>
    <t>Scotland, NHS</t>
  </si>
  <si>
    <t>unclear, but looks like 1 study might includes UK</t>
  </si>
  <si>
    <t>USA</t>
  </si>
  <si>
    <t>Study conducted from a Scottish payer perspective and NHS Scotland.</t>
  </si>
  <si>
    <t>Pharmacyâ€based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</si>
  <si>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pharmacistâ€based interventions is not yet well understood. The degree to which a pharmacyâ€based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(selfâ€)monitoring of medication adherence offered by a healthcare professional outside the pharmacy team) at improving depression outcomes in adults. Search methods We searched the Cochrane Common Mental Disorders Controlled Trials Register (CCMDâ€CTR)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clusterâ€RCTs where a pharmacyâ€based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metaâ€analyses, we synthesised results narratively. Main results Twelve studies (2215 participants) met the inclusion criteria and compared pharmacyâ€based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pharmacyâ€based management and the other better acceptability of the active control. One study reported that participants in the pharmacyâ€based management group had better medication adherence than the control participants. One study reported adverse events with no difference between groups. The studies reported no other outcomes. Metaâ€analyses comparing pharmacyâ€based management with treatment as usual showed no evidence of a difference in the effect of the intervention on depression symptom change (dichotomous data; improvement in symptoms yes/no: risk ratio (RR), 0.95, 95% confidence interval (CI) 0.86 to 1.05; 4 RCTs, 475 participants; moderateâ€quality evidence; continuous data: standard mean difference (SMD) â€0.04, 95%</t>
  </si>
  <si>
    <t>- Background Prevention of childhood obesity is an international public health priority given the significant impact of obesity on acute and chronic diseases, general health, development and wellâ€being.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reâ€ran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(0â€17 years) that reported outcomes at a minimum of 12 weeks from baseline. Data collection and analysis Two authors independently extracted data, assessed riskâ€ofâ€bias and evaluated overall certainty of the evidence using GRADE. We extracted data on adiposity outcomes, sociodemographic characteristics, adverse events, intervention process and costs. We metaâ€analysed data as guided by the Cochrane Handbook for Systematic Reviews of Interventions and presented separate metaâ€analyses by age group for child 0 to 5 years, 6 to 12 years, and 13 to 18 years for zBMI and BMI. Main results We included 153 RCTs, mostly from the USA or Europe. Thirteen studies were based in upperâ€middleâ€income countries (UMIC: Brazil, Ecuador, Lebanon, Mexico, Thailand, Turkey, USâ€Mexico border), and one was based in a lower middleâ€income country (LMIC: Egypt). The majority (85) targeted children aged 6 to 12 years.â€¨â€¨Children aged 0â€5 years: There is moderateâ€certainty evidence from 16 RCTs (n = 6261) that diet combined with physical activity interventions, compared with control, reduced BMI (mean difference (MD) âˆ’0.07 kg/m 2 , 95% confidence interval (CI) âˆ’0.14 to âˆ’0.01), and had a similar effect (11 RCTs, n = 5536) on zBMI (MD âˆ’0.11, 95% CI âˆ’0.21 to 0.01). Neither diet (moderateâ€certainty evidence) nor physical activity interventions alone (highâ€certainty evidence) compared with control reduced BMI (physical activity alone: MD âˆ’0.22 kg/m 2 , 95% CI âˆ’0.44 to 0.01) or zBMI (diet alone: MD âˆ’0.14, 95% CI âˆ’0.32 to 0.04; physical activity alone: MD 0.01, 95% CI âˆ’0.10 to 0.13) in children aged 0â€5 years.â€¨â€¨Children aged 6 to 12 years: There is moderateâ€certainty evidence from 14 RCTs (n = 16,410) that physical activity interventions, compared with control, reduced BMI (MD âˆ’0.10 kg/m 2 , 95% CI âˆ’0.14 to âˆ’0.05). However, there is moderateâ€certainty evidence that they had little or no effect on zBMI (MD âˆ’0.02, 95% CI âˆ’0.06 to 0.02). There is lowâ€certainty evidence from 20 RCTs (n = 24,043) that diet combined with physical activity interventions, compared with control, reduced zBMI (MD âˆ’0.05 kg/m2, 95% CI âˆ’0.10 to âˆ’0.01). There is highâ€certainty evidence that diet interventions, compared with control, had little impact on zBMI (MD âˆ’0.03, 95% CI âˆ’0.06 to 0.01) or BMI (âˆ’0.02 kg/m2, 95% CI âˆ’0.11 to 0.06). Children aged 13 to 18 years: There is very lowâ€certainty evidence that physical activity interventions, compared with control reduced BMI (MD âˆ’1.53 kg/m2, 95% CI âˆ’2.67 to âˆ’0.39; 4 RCTs; n = 720); and lowâ€certainty evidence for a reduction in zBMI (MD â€0.2, 95% CI âˆ’0.3 to â€0.1; 1 RCT; n = 100). There is lowâ€certainty evidence from eight RCTs (n = 16,583) that diet combined with physical activity interventions, compared with control, had no effect on BMI (MD âˆ’0.02 kg/m2, 95% CI âˆ’0.10 to 0.05); or zBMI (MD 0.01, 95% CI âˆ’0.05 to 0.07; 6 RCTs; n = 16,543). Evidence from two RCTs (lowâ€certainty evidence; n = 294) found no effect of diet interventions on BMI.â€¨Direct comparisons of interventions: Two RCTs reported data directly comparing die with either physical activity or diet combined with physical activity interventions for children aged 6 to 12 years and reported no differences.â€¨Heterogeneity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Reâ€running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â€˜randomised controlled trialsâ€™ or RCTs. What we found We found 153 RCTs. The studies were based mainly in highâ€income countries such as the USA and European countries although 12% were in middleâ€income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â€˜moderateâ€™ for children aged 0 to 5 for zBMI, â€˜lowâ€™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</si>
  <si>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No mention of UK or UK setting</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</si>
  <si>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Â© 2019 Rila Publications Ltd."</t>
  </si>
  <si>
    <t>Study conducted in the UK.</t>
  </si>
  <si>
    <t>Study conducted in the UK, references NHS and UK-specific data.</t>
  </si>
  <si>
    <t>Study applied to a UK setting, references NHS and UK-specific pathways.</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</si>
  <si>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Â© 2019</t>
  </si>
  <si>
    <t>Study focuses on NHS England prescription drug budget.</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</si>
  <si>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childâ€™s wellâ€being,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quasiâ€randomised, multiâ€arm studies, crossâ€over studies and clusterâ€randomised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metaâ€analysis was possible, we applied randomâ€effects metaâ€analysis using the Mantelâ€Haenszel method for dichotomous outcomes. Main results The review included 27 RCTs involving 1803 children. Of these, six were multiâ€arm and one was also a crossâ€over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lowâ€certainty evidence). Voiding education with uroflowmetry feedback and urotherapy versus urotherapy alone. Slightly more children receiving voiding education with uroflow feedback and urotherapy may achieve continence (RR 1.13, 95% CI 0.87 to 1.45; 3 studies; n = 151; lowâ€certainty evidence). Urotherapy with timer watch versus urotherapy alone. We are uncertain whether urotherapy plus timer watch increases the number of children achieving continence compared to urotherapy alone (RR 1.42, 95% CI 1.12 to 1.80; 1 study; n = 58; very lowâ€certainty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lowâ€certainty evidence). Individual conservative interventions versus nonâ€conservative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lowâ€certainty evidence). TENS versus anticholinergics. We are uncertain whether there was any evidence of a difference between treatment groups in the proportions of children achieving continence (RR 0.81, 95% CI 0.05 to 12.50; 2 studies; n = 72; very lowâ€certainty evidence). Combined conservative interventions versus nonâ€conservative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lowâ€certainty evidence). Authors' conclusions The review found little reliable evidence that can help affected children, their carers and the clinicians working with them to make evidenceâ€based treatment decisions. In this scenario, the clinical experience of individual clinicians and the support of carers may be the most valuable resources. More wellâ€designed research, with wellâ€defined interventions and consistent outcome measurement, is needed. Plain language summary Conservative (nonâ€pharmaceutical and nonâ€surgical)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upâ€toâ€date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â€ and sometimes carers 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goodâ€quality research evidence that can help children, their carers and doctors and nurses to make decisions about treatments. More wellâ€designed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</si>
  <si>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Study conducted at Nottingham City Hospital, UK setting.</t>
  </si>
  <si>
    <t>- Background Radical cystectomy (RC) is the primary surgical treatment for muscleâ€invasive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parallelâ€group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90â€day outcome data were not available, we reported 30â€day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lowâ€quality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lowâ€quality evidence). 2. Immunoâ€enhancing nutrition versus standard nutrition: based on one study including 29 participants, immunoâ€enhancing nutrition may reduce 90â€day postoperative complications (RR 0.31, 95% CI 0.08 to 1.23; lowâ€quality evidence). These findings correspond to 322 fewer complications per 1000 participants (95% CI 429 fewer to 107 more). Length of hospital stay may be similar (MD 0.20 days, 95% CI 1.69 lower to 2.09 higher; lowâ€quality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lowâ€quality evidence) but we are very uncertain of this finding. We downgraded the quality of evidence for serious study limitations (unclear risk of selection and performance bias) and very serious imprecision. Length of hospital stay may be similar (MD 0.95 days less, CI not reported; lowâ€quality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lowâ€quality evidence). We are also very uncertain whether length of hospital stay is similar (very lowâ€quality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lowâ€quality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(lowâ€quality evidence). These findings correspond to 135 fewer occurrences per 1000 participants (95% CI 256 fewer to 65 more). Length of hospital stay may be similar (lowâ€quality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highâ€quality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Immunoâ€enhancing nutrition versus standard supplements: immunoâ€enhancing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</si>
  <si>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Study conducted in USA and Europe, not UK-specific.</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</si>
  <si>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fullâ€text articles, extracted data, and assessed risk of bias. For analysis, we used a randomâ€effects statistical model for all metaâ€analyses,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lowâ€certainty evidence). For secondary malignancies, dietary interventions versus control trials reported little or no difference (risk ratio (RR) 0.99, 95% CI 0.84 to 1.15; 1 study; 3107 participants; lowâ€certainty evidence). Coâ€morbidities were not measured in any included trials. Subsequent outcomes reported after 12 months found that dietary interventions versus control probably make little or no difference in energy intake at 12 months (mean difference (MD) â€59.13 kcal, 95% CI â€159.05 to 37.79; 5 studies; 3283 participants; moderateâ€certainty evidence). Dietary interventions versus control probably led to slight increases in fruit and vegetable servings (MD 0.41 servings, 95% CI 0.10 to 0.71; 5 studies; 834 participants; moderateâ€certainty evidence); mixed results for fibre intake overall (MD 5.12 g, 95% CI 0.66 to 10.9; 2 studies; 3127 participants; very lowâ€certainty evidence); and likely improvement in Diet Quality Index (MD 3.46, 95% CI 1.54 to 5.38; 747 participants; moderateâ€certainty evidence). For anthropometry, dietary intervention versus control probably led to a slightly decreased body mass index (BMI) (MD â€0.79 kg/mÂ², 95% CI â€1.50 to â€0.07; 4 studies; 777 participants; moderateâ€certainty evidence). Dietary interventions versus control probably had little or no effect on waistâ€toâ€hip ratio (MD â€0.01, 95% CI â€0.04 to 0.02; 2 studies; 106 participants; lowâ€certainty evidence). For QoL, there were mixed results; several different quality assessment tools were used and evidence was of low to very lowâ€certainty.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waistâ€toâ€hip ratio. For QoL, results were highly varied. Additional highâ€quality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â€¨ This review evaluates evidence on dietary interventions for people after cancer. Quality of evidence â€¨ The quality of evidence is generally low to very low. Most studies did not evaluate dietary interventions for key review outcomes, particularly mortality and morbidity. However, a few study outcomes with moderateâ€certainty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(moderateâ€certainty evidence ) . Evidence on dietary fibre was mixed for different advice on weight reducing or healthy eating. Dietary interventions compared to control probably improved the Diet Quality Index (moderateâ€certainty evidence ) . For physical measurements, we found a probable reduction in body mass index (BMI) with dietary interventions compared to controls (moderateâ€certainty evidence) but little evidence showing any change in waistâ€toâ€hip ratio (lowâ€certainty evidence ) . For quality of life (QoL), results were mixed due to the wide variety of tools used. No adverse events were reported. Conclusion 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</si>
  <si>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Â© 2019 Author(s) (or their employer(s)). Re-use permitted under CC BY-NC.</t>
  </si>
  <si>
    <t>Study conducted in England, UK setting confirmed.</t>
  </si>
  <si>
    <t>Study conducted in London, England, UK setting.</t>
  </si>
  <si>
    <t>- Background Ambient air pollution is associated with a large burden of disease in both highâ€income countries (HICs) and lowâ€ and middleâ€income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nonâ€randomized study designs, including controlled interrupted timeâ€series studies (cITSâ€EPOC), interrupted timeâ€series studies adhering to EPOC standards (ITSâ€EPOC), interrupted timeâ€series studies not adhering to EPOC standards (ITS), controlled beforeâ€after studies adhering to EPOC standards (CBAâ€EPOC), and controlled beforeâ€after studies not adhering to EPOC standards (CBA); these were classified as main studies. Additionally, we included uncontrolled beforeâ€after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nonâ€randomized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decisionâ€makers should prioritize the development and implementation of interventions in these settings. In the future, as new policies are introduced, decisionâ€makers should consider a builtâ€in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â€“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lowâ€ and middleâ€income countries, where air quality may still be worsening, as well as in highâ€income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highâ€income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reviewâ€™s findings it is important to remember that just because a study did not detect an improvement does not mean that there really was no improvement. Further evaluations of measures to reduce outdoor air pollution in different countries, in particular in lowâ€ and middleâ€income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</si>
  <si>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Study conducted in an English hospital</t>
  </si>
  <si>
    <t>- Background Although delirium is typically an acute reversible cognitive impairment, its presence is associated with devastating impact on both shortâ€term and longâ€term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deliriumâ€free and comaâ€free days; days with coma; delirium relapse; duration of mechanical ventilation; intensive care unit (ICU) and hospital length of stay; mortality; and longâ€term outcomes (e.g. cognitive; discharge disposition; healthâ€related quality of life); and 2. the safety of such treatments for critically ill adult patients. Search methods We searched the following databases from their inception date to 21 March 2019: Ovid MEDLINEÂ®, Ovid MEDLINEÂ® Inâ€Process &amp; Other Nonâ€Indexed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quasiâ€RCTs, of any pharmacological (drug) for treatment of delirium in critically ill adults. The drug intervention was to be compared to another active drug treatment, placebo, or a nonâ€pharmacological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highâ€dependency unit. Data collection and analysis Two review authors independently identified studies from the search results; four review authors (in pairs) performed data extraction and assessed risk of bias independently. We performed data synthesis through pairwise metaâ€analysis and network metaâ€analysis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moderateâ€quality evidence). In order of descending SUCRA values (best to worst), the next best interventions were atypical antipsychotics (RoM 0.80, 95% CrI 0.50 to 1.11; SUCRA 0.738; moderateâ€quality evidence), opioids (RoM 0.88, 95% CrI 0.37 to 2.01; SUCRA 0.578; veryâ€low quality evidence), and typical antipsychotics (RoM 0.96, 95% CrI 0.64 to1.36; SUCRA 0.468; highâ€quality evidence). The NMAs of multiple secondary outcomes revealed that only the alpha 2 agonist dexmedetomidine was associated with a shorter duration of mechanical ventilation (RoM 0.55, 95% CrI 0.34 to 0.89; moderateâ€quality evidence), and the CHE inhibitor rivastigmine was associated with a longer ICU stay (RoM 2.19, 95% CrI 1.47 to 3.27; moderateâ€quality evidence). Adverse events often were not reported in these trials or, when reported, were rare; pairâ€wise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deliriumâ€free and comaâ€free days, days with coma, physical restraint use, length of stay, longâ€term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newâ€onset, generally shortâ€term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â€ an inactive medicine also known as a sugar pill; four studies compared different drugs. Eleven studies with 1153 participants reported on the main outcome of this review 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metaâ€analysis to compare the six different drug classes. Dexmedetomidine was ranked most effective in reducing delirium duration, followed by atypical antipsychotics. However, network metaâ€analysis of delirium duration failed to rule out the possibility of no difference for all six drug classes compared to placebo. Using this method, we did not find that any drug improved the duration of coma, length of stay, longâ€term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</si>
  <si>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nurseâ€staffing models and patientâ€ and staffâ€related outcomes</t>
  </si>
  <si>
    <t>- Background Nurses comprise the largest component of the health workforce worldwide and numerous models of workforce allocation and profile have been implemented. These include changes in skill mix, grade mix or qualification mix, staffÃ¢â‚¬Âallocation models, staffing levels, nursing shifts, or nursesÃ¢â‚¬â„¢ work patterns. This is the first update of our review published in 2011. Objectives The purpose of this review was to explore the effect of hospital nurseÃ¢â‚¬Âstaffing models on patient and staffÃ¢â‚¬Ârelated outcomes in the hospital setting, specifically to identify which staffing model(s) are associated with: 1) better outcomes for patients, 2) better staffÃ¢â‚¬Ârelated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nonÃ¢â‚¬Ârandomised trials, controlled beforeÃ¢â‚¬Âafter studies and interruptedÃ¢â‚¬ÂtimeÃ¢â‚¬Âseries or repeatedÃ¢â‚¬Âmeasures studies of interventions relating to hospital nurseÃ¢â‚¬Âstaffing models. Participants were patients and nursing staff working in hospital settings. We included any objective reported measure of patientÃ¢â‚¬Â, staffÃ¢â‚¬Ârelated, or economic outcome. The most important outcomes included in this review were: nursingÃ¢â‚¬Âstaff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nurseÃ¢â‚¬Âstaffing models: Ã¢â‚¬Â introduction of advanced or specialist nurses to the nursing workforce; Ã¢â‚¬Â introduction of nursing assistive personnel to the hospital workforce; Ã¢â‚¬Â primary nursing; and Ã¢â‚¬Â staffing models. The studies were conducted in the USA, the Netherlands, UK, Australia, and Canada and included patients with cancer, asthma, diabetes and chronic illness, on medical, acute care, intensive care and longÃ¢â‚¬Âstay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nursingÃ¢â‚¬Âstaff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nurseÃ¢â‚¬Âstaffing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lessÃ¢â‚¬Âqualified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nursingÃ¢â‚¬Âstaff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nursingÃ¢â‚¬Âstaff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nurseÃ¢â‚¬Âstaffing models. One nurseÃ¢â‚¬Âstaffing model study tested hospital units scheduling their own nursing shifts (selfÃ¢â‚¬Âstaffing), and the other study compared different ways to schedule nursing shifts. We cannot be sure about the impact of primary nursing or nurseÃ¢â‚¬Âstaffing models on nurse resignations or costs because the research is very limited. How upÃ¢ ÂtoÃ¢â‚¬Âdate is this review? The review authors searched for studies that had been published up to March 2018.</t>
  </si>
  <si>
    <t>Includes studies conducted in the UK.</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</si>
  <si>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Â© 2019 The Society of Obstetricians and Gynaecologists of Canada/La Societe des obstetriciens et gynecologues du Canada."</t>
  </si>
  <si>
    <t>Study setting is Canada, not UK</t>
  </si>
  <si>
    <t>Study focused on healthcare in China, not UK-based or UK setting.</t>
  </si>
  <si>
    <t>Interventions for involving older patients with multiâ€morbidity in decisionâ€making during primary care consultations</t>
  </si>
  <si>
    <t>- Background Older patients with multiple health problems (multiâ€morbidity) value being involved in decisionâ€making about their health care. However, they are less frequently involved than younger patients. To maximise quality of life, dayâ€toâ€day function, and patient safety, older patients require support to identify unmet healthcare needs and to prioritise treatment options. Objectives To assess the effects of interventions for older patients with multiâ€morbidity aiming to involve them in decisionâ€making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clusterâ€RCTs, and quasiâ€RCTs of interventions to involve patients in decisionâ€making about their health care versus usual care/control/another intervention, for patients aged 65 years and older with multiâ€morbidity in primary care. Data collection and analysis We used standard Cochrane methodological procedures. Metaâ€analysis was not possible; therefore we prepared a narrative synthesis. Main results We included three studies involving 1879 participants: two RCTs and one clusterâ€RCT. Interventions consisted of: Â· patient workshop and individual coaching using behaviour change techniques; Â· individual patient coaching utilising cognitiveâ€behavioural therapy and motivational interviewing; and Â· holistic patient review, multiâ€disciplinary practitioner training, and organisational change. No studies reported the primary outcome â€˜patient involvement in decisionâ€makingâ€™ or the primary adverse outcome â€˜less patient involvement as a result of the interventionâ€™. Comparing interventions (patient workshop and individual coaching, holistic patient review plus practitioner training, and organisational change) to usual care: we are uncertain whether interventions had any effect on patient reports of high selfâ€rated health (risk ratio (RR) 1.40, 95% confidence interval (CI) 0.36 to 5.49; very lowâ€certainty evidence) or on patient enablement (mean difference (MD) 0.60, 95% CI â€9.23 to 10.43; very lowâ€certainty evidence) compared with usual care. Interventions probably had no effect on healthâ€related quality of life (adjusted difference in means 0.00, 95% CI â€0.02 to 0.02; moderateâ€certainty evidence) or on medication adherence (MD 0.06, 95% CI â€0.05 to 0.17; moderateâ€certainty evidence) but probably improved the number of patients discussing their priorities (adjusted odds ratio 1.85, 95% CI 1.44 to 2.38; moderateâ€certainty evidence) and probably increased the number of nurse consultations (incident rate ratio from adjusted multiâ€level Poisson model 1.37, 95% CI 1.17 to 1.61; moderateâ€certainty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attentionâ€control conditions: we are uncertain whether interventions affect patientâ€reported high selfâ€rated health (RR 0.38, 95% CI 0.15 to 1.00, favouring attention control, with very lowâ€certainty evidence; RR 2.17, 95% CI 0.85 to 5.52, favouring the intervention, with very lowâ€certain y evidence). We are uncertain whether interventions affect patient enablement and engagement by increasing either patient activation (MD 1.20, 95% CI â€8.21 to 10.61; very lowâ€certainty evidence) or selfâ€efficacy (MD 0.29, 95% CI â€0.21 to 0.79; very lowâ€certainty evidence); or whether interventions affect the number of general practice visits (MD 0.51, 95% CI â€0.34 to 1.36; very lowâ€certainty evidence), compared to attentionâ€control conditions. The intervention may however lead to more patientâ€reported changes in management of their health conditions (RR 1.82, 95% CI 1.35 to 2.44; lowâ€certainty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longâ€term health problem in decisionâ€making during primary care consultations Background The number of older people with more than one longâ€term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longâ€term health problem in decisionâ€making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longâ€term health problems on average. Interventions investigated included: Â· patient workshops and individual patient coaching; Â· patient coaching including cognitiveâ€behavioural therapy; and Â· wholeâ€person patient review, practitioner training, and organisational changes. All studies were funded by national research bodies. Key results None of the studies reported the main outcome â€˜patient involvement in decisionâ€making about their health careâ€™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longâ€term health problem in decisionâ€making about their health care can improve their selfâ€rated health or healthcare engagement, or make any difference in selfâ€efficacy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</si>
  <si>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Study conducted in the UK and references NHS.</t>
  </si>
  <si>
    <t>Study conducted in Portugal, not UK-based or applied to UK setting</t>
  </si>
  <si>
    <t>Study conducted in England with NHS context</t>
  </si>
  <si>
    <t>Study conducted in England and uses NHS data.</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</si>
  <si>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Â© 2019 Callender et al. This is an open access article distributed under the terms of the Creative Commons Attribution License, which permits unrestricted use, distribution, and reproduction in any medium, provided the original author and source are credited.</t>
  </si>
  <si>
    <t>Study conducted in England, a UK setting</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</si>
  <si>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Â© Author(s) (or their employer(s)) 2019. Re-use permitted under CC BY. Published by BMJ.</t>
  </si>
  <si>
    <t>Study conducted in UK regions: London, Lothian, Tayside</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</si>
  <si>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Â© 2018 National Kidney Foundation, Inc.</t>
  </si>
  <si>
    <t>Study conducted in Canada, not UK-based or applied to UK setting</t>
  </si>
  <si>
    <t>Study focuses on military settings, primarily USA, no UK context mentioned</t>
  </si>
  <si>
    <t>Study conducted in Canada, no UK setting mentioned</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</si>
  <si>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Â© 2019 European Association for the Study of the Liver</t>
  </si>
  <si>
    <t>Study explicitly conducted in the UK.</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</si>
  <si>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metaâ€analysis using a Mantelâ€Haenszel randomâ€effects model to generate risk ratios (RRs) and 95% confidence intervals (CIs). Main results We identified seven studies including 1774 participants. We judged three studies to be at high risk of bias and four to be at unclear risk. Each study provided faceâ€toâ€face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oneâ€off advice on how to quit. Participants in both intervention and control arms received equivalent smoking cessation pharmacotherapy in all but one study. All studies took place in highâ€income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followâ€up (RR 2.30, 95% CI 1.33 to 3.97; I 2 = 54%; lowâ€certainty evidence). Authors' conclusions Community pharmacists can provide effective behavioural support to people trying to stop smoking. However, this conclusion is based on lowâ€certainty evidence, limited by risk of bias and imprecision. Further research could change this conclusion. Plain language summary Does quitâ€smoking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faceâ€toâ€face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</si>
  <si>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Three studies conducted in the UK.</t>
  </si>
  <si>
    <t>- Background Folate is a Bâ€vitamin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Medicusâ€AFRO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nonâ€RCTs and prospective observational studies with a control group; these studies were not included in metaâ€analyses,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nonâ€RCTs (1181 participants, 8037 live births); two studies were interrupted time series (ITS) studies (1 study population of 2,242,438, 1 study unreported). Six studies were conducted in upperâ€middleâ€income countries (China, Mexico, South Africa), one study was conducted in a lowerâ€middleâ€income country (Bangladesh), and three studies were conducted in a highâ€income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nonâ€RCT,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lowâ€certainty evidence). Folate status : pregnant women who received folic acidâ€fortified maize porridge had significantly higher erythrocyte folate concentrations (mean difference (MD) 238.90 nmol/L, 95% CI 149.40 to 328.40); 1 study, 38 participants; very lowâ€certainty evidence) and higher plasma folate (MD 14.98 nmol/L, 95% CI 9.63 to 20.33; 1 study, 38 participants; very lowâ€certainty evidence), compared to no intervention. Women of reproductive age consuming maize flour fortified with folic acid and other micronutrients did no have higher erythrocyte folate (MD â€61.80 nmol/L, 95% CI â€152.98 to 29.38; 1 study, 35 participants; very lowâ€certainty evidence) or plasma folate (MD 0.00 nmol/L, 95% CI â€0.00 to 0.00; 1 study, 35 participants; very lowâ€certainty evidence) concentrations, compared to women consuming unfortified maize flour. Adults consuming folic acidâ€fortified wheat flour bread rolls had higher erythrocyte folate (MD 0.66 nmol/L, 95% CI 0.13 to 1.19; 1 study, 30 participants; very lowâ€certainty evidence) and plasma folate (MD 27.00 nmol/L, 95% CI 15.63 to 38.37; 1 study, 30 participants; very lowâ€certainty evidence), versus unfortified flour. In two nonâ€RCTs, serum folate concentrations were significantly higher among women who consumed flour fortified with folic acid and other micronutrients compared to women who consumed unfortified flour (MD 2.92 nmol/L, 95% CI 1.99 to 3.85; 2 studies, 657 participants; very lowâ€certainty evidence). Haemoglobin or anaemia : in a clusterâ€randomised trial among children, there were no significant effects of fortified wheat flour flatbread on haemoglobin concentrations (MD 0.00 nmol/L, 95% CI â€2.08 to 2.08; 1 study, 334 participants; lowâ€certainty evidence) or anaemia (RR 1.07, 95% CI 0.74 to 1.55; 1 study, 334 participants; lowâ€certainty evidence), compared to unfortified wheat flour flatbread. Authors' conclusions Fortification of wheat flour with folic acid may reduce the risk of neural tube defects; however, this outcome was only reported in one nonâ€RCT. Fortification of wheat or maize flour with folic acid (i.e. alone or with other micronutrients) may increase erythrocyte and serum/plasma folate concentrations. Evidence is limited for the effects of folic acidâ€fortified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lowâ€certainty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acidâ€fortified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metaâ€analyses. Six studies were conducted in upperâ€middleâ€income countries (China, Mexico, South Africa), one study was conducted in a lowerâ€middleâ€income country (Bangladesh), and three studies were conducted in a highâ€income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acidâ€fortified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lowâ€certainty of evidence due to how included studies were designed and reported.</t>
  </si>
  <si>
    <t>No UK setting or references detected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</si>
  <si>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quasiâ€RCTs examining the medical treatment of any of the four major types of botulism (infant intestinal botulism, foodâ€borne botulism, wound botulism, and adult intestinal toxemia). Potential medical treatments included equine serum trivalent botulism antitoxin, humanâ€derived botulinum immune globulin intravenous (BIGâ€IV), plasma exchange, 3,4â€diaminopyridine, and guanidine. Data collection and analysis We followed standard Cochrane methodology. Our primary outcome was inâ€hospital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intentionâ€toâ€treat principles, and possibly some betweenâ€treatment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(BIGâ€IV: 2.60 weeks, 95% confidence interval (CI) 1.95 to 3.25; control: 5.70 weeks, 95% CI 4.40 to 7.00; mean difference (MD) â€3.10 weeks, 95% CI â€4.52 to â€1.68; moderateâ€certainty evidence); mechanical ventilation (BIGâ€IV: 1.80 weeks, 95% CI 1.20 to 2.40; control: 4.40 weeks, 95% CI 3.00 to 5.80; MD â€2.60 weeks, 95% CI â€4.06 to â€1.14; lowâ€certainty evidence); and tube or parenteral feeding (BIGâ€IV: 3.60 weeks, 95% CI 1.70 to 5.50; control: 10.00 weeks, 95% CI 6.85 to 13.15; MD â€6.40 weeks, 95% CI â€10.00 to â€2.80; moderateâ€certainty evidence), but not on proportion of participants with adverse events or complications (BIGâ€IV: 63.08%; control: 68.75%; risk ratio 0.92, 95% CI 0.72 to 1.18; absolute risk reduction 0.06, 95% CI 0.22 to â€0.11; moderateâ€certainty evidence). Authors' conclusions We found lowâ€ and moderateâ€certainty evidence supporting the use of BIGâ€IV in infant intestinal botulism. A single RCT demonstrated that BIGâ€IV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(humanâ€derived botulinum immune globulin intravenous, or BIGâ€IV). Fiftyâ€nine infants received BIGâ€IV,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BIGâ€IV spent, on average, about three weeks less time in hospital (i.e. 3.1 weeks versus 5.7 weeks) than infants who received the inactive treatment, and spent about three weeks less on a ventilator (1.8 weeks versus 4.4 weeks). The average duration of tube feeding in the BIGâ€IV group was more than six weeks less than in the placebo group (i.e. 3.6 versus 10 weeks). The risk of harmful effects of the treatment was probably no greater with BIGâ€IV than with the inactive treatment. The evidence was mostly of moderate certainty (low certainty for time spent on a ventilator). The review shows that BIGâ€IV probably shortens hospitalization; may shorten time spent on a ventilator; and probably reduces the duration of tube feeding compared to placebo. On the other hand, we found no evidence for or against botulism antitoxin or other treatments for botulism. The evidence is upâ€toâ€date to January 2018, when we updated the searches and found no new trials.</t>
  </si>
  <si>
    <t>Study is applied to NHS England setting.</t>
  </si>
  <si>
    <t>Introduction</t>
  </si>
  <si>
    <t>Study is focused on the U.S. healthcare system.</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</si>
  <si>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Â© 2019 Author(s).</t>
  </si>
  <si>
    <t>Study applied to NHS in England.</t>
  </si>
  <si>
    <t>Includes UK healthcare thought leaders.</t>
  </si>
  <si>
    <t>Study focuses on UK's NICE and NHS.</t>
  </si>
  <si>
    <t>Mentions British guidelines and conducted in a UK hospital.</t>
  </si>
  <si>
    <t>Study uses UK perspective and references NHS and NICE.</t>
  </si>
  <si>
    <t>- Background Peer support provides the opportunity for peers with experiential knowledge of a mental illness to give emotional, appraisal and informational assistance to current service users, and is becoming an important recoveryâ€oriented approach in healthcare for people with mental illness. Objectives To assess the effects of peerâ€support interventions for people with schizophrenia or other serious mental disorders, compared to standard care or other supportive or psychosocial interventions not from peers. Search methods We searched the Cochrane Schizophrenia Group's Studyâ€Based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lowâ€quality evidence) or allâ€cause death in the long term (RR 1.52, 95% CI 0.43 to 5.31; participants = 555; studies = 1, very lowâ€quality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highâ€quality evidence from relevant randomised clinical trials (studies where people are randomly put into one of two or more treatment groups) so we could assess the effects of peerâ€support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clinicianâ€led support (where a health professional provided support). However, there were no useable data for this comparison reported for the main outcomes. Conclusions We have little confidence in the above findings. Currently, there is no highâ€quality evidence available to either support or refute the effectiveness of peerâ€support interventions for people with schizophrenia or other serious mental illnesses.</t>
  </si>
  <si>
    <t>Study conducted in South Korea, not UK</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</si>
  <si>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clusterâ€randomized controlled trials (cRCTs), interrupted time series (ITS), randomized crossâ€over studies, nonâ€randomized crossâ€over studies, and controlled beforeâ€andâ€after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nonâ€randomized crossâ€over design) met the inclusion criteria. All used ground application of larvicides (people handâ€delivering larvicides); one evaluated chemical and three evaluated microbial agents. Studies were carried out in The Gambia, Tanzania, Kenya, and Sri Lanka. Three studies were conducted in areas where mosquito aquatic habitats were less extensive (&lt; 1 kmÂ²), and one where habitats were more extensive (&gt; 1 kmÂ²; a crossâ€over study from The Gambia). For aquatic habitats of less than 1 kmÂ²,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lowâ€certainty evidence) and parasite prevalence (risk ratio (RR) 0.26, 5897 participants, lowâ€certainty evidence) compared to no larviciding. The two CBA studies reported lower malaria prevalence during the intervention period (parasite prevalence RR 0.79, 95% confidence interval (CI) 0.71 to 0.89; 70,902 participants; lowâ€certainty evidence). The Kenyan study also reported a reduction in the incidence of new malaria cases (RR 0.62, 95% CI 0.38 to 1.01; 720 participants; very lowâ€certainty evidence). For aquatic habitats of more than 1 kmÂ², the nonâ€randomized crossâ€over trial using microbial larvicides did not detect an effect for malaria incidence (RR 1.58, 95% CI 0.94 to 2.65; 4226 participants), or parasite prevalence (RR 1.15, 95% CI 0.41 to 3.20; 3547 participants); both were very lowâ€certainty evidence. The Gambia trial also reported the mean haemoglobin level, and there was no difference across the four comparisons (mean difference â€“0.13, 95% CI â€“0.40 to 0.13; 3586 participants). We were unable to summarize or pool entomological outcomes due to unreported and missing data. Authors' conclusions Most controlled studies on larviciding have been performed with microbial agents. Ground larviciding for nonâ€extensive larval habitats may have an effect on malaria transmission, and we do not know if there is an effect in largeâ€scale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(lowâ€certainty evidence). We do not know if larviciding in large water bodies shows an impact on malaria based on results from one study in The Gambia (very lowâ€certainty evidence). How up to date is the review? We searched for relevant trials up to 6 June 2019.</t>
  </si>
  <si>
    <t>Study conducted in The Gambia, Tanzania, Kenya, and Sri Lanka</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</si>
  <si>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Â© 2019 Diabetes UK</t>
  </si>
  <si>
    <t>Study is applied to a UK setting, mentions NHS and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</si>
  <si>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participantâ€ and investigatorâ€rated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followâ€up period. Clinical heterogeneity in treatments and outcome measures was evident. Few studies performed headâ€toâ€head comparisons of different interventions. Risk of bias varied considerably, with only five studies at low risk in all domains. Twentyâ€two studies were industryâ€funded.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participantâ€rated control of symptoms compared to vehicle (risk ratio (RR) 2.32, 95% confidence interval (CI) 1.38 to 3.91; number needed to treat for an additional beneficial outcome (NNTB) 3, 95% CI 2 to 8; 1 study, 125 participants); the effect of clobetasol compared to vehicle for investigatorâ€rated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investigatorâ€rated symptom control compared to twice weekly (RR 1.23, 95% CI 0.94 to 1.61; 1 study, 72 participants) after remission is reached. Participantâ€rated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investigatorâ€rated symptom control when compared to local narrowâ€band UVB after 12 weeks of treatment (RR 0.50, 95% CI 0.22 to 1.16; 1 study, 60 participants). However, the 95% CI indicates that PUVA might make little or no difference. Participantâ€rated symptoms were not measured. Adverse events (mainly erythema) were reported by 9/30 participants in the narrowâ€band UVB group versus none in the PUVA group. This evidence was rated as moderate certainty. Topical calcineurin inhibitors: tacrolimus 0.1% over two weeks probably improves investigatorâ€rated symptom control measured after three weeks compared to vehicle (14/14 tacrolimus versus 0/14 vehicle; 1 study). Participantâ€rated symptoms were not measured. Four of 14 people in the tacroli us group versus zero in the vehicle group had wellâ€tolerated application site burning/itching. A withinâ€participant study in 16 participants compared 0.1% tacrolimus to 0.1% mometasone furoate but did not measure investigatorâ€ or participantâ€rated symptoms. Both treatments were well tolerated when assessed at two weeks during four weeks of treatment. Evidence from these studies was rated as moderate certainty. Oral interventions: oral cyclosporin 3 mg/kg/d probably slightly improves investigatorâ€rated (RR 1.88, 95% CI 0.88 to 3.99; 1 study, 34 participants) or participantâ€rated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moderateâ€certainty evidence), but the risk of headache increased with alitretinoin 30 mg (RR 3.43, 95% CI 2.45 to 4.81; 2 studies, n = 1210; highâ€certainty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Wellâ€designed and wellâ€reported, longâ€term (more than three months), headâ€toâ€head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participantâ€rated good/excellent control of hand eczema when compared to vehicle (516 versus 222 per 1000), but the difference between groups was less clear for investigatorâ€rated control, and more adverse events were reported with clobetasol propionate (178 versus 79 per 1000) (all based on moderateâ€certainty evidence). Mometasone furoate cream used thrice weekly may slightly improve investigatorâ€rated good/excellent control compared to twice weekly treatment, and participantâ€rated control was not measured. Mild skin thinning occurred in both groups, but cases were few (all based on lowâ€certainty evidence). Irradiation with UV light: various types of irradiation (i.e. exposure to radiation) were compared. Local PUVA may improve investigatorâ€rated good/excellent control compared to narrowâ€band UVB (400 versus 200 per 1000); however, we are uncertain of this finding because results also show that local PUVA may make little or no difference. Participantâ€rated symptoms were not measured. Nine out of 30 participants in the narrowâ€band UVB group reported adverse events (mainly redness) compared to none in the PUVA group (all based on moderateâ€certainty evidence). Topical calcineurin inhibitors: people receiving tacrolimus are probably more likely to achieve improved investigatorâ€rated good/excellent symptom control compared to those given vehicle (14/14 participants with tacrolimus compared to none with vehicle), but participantâ€rated control of symptoms was not measured. Four of 14 people in the tacrolimus group versus zero in the vehicle group had wellâ€tolerated application site burning/itching. One small study compared tacrolimus to mometasone furoate, which were both well tolerated, but did not measure investigatorâ€ or participantâ€rated control (all based on moderateâ€certainty evidence). Oral interventions: oral immunosuppressant (a drug that hinders the immune response) cyclosporin probably slightly improves investigatorâ€ or participantâ€rated control of good/excellent symptoms compared to topical betamethasone cream (a corticosteroid). The risk of adverse events such as dizziness was similar between groups (all based on moderateâ€certainty evidence). The oral vitamin A derivative (retinoid) alitretinoin (10 mg) achieved investigatorâ€rated good/excellent symptom control in 307 compared to 194 participants per 1000 with placebo, and alitretinoin 30 mg achieved investigatorâ€rated control in 432 compared to 157 participants per 1000 with placebo. Similar results were shown for participantâ€rated control (highâ€certainty evidence). When the dosage of alitretinoin was increased to 30 mg, risk of headache was higher compared to placebo (74 versus 251 per 1000; highâ€certainty evidence), but this probably does not differ between alitretinoin 10 mg and placebo (based on moderateâ€certainty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</si>
  <si>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Â© 2021 European Society for Medical Oncology</t>
  </si>
  <si>
    <t>Study funded by UK institutions and involves NHS Trusts.</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</si>
  <si>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quasiâ€RCTs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quasiâ€RCTs. The included studies were conducted in one highâ€income country (USA) and three lowerâ€middleâ€income countries (Bangladesh and Pakistan). Three studies were conducted in hospital inpatient settings, one in school, and one in a military training centre. Three studies included children under five years of age, one study included schoolâ€aged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goodâ€quality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highâ€income country (USA) and two lowerâ€middleâ€income countries (Bangladesh and Pakistan). Three studies were conducted in hospital settings, one in schools, and one at a military training centre. Three studies included children under five years of age, one schoolâ€aged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</si>
  <si>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Study conducted in USA, Bangladesh, and Pakistan</t>
  </si>
  <si>
    <t>Study conducted in Leeds, UK and involves NHS</t>
  </si>
  <si>
    <t>Mobile phoneâ€based interventions for improving adherence to medication prescribed for the primary prevention of cardiovascular disease in adults</t>
  </si>
  <si>
    <t>- Background Cardiovascular disease (CVD) is a major cause of disability and mortality globally. Premature fatal and nonâ€fatal CVD is considered to be largely preventable through the control of risk factors by lifestyle modifications and preventive medication. Lipidâ€lowering and antihypertensive drug therapies for primary prevention are costâ€effective in reducing CVD morbidity and mortality among highâ€risk people and are recommended by international guidelines. However, adherence to medication prescribed for the prevention of CVD can be poor. Approximately 9% of CVD cases in the EU are attributed to poor adherence to vascular medications. Lowâ€cost,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oneâ€year followâ€up in order that the outcome measures related to longerâ€term, sustained medication adherence behaviours and outcomes. Eligible comparators were usual care or control groups receiving no mobile phoneâ€delivered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communityâ€based primary and tertiary care or outpatient clinics. The interventions varied widely from those delivered solely through short messaging service (SMS) to those involving a combination of modes of delivery, such as SMS in addition to healthcare worker training, faceâ€toâ€face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metaâ€analyses. The body of evidence for the effect of mobile phoneâ€based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lowâ€density lipoprotein cholesterol (LDLâ€C), two studies found evidence for a small beneficial intervention effect on reducing LDLâ€C (âˆ’5.30 mg/dL, 95% confidence interval (CI) âˆ’8.30 to âˆ’2.30; and âˆ’9.20 mg/dL, 95% CI âˆ’17.70 to âˆ’0.70). The other three studies found results varying from a small reduction (âˆ’7.7 mg/dL) to a small increase in LDLâ€C (0.77 mg/dL). All of which had wide confidence intervals that included no effect. Across 13 studies (25,166 participants) measuring systolic blood pressure, effect estimates ranged from a large reduction (MD âˆ’12.45 mmHg, 95% CI âˆ’15.02 to âˆ’9.88) to a small increase (MD 2.80 mmHg, 95% CI 0.30 to 5.30). We found a similar range of effect estimates for diastolic BP, ranging from âˆ’12.23 mmHg (95% CI âˆ’14.03 to âˆ’10.43) to 1.64 mmHg (95% CI âˆ’0.55 to 3.83) (11 trials, 19,716 participants). Four trials showed intervention benefits for systolic and diastolic BP with confidence intervals excluding no effect, and among these were all three of the trials evaluating selfâ€monitoring of blood pressure with mobile phoneâ€based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âˆ’1.55 mmHg, 95% CI âˆ’3.36 to 0.25; I 2 = 0%) and small increases in controlled BP (OR 1.32, 95% CI 1.06 to 1.65; I 2 = 0%). Based on four studies (12,439 participants), there was very lowâ€certainty evidence (downgraded twice for imprecision and once for risk of bias) relating to the intervention effect on combined (fatal and nonâ€fatal) CVD events. Two studies (2535 participants) provided lowâ€certainty evidence for the effect of the intervention on cognitive outcomes, with little or no difference between trial arms for perceived quality of care and satisfaction with treatment. There was moderateâ€certainty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interventionâ€related adverse events. One study stated that potential side effects were similar between groups. One study reported a similar number of deaths in each arm, but did not provide further information relating to potential adverse events. Authors' conclusions There is lowâ€certainty evidence on the effects of mobile phoneâ€delivered interventions to increase adherence to medication prescribed for the primary prevention of CVD. Trials of BP selfâ€monitoring with mobileâ€phone telemedicine support reported modest benefits. One trial at low risk of bias reported modest reductions in LDL cholesterol but no benefits for BP. There is moderateâ€certainty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</si>
  <si>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Background:</t>
  </si>
  <si>
    <t>Anticholinergics combined with alphaâ€blockers for treating lower urinary tract symptoms related to benign prostatic obstruction</t>
  </si>
  <si>
    <t>- Background Lower urinary tract symptoms (LUTS) due to benign prostatic obstruction (BPO) represent one of the most common clinical complaints in men. Alphaâ€blockers are widely used as firstâ€line therapy for men with LUTS secondary to BPO, but up to one third of men report no improvement in their LUTS after taking alphaâ€blockers. Anticholinergics used in addition to alphaâ€blockers may help improve symptoms but it is uncertain how effective they are. Objectives To assess the effects of combination therapy with anticholinergics and alphaâ€blockers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alphaâ€blockers monotherapy, and combination therapy versus anticholinergics monotherapy. Data collection and analysis Two review authors independently screened the literature, extracted data, and assessed risk of bias. We performed statistical analyses using a randomâ€effects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singleâ€center setting, while 11 used a multiâ€center setting. We only found shortâ€term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â€“2.73, 95% confidence interval (CI) â€“5.55 to 0.08; lowâ€certainty evidence). We are very uncertain about the effect of combination therapy on quality of life (QoL) (MD â€“0.97, 95% CI â€“2.11 to 0.16; very lowâ€certainty evidence). Combination therapy likely increases adverse events (risk ratio (RR) 1.24, 95% CI 1.04 to 1.47; moderateâ€certainty evidence); based on 252 adverse events per 1000 participants in the placebo group, this corresponds to 61 more adverse events (95% CI 10 more to 119 more) per 1000 participants treated with combination therapy. Combination therapy versus alphaâ€blockers alone: based on 22 studies with 4904 randomized participants, we are very uncertain about the effect of combination therapy on urologic symptom scores (MD â€“2.04, 95% CI â€“3.56 to â€“0.52; very lowâ€certainty evidence) and QoL (MD â€“0.71, 95% CI â€“1.03 to â€“0.38; very lowâ€certainty evidence). Combination therapy may result in little or no difference in adverse events rate (RR 1.10, 95% CI 0.90 to 1.34; lowâ€certainty evidence); based on 228 adverse events per 1000 participants in the alphaâ€blocker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â€“3.71, 95% CI â€“9.41 to 1.98; very lowâ€certainty evidence). Combination therapy may result in an improvement in QoL (MD â€“1.49, 95% CI â€“1.88 to â€“1.11; lo â€certainty evidence). Combination therapy likely results in little to no difference in adverse events (RR 1.26, 95% CI 0.81 to 1.95; moderateâ€certainty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alphaâ€blockers are associated with little or uncertain effects on urologic symptom scores compared to placebo, alphaâ€blockers, or anticholinergics monotherapy. However, combination therapy may result in an improvement in quality of life compared to anticholinergics monotherapy, but an uncertain effect compared to placebo, or alphaâ€blockers. Combination therapy likely increases adverse events compared to placebo, but not compared to alphaâ€blockers or anticholinergics monotherapy. The findings of this review were limited by study limitations, inconsistency, and imprecision. We were unable to conduct any of the predefined subgroup analyses. Plain language summary Anticholinergics combined with alphaâ€blockers for treating lower urinary tract symptoms related to benign prostatic obstruction Review question Is combination therapy with anticholinergics, a type of medicine that can relieve abnormal bladder contraction (where a man cannot control when he urinates), and alphaâ€blockers,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alphaâ€blockers have been used to relieve the urinary symptoms, up to one third of men get no benefit. Combination therapy with alphaâ€blockers and anticholinergics provides a treatment option for men with urinary symptoms. Study characteristics The search is upâ€toâ€date to 7 August 2020. We identified 23 studies involving 6285 men. Five studies compared combination therapy with anticholinergics and alphaâ€blockers versus placebo (a pill with no therapeutic effects). A total of 22 studies compared combination therapy with anticholinergics and alphaâ€blockers versus alphaâ€blockers alone. Three studies compared combination therapy with anticholinergics and alphaâ€blockers versus anticholinergics alone. The followâ€up period in the studies ranged from 12 weeks to one year. Key results Combination therapy versus placebo: combination therapy with anticholinergics and alphaâ€blockers was associated with little effect in urinary symptoms and uncertain improvement on quality of life, but combination therapy may increase unwanted side effects. Combination therapy versus alphaâ€blockers: combination therapy with anticholinergics and alphaâ€blockers may have uncertain effects on improvement of urinary symptoms and quality of life compared to alphaâ€blockers alone. Combination therapy may not increase unwanted side effects. Combination therapy compared to anticholinergics: combination therapy with anticholinergics and alphaâ€blockers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</si>
  <si>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Mentions NHS and South West England, indicating UK setting.</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</si>
  <si>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Â© 2020 International Society of Ultrasound in Obstetrics and Gynecology.</t>
  </si>
  <si>
    <t>Study conducted in Australia, not UK-based</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</si>
  <si>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Â© 2020 British Pharmacological Society</t>
  </si>
  <si>
    <t>Study conducted in Australia, not UK</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</si>
  <si>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Â© 2021 National Rural Health Alliance Ltd.</t>
  </si>
  <si>
    <t>Study conducted in New South Wales, Australia</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</si>
  <si>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Â© Queen's Printer and Controller of HMSO 2021.</t>
  </si>
  <si>
    <t>Study conducted in NHS settings, indicating a UK setting.</t>
  </si>
  <si>
    <t>- Background Dementia is a progressive syndrome characterised by deterioration in memory, thinking and behaviour, and by impaired ability to perform daily activities. Two classes of drug â€ cholinesterase inhibitors (donepezil, galantamine and rivastigmine) and memantine 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carerâ€related outcomes. Search methods We searched the Cochrane Dementia and Cognitive Improvement Groupâ€™s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fullâ€text articles for inclusion, extracted data from included trials and assessed risk of bias using the Cochrane risk of bias tool. Where trials were sufficiently similar, we pooled data for outcomes in the short term (up to 2 months after randomisation), medium term (3â€11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â€0.42, 95% confidence interval (CI) â€0.64 to â€0.21; 4 studies; low certainty), but the effect in the medium term is very uncertain (SMD â€0.40, 95% CI 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â€0.62; 95% CI â€0.94 to â€0.31). Data from one longerâ€term study suggest that discontinuing a cholinesterase inhibitor is probably associated with worse cognitive function at 12 months (mean difference (MD) â€2.09 Standardised Miniâ€Mental State Examination (SMMSE) points, 95% CI â€3.43 to â€0.75; moderate certainty). Discontinuation may make little or no difference to functional status in the short term (SM â€0.25, 95% CI â€0.54 to 0.04; 2 studies; low certainty), and its effect in the medium term is uncertain (SMD â€0.38, 95% CI â€0.74 to â€0.01; 2 studies; very low certainty). After 12 months, discontinuing a cholinesterase inhibitor probably results in greater functional impairment than continuing treatment (MD â€3.38 Bristol Activities of Daily Living Scale (BADLS) points, 95% CI â€6.67 to â€0.10; one study; moderate certainty). Discontinuation may be associated with a worsening of neuropsychiatric symptoms over the short term and medium term, although we cannot exclude a minimal effect (SMD â€ 0.48, 95% CI â€0.82 to â€0.13; 2 studies; low certainty; and SMD â€0.27, 95% CI â€0.47 to â€0.08; 3 studies; low certainty, respectively). Data from one study suggest that discontinuing a cholinesterase inhibitor may result in little to no change in neuropsychiatric status at 12 months (MD â€0.87 Neuropsychiatric Inventory (NPI) points; 95% CI 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antiâ€dementia drugs in patients with dementia Background Dementia is the term used to describe a group of illnesses, usually developing in late life, in which there is a deterioration in a personâ€™s ability to think, remember, communicate and manage daily activities independently. It can be caused by several different brain diseases, but the most common form is dementia due to Alzheimerâ€™s disease. At the moment, there are no medical treatments which can prevent dementia or stop it from progressing, but there are two classes of drugs â€“ the cholinesterase inhibitors (donepezil, rivastigmine and galantamine) and memantine 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patientâ€™s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</si>
  <si>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Â© Queen's Printer and Controller of HMSO 2021.</t>
  </si>
  <si>
    <t>Study involves NHS staff, indicating a UK setting.</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</si>
  <si>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Â© Author(s) (or their employer(s)) 2020. Re-use permitted under CC BY-NC. No commercial re-use. See rights and permissions. Published by BMJ.</t>
  </si>
  <si>
    <t>Study conducted in UK setting with UK voluntary sector provider.</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</si>
  <si>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Â© Authors 2021</t>
  </si>
  <si>
    <t>Study conducted from a National Health Service perspective and uses UK-specific data.</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</si>
  <si>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Â© Author(s) (or their employer(s)) 2021. Re-use permitted under CC BY. Published by BMJ.</t>
  </si>
  <si>
    <t>Study conducted in the UK, references NHS and England.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</si>
  <si>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Â© 2020, The Author(s).</t>
  </si>
  <si>
    <t>Study includes data from England.</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</si>
  <si>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Â© 2021</t>
  </si>
  <si>
    <t>Mentions UK population and UK-specific data.</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</si>
  <si>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Â© 2021, The Author(s).</t>
  </si>
  <si>
    <t>Study conducted from UK NHS perspective.</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</si>
  <si>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Â© AANS 2021.</t>
  </si>
  <si>
    <t>Study set in UK primary care and involves NHS patients.</t>
  </si>
  <si>
    <t>Study title suggests UK setting (PARAMEDIC2 RCT is a known UK trial).</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</si>
  <si>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Â© 2021 Perkins et al.</t>
  </si>
  <si>
    <t>Study conducted in NHS ambulance services in England and Wales.</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</si>
  <si>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lowâ€certainty evidence of no clinically important difference between the two groups in patientâ€rated function or active finger range of motion at 6 or 12 months followâ€up. There is very lowâ€certainty evidence of little betweenâ€group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selfâ€rated function, on range of movement during three to six months or numbers of participants experiencing adverse events. The very lowâ€certainty evidence for poor (under oneâ€quarter that of normal) range of finger movement at one to three years followâ€up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lowâ€certainty evidence of no difference in selfâ€rated function using the Disability of the Arm, Shoulder and Hand (DASH) functional assessment between the two groups at six months (one trial) or at 12 months (one trial). There is very lowâ€certainty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lowâ€certainty. Authors' conclusions There is a lack of evidence from RCTs on most of the rehabilitation interventions used following surgery for flexor tendon injuries of the hand. The limited and very lowâ€certainty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â€“ for example, because of a deep cut from broken glass â€“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â€ which approaches are most effect ve in restoring finger motion and function; and 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â€ no treatment; â€ a placebo (dummy) treatment (in which, for example, someone thinks they may be receiving laser therapy but the machine is switched off); or 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threeâ€quarters of them were male. Ten studies evaluated one each of eight different hand exercise programmes. The other seven studies evaluated a variety of other rehabilitation approaches, such as: â€ laser therapy, in which light is directed at the tendons to encourage healing; â€ ultrasound, in which sound waves are directed at the tendons to encourage healing; and 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â€ one study (84 people) that compared finger exercises against immobilisation; â€ one study (53 people) that evaluated the effects of adding regular finger exercises (20 to 30 times every waking hour for four weeks from the first day after surgery) to â€˜passiveâ€™ exercises (in which people regularly folded the fingers in the injured hand using the uninjured hand); and â€ three studies (190 people) that evaluated the effects of adding â€˜place and holdâ€™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cliniciansâ€™ and patientsâ€™ choice of rehabilitation after surgery for flexor tendon injuries. How upâ€toâ€date is this review? The evidence in this Cochrane Review is current to August 2020.</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</si>
  <si>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Â©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</si>
  <si>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Â© 2021 The Authors</t>
  </si>
  <si>
    <t>Study conducted at Barnet and Chase Farm Hospitals, UK setting.</t>
  </si>
  <si>
    <t>Study conducted at 13 UK centres and involves NHS.</t>
  </si>
  <si>
    <t>Antiemetics for adults for prevention of nausea and vomiting caused by moderately or highly emetogenic chemotherapy: a network metaâ€analysis</t>
  </si>
  <si>
    <t>- Background About 70% to 80% of adults with cancer experience chemotherapyâ€induced nausea and vomiting (CINV). CINV remains one of the most distressing symptoms associated with cancer therapy and is associated with decreased adherence to chemotherapy. Combining 5â€hydroxytryptamineâ€3 (5â€HTâ‚ƒ) receptor antagonists with corticosteroids or additionally with neurokininâ€1 (NKâ‚) receptor antagonists is effective in preventing CINV among adults receiving highly emetogenic chemotherapy (HEC) or moderately emetogenic chemotherapy (MEC). Various treatment options are available, but direct headâ€toâ€head comparisons do not allow comparison of all treatments versus another. Objectives â€¢ In adults with solid cancer or haematological malignancy receiving HEC â€ To compare the effects of antiemetic treatment combinations including NKâ‚ receptor antagonists, 5â€HTâ‚ƒ receptor antagonists, and corticosteroids on prevention of acute phase (Day 1), delayed phase (Days 2 to 5), and overall (Days 1 to 5) chemotherapyâ€induced nausea and vomiting in network metaâ€analysis (NMA) â€ To generate a clinically meaningful treatment ranking according to treatment safety and efficacy â€¢ In adults with solid cancer or haematological malignancy receiving MEC â€ To compare whether antiemetic treatment combinations including NKâ‚ receptor antagonists, 5â€HTâ‚ƒ receptor antagonists, and corticosteroids are superior for prevention of acute phase (Day 1), delayed phase (Days 2 to 5), and overall (Days 1 to 5) chemotherapyâ€induced nausea and vomiting to treatment combinations including 5â€HTâ‚ƒ receptor antagonists and corticosteroids solely, in network metaâ€analysis 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NKâ‚ and 5â€HTâ‚ƒ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NKâ‚ and 5â€HTâ‚ƒ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NKâ‚ and 5â€HTâ‚ƒ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lowâ€certainty), aprepitant + ramosetron (753 of 1000; RR 1.07, 95% CI 0.95 to 1.21; low certainty), and fosaprepitant + palonosetron (746 of 1000; RR 1.06, 95% CI 0.96 to .19; low certainty). Netupitant + palonosetron (704 of 1000; RR 1.00, 95% CI 0.93 to 1.08; highâ€certainty) and fosaprepitant + granisetron (697 of 1000; RR 0.99, 95% CI 0.93 to 1.06; highâ€certainty)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NKâ‚ and 5â€HTâ‚ƒ inhibitors, or 5â€HTâ‚ƒ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chemotherapyâ€induced nausea and vomiting. For people receiving MEC, synthesised evidence does not suggest superiority for treatments including both NKâ‚ and 5â€HTâ‚ƒ inhibitors when compared to treatments including 5â€HTâ‚ƒ inhibitors only. Rather, the results of our NMA suggest that the choice of 5â€HTâ‚ƒ inhibitor may have an impact on treatment efficacy in preventing CINV. When interpreting the results of this systematic review, it is important for the reader to understand that NMAs are no substitute for direct headâ€toâ€head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metaâ€analysis, we aimed to compare the benefits and harms of different drug combinations for prevention of CINV among people receiving HEC or MEC, and to identify treatment ranking. A network metaâ€analysis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multipleâ€comparison analyses are no substitute for headâ€toâ€head comparisons, and that the results do not necessarily rule out differences that could be clinically relevant for some individuals. How upâ€toâ€date is this evidence? Evidence is upâ€toâ€date to 2 February 2021.</t>
  </si>
  <si>
    <t>Secondary prevention of variceal bleeding in adults with previous oesophageal variceal bleeding due to decompensated liver cirrhosis: a network metaâ€analysis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</si>
  <si>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metaâ€analysis with OpenBUGS using Bayesian methods and calculated the differences in treatments using hazard ratios (HR), odds ratios (OR) and rate ratios with 95% credible intervals (CrI) based on an availableâ€case analysis, according to National Institute of Health and Care Excellence Decision Support Unit guidance. Main results We included a total of 48 randomised clinical trials (3526 participants) in the review. Fortyâ€six trials (3442 participants) were included in one or more comparisons. The trials that provided the information included people with cirrhosis due to varied aetiologies. The followâ€up ranged from two months to 61 months. All the trials were at high risk of bias. A total of 12 interventions were compared in these trials (sclerotherapy, betaâ€blockers, variceal band ligation, betaâ€blockers plus sclerotherapy, no active intervention, TIPS (transjugular intrahepatic portosystemic shunt), betaâ€blockers plus nitrates, portocaval shunt, sclerotherapy plus variceal band ligation, betaâ€blockers plus nitrates plus variceal band ligation, betaâ€blockers plus variceal band ligation, sclerotherapy plus nitrates). Overall, 22.5% of the trial participants who received the reference treatment (chosen because this was the commonest treatment compared in the trials) of sclerotherapy died during the followâ€up period ranging from two months to 61 months. There was considerable uncertainty in the effects of interventions on mortality. Accordingly, none of the interventions showed superiority over another. None of the trials reported healthâ€related quality of life. Based on lowâ€certainty evidence, variceal band ligation may result in fewer serious adverse events (number of people) than sclerotherapy (OR 0.19; 95% CrI 0.06 to 0.54; 1 trial; 100 participants). Based on low or very lowâ€certainty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lowâ€certainty evidence, TIPS may result in large decrease in symptomatic rebleed than variceal band ligation (HR 0.12; 95% CrI 0.03 to 0.41; 1 trial; 58 participants). Based on moderateâ€certainty evidence, any variceal rebleed was probably lower in sclerotherapy than in no active intervention (HR 0.62; 95% CrI 0.35 to 0.99, direct comparison HR 0.66; 95% CrI 0.11 to 3.13; 3 trials; 296 participants), betaâ€blockers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lowâ€certainty evidence, betaâ€blockers alone and TIPS might result in more, other compensation, events than sclerotherapy (rate ratio 2.37; 95% CrI 1.35 to 4.67; 1 trial; 65 participants and rate ratio 2.30; 95% CrI 1.20 to 4.65; 2 trials; 109 participants; lowâ€certainty evidence). The evidence indicates considerable uncertainty about the effect of the interventions including those related to betaâ€blockers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Betaâ€blockers plus sclerotherapy and TIPS probably result in fewer 'any' variceal rebleeding than sclerotherapy. Betaâ€blockers alone and TIPS might result in more other compensation events than sclerotherapy. The evidence indicates considerable uncertainty about the effect of the interventions in the remaining comparisons. Accordingly, highâ€quality randomised comparative clinical trials are needed. Plain language summary Prevention of rebleeding from enlarged veins in the food pipe (oesophagus) resulting from advanced liver disease What is the aim of this Cochrane Review? â€¨To find out the best available preventive treatment for repeated bleeding from oesophageal varices (enlarged veins in the food pipe) in people with advanced liver disease (liver cirrhosis, or lateâ€stage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metaâ€analysis'). Date of literature search â€¨December 2019 Key messages 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betaâ€blockers (drugs that slow the heart and decrease the force of heart pumping resulting in decrease pressure in the blood vessels), and TIPS (transjugular intrahepatic portosystemic shunt; an artificial channel that connects the different blood vessels that carry oxygenâ€depleted blood (venous system)) within the liver to reduce the pressure builtâ€up in the portal venous system, one of the two venous systems draining the liver), portocaval shunt (performing surgery to create the artificial channel described for TIPS) among others. The review authors wanted to gather and analyse data on death, quality of life, serious and nonâ€serious adverse events, recurrence of bleeding, and development of other complications of advanced liver disease.â€¨â€¨ What were the main results of the review? â€¨The 48 studies included a small number of participants (3526 participants). Study data were sparse. Fortyâ€six studies with 3442 participants provided data for analyses. The followâ€up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following.â€¨â€ The evidence indicates considerable uncertainty about the effect of the interventions on the risk of deathâ€¨â€ Variceal band ligation might result in fewer serious adverse events than sclerotherapyâ€¨â€ The evidence indicates considerable uncertainty about the effect of the interventions on serious and nonâ€serious adverse eventsâ€¨â€ Sclerotherapy probably results in decrease in further bleeding than no treatmentâ€¨â€ Betaâ€blockers plus sclerotherapy and TIPS probably result in a decrease in further bleeding than sclerotherapy aloneâ€¨â€ Portocaval shunt may result in a decrease in further bleeding than sclerotherapyâ€¨â€ The evidence indicates considerable uncertainty about the effect of the interventions in the remaining comparisonsâ€¨â€ None of the trials reported healthâ€related quality of lifeâ€¨â€ Future wellâ€designed trials are needed to find out the best treatment for people with cirrhosis and previous bleeding from oesophageal varices.</t>
  </si>
  <si>
    <t>Mentions NICE guidance, indicating UK setting</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</si>
  <si>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Â© The Author(s) 2021."</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</si>
  <si>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Â© 2021 by the American Society of Nephrology.</t>
  </si>
  <si>
    <t>- Background People with chronic obstructive pulmonary disease (COPD) show considerable variation in symptoms, limitations, and wellâ€being; this often complicates medical care. A multiâ€disciplinary and multiâ€component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healthâ€related quality of life (QoL), exercise tolerance, and exacerbationâ€related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multiâ€disciplinary (two or more healthcare providers) and multiâ€treatment (two or more components) IDM programmes of at least three months' duration. Data collection and analysis Two review authors independently assessed trial quality and extracted data. If required, we contacted study authors to request additional data. We performed metaâ€analyses using randomâ€effects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metaâ€analysis. Followâ€up periods ranged between 3 and 48 months and were classified as shortâ€term (up to 6 months), mediumâ€term (6 to 15 months), and longâ€term (longer than 15 months) followâ€up.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healthâ€related QoL as measured by St. George's Respiratory Questionnaire (SGRQ) total score at mediumâ€term followâ€up (mean difference (MD) â€3.89, 95% confidence interval (CI) â€6.16 to â€1.63; 18 RCTs, 4321 participants; moderateâ€certainty evidence). A comparable effect was observed at shortâ€term followâ€up (MD â€3.78, 95% CI â€6.29 to â€1.28; 16 RCTs, 1788 participants). However, the common effect did not exceed the minimum clinically important difference (MCID) of 4 points. There was no significant difference between IDM and control for longâ€term followâ€up and for generic QoL. IDM probably also leads to a large improvement in maximum and functional exercise capacity, as measured by sixâ€minute walking distance (6MWD), at mediumâ€term followâ€up (MD 44.69, 95% CI 24.01 to 65.37; 13 studies, 2071 participants; moderateâ€certainty evidence). The effect exceeded the MCID of 35 metres and was even greater at shortâ€term (MD 52.26, 95% CI 32.39 to 72.74; 17 RCTs, 1390 participants) and longâ€term (MD 48.83, 95% CI 16.37 to 80.49; 6 RCTs, 7288 participants) followâ€up. The number of participants with respiratoryâ€related admissions was reduced from 324 per 1000 participants in the control group to 235 per 1000 participants in the IDM group (odds ratio (OR) 0.64, 95% CI 0.50 to 0.81; 15 RCTs, median followâ€up 12 months, 4207 participants; highâ€certainty evidence). Likewise, IDM probably results in a reduction in emergency department (ED) visits (OR 0.69, 95%CI 0.50 to 0.93; 9 RCTs, median followâ€up 12 months, 8791 participants; moderateâ€certainty evidence), a slight reduction in allâ€cause hospital admissions (OR 0.75, 95%CI 0.57 to 0.98; 10 RCT , median followâ€up 12 months, 9030 participants; moderateâ€certainty evidence), and fewer hospital days per person admitted (MD â€2.27, 95% CI â€3.98 to â€0.56; 14 RCTs, median followâ€up 12 months, 3563 participants; moderateâ€certainty evidence). Statistically significant improvement was noted on the Medical Research Council (MRC) Dyspnoea Scale at shortâ€ and mediumâ€term followâ€up but not at longâ€term followâ€up. No differences between groups were reported for mortality, courses of antibiotics/prednisolone, dyspnoea, and depression and anxiety scores. Subgroup analysis of dominant intervention components and regions of study suggested contextâ€ and interventionâ€specific effects. However, some subgroup analyses were marked by considerable heterogeneity or included few studies. These results should therefore be interpreted with caution. Authors' conclusions This review shows that IDM probably results in improvement in diseaseâ€specific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processâ€related outcomes, longâ€term followâ€up, and costâ€effectiveness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upâ€toâ€date as of February 2021.</t>
  </si>
  <si>
    <t>Mentions United Kingdom and discusses UK-specific data.</t>
  </si>
  <si>
    <t>Study uses NHS data, indicating a UK setting.</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</si>
  <si>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Â© 2021, The Author(s).</t>
  </si>
  <si>
    <t>Study involves NHS and UK rehabilitation services.</t>
  </si>
  <si>
    <t>Intermittent catheter techniques, strategies and designs for managing longâ€term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</si>
  <si>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costâ€effectiveness. This is an update of a Cochrane Review first published in 2007. Objectives To assess the clinical and costâ€effectiveness of different catheterisation techniques, strategies and catheter designs, and their impact, on UTI and other complications, and measures of satisfaction/quality of life among adults and children whose longâ€term bladder condition is managed by intermittent catheterisation. Search methods We searched the Cochrane Incontinence Specialised Register, which contains trials identified from the Cochrane Central Register of Controlled Trials (CENTRAL), MEDLINE, MEDLINE Inâ€Process,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crossâ€over trials. Most were small (fewer than 60 participants completed), although three trials had more than 100 participants. Length of followâ€up ranged from one month to 12 months and there was considerable variation in definitions of UTI. Most of the data from crossâ€over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Singleâ€use (sterile) catheter versus multipleâ€use (clean) We are uncertain if there is any difference between singleâ€use and multipleâ€use catheters in terms of the risk of symptomatic UTI because the certainty of evidence is low and the 95% CI is consistent with possible benefit and possible harm (RR 0.98, 95% CI 0.55, 1.74; two studies; 97 participants). One study comparing singleâ€use catheters to multipleâ€use catheters reported zero adverse events in either group; no other adverse event data were reported for this comparison. We identified no data for participant satisfaction or preference. Hydrophilicâ€coated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hydrophilicâ€coated catheters (RR 1.37, 95% CI 1.01 to 1.87; moderateâ€certainty evidence). The evidence is uncertain if hydrophilicâ€coated catheters compared with uncoated catheters has any effect on participant satisfaction measured on a 0â€10 scale (MD 0.7 higher, 95% CI 0.19 to 1.21; very lowâ€certainty evidence; one study; 114 participants). Due to the paucity of data, we could not assess the certainty of evidence relating to participant preference (one crossâ€over trial of 29 participants reported greater preference for a hydrophilicâ€coated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multipleâ€use (clean) catheters, coated or uncoated catheters or different catheter lengths. The current research evidence is uncertain and design and reporting issues are significant. More wellâ€designed trials are needed. Such trials should include analysis of costâ€effectiveness because there are likely to be substantial differences associated with the use of different catheterisation techniques and strategies, and catheter designs. Plain language summary Intermittent catheter techniques, strategies and catheter designs for managing longâ€term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â€˜aseptic techniqueâ€™ is used in healthcare settings, with specially packaged sterile equipment (gloves, lubricant and catheter) and a technique that avoids the catheter coming into contact with anything nonâ€sterile (including hands, equipment and surfaces) before it is inserted. People inserting their own catheters use a â€˜cleanâ€™ technique, where the environment is kept as clean as possible and a sterile or clean (multipleâ€use) catheter is used without the need for gloves. Strategies: Singleâ€use versus multipleâ€use There are two types of catheter use: singleâ€use and multipleâ€use. Reâ€use of catheters means that the catheter is cleaned and reâ€used a varying number of times (e.g. for up to 24 hours or for one week/month). Design: Uncoated versus hydrophilicâ€coated Uncoated catheters are typically clear PVC and packed individually in sterile packaging. They may be supplied preâ€lubricated, or used with a separate lubricant or water to aid insertion Hydrophilicâ€coated catheters have a slippery coating and either are supplied ready to use, or require the addition of water. Design: Shorter versus standard length Catheters come in varying sizes and lengths to suit men, women and children, and people's different needs. How upâ€toâ€date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Singleâ€use (sterile) catheter versus multipleâ€use (clean) We are uncertain if there is any difference between singleâ€use and multipleâ€use catheters in the risk of symptomatic UTI because the certainty of evidence is low. One study comparing these interventions reported zero adverse events in either group and no other adverse event data were reported. Hydrophilicâ€coated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wellâ€designed trials are needed. Such trials should include analysis of costâ€effectiveness because there are likely to be substantial differences associated with the use of different catheter designs, catheterisation techniques and strategies.</t>
  </si>
  <si>
    <t>Study conducted in a UK ambulance service.</t>
  </si>
  <si>
    <t>Environmental enrichment for stroke and other nonâ€progressive brain injury</t>
  </si>
  <si>
    <t>- Background Rehabilitation is effective for recovery after stroke and other nonâ€progressive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wellâ€being, functional recovery, activity levels and quality of life in people who have stroke or nonâ€progressive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nonâ€RCTs and two described coâ€interventions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costâ€effectiveness, and safety of the intervention in people following stroke or other nonâ€progressive brain injuries. It should be noted, however, that it is challenging to randomise or doubleâ€blind trials of environmental enrichment given the nature of the intervention. Plain language summary Treatment using environmental enrichment for supporting rehabilitation following stroke and other brain injuries which do not get worse over time (nonâ€progressive brain injury) Background Rehabilitation helps with recovery after stroke and other nonâ€progressive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â€¨We wanted to find out whether treatment with environmental enrichment is better or worse than alternatives. Search date â€¨The evidence is current to 26 October 2020. Study characteristics â€¨Population: we planned to include studies in which participants were adults who had had a stroke or a nonâ€progressive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wellâ€being (anxiety, depression, stress) and coping. Secondary outcomes focused on quality of life, physical function, communication and cognitive function, and activity levels. We also planned to report adverse events. Key results â€¨We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wellâ€being and coping. We were uncertain of the results because the trial was very small and highly prone to bias. Conclusion â€¨The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costâ€effective, and if it is safe for people following stroke or other nonâ€progressive brain injuries.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</si>
  <si>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lipidâ€lowering therapy. However, the majority of patients in the UK and worldwide remain undiagnosed. Established diagnostic criteria in current clinical practice are the Simonâ€Broome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clusterâ€RCTs and nonâ€randomised studies of interventions (NRSI). Eligible NRSI were nonâ€randomised controlled trials, prospective cohort studies, controlled beforeâ€andâ€after studies, and interruptedâ€timeâ€series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beforeâ€andâ€after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cholesterolâ€lowering tablets markedly reduces this risk. As well as raised cholesterol in the blood, family history of heart disease and the presence of fatty lumps under the skin could indicate familial hypercholesterolaemia. It is important that communityâ€based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2021.â€¨â€¨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Betterâ€designed studies, with diagnosis of definite familial hypercholesterolaemia confirmed by genetic tests, are needed to clearly answer this question.</t>
  </si>
  <si>
    <t>Mentions UK in context of undiagnosed patients.</t>
  </si>
  <si>
    <t>Study applied to UK setting, references NHS and NICE.</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</si>
  <si>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</si>
  <si>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Â©</t>
  </si>
  <si>
    <t>Study conducted in England with NHS involvement</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</si>
  <si>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Â© 2021, The Author(s).</t>
  </si>
  <si>
    <t>Study conducted in Northern Ireland, part of the UK.</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</si>
  <si>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'Coâ€operative Study of Sickle Cell Disease' observed an incidence rate for pneumococcal septicaemia of 10 per 100 personâ€years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drugâ€related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Covidâ€19 pandemic). Additionally, we carried out hand searching of relevant journals and abstract books of conference proceedings. Date of the most recent search: 25 January 2021. Selection criteria All randomised or quasiâ€randomised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(lowâ€certainty evidence), while for withdrawal the odds ratio was 0.49 (95% confidence interval 0.09 to 2.71) (one trial, 400 children) (lowâ€certainty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followâ€on trial did not show a significant increase in risk when regular penicillin was halted at five years old. Further research is needed to look at how commonly bacteria develop that are resistant to treatment and how clinically important this is.</t>
  </si>
  <si>
    <t>Study conducted in USA and Jamaica, not UK.</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</si>
  <si>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Â© 2021 The Author(s). Published by Informa UK Limited, trading as Taylor &amp; Francis Group.</t>
  </si>
  <si>
    <t>Study conducted in England with NHS perspective</t>
  </si>
  <si>
    <t>Introduction Barrettâ€™s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</si>
  <si>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Study conducted in UK NHS hospitals.</t>
  </si>
  <si>
    <t>Chronic nonâ€invasive ventilation for chronic obstructive pulmonary disease</t>
  </si>
  <si>
    <t>- Background Chronic nonâ€invasive ventilation (NIV) is increasingly being used to treat people with COPD who have respiratory failure, but the evidence supporting this treatment has been conflicting. Objectives To assess the effects of chronic nonâ€invasive ventilation at home via a facial mask in people with COPD, using a pooled analysis of IPD and metaâ€analysis.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healthâ€related quality of life (HRQL), exercise capacity (stable COPD) and admissionâ€free survival (postâ€exacerbation COPD). Secondary outcomes for both populations were: lung function, COPD exacerbations and admissions, and allâ€cause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timeâ€toâ€event data using linearâ€ and coxâ€regression mixedâ€effect models with a random effect on study level. We analysed dichotomous IPD using generalised estimating equations. We adjusted all models for age and sex. We assessed changes in outcomes after three and 12 months. We also conducted a metaâ€analysis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moderateâ€certainty evidence), but there was little to no benefit at 12 months (AMD 0.09 kPa, 95% CI â€0.23 to 0.42; 3 studies, 171 participants; lowâ€certainty evidence). The arterial partial pressure of carbon dioxide (PaCO 2 ) was reduced in participants allocated to NIV after three months (AMD â€0.61 kPa, 95% CI â€0.77 to â€0.45; 11 studies, 475 participants; highâ€certainty evidence) and persisted up to 12 months (AMD â€0.42 kPa, 95% CI â€0.68 to â€0.16; 4 studies, 232 participants; highâ€certainty evidence). Exercise capacity was measured with the 6â€minute walking distance (minimal clinical important difference: 26 m). There was no clinically relevant effect of NIV on exercise capacity ( 3 months: AMD 15.5 m, 95% CI â€0.8 to 31.7; 8 studies, 330 participants; lowâ€certainty evidence; 12 months: AMD 26.4 m, 95% CI â€7.6 to 60.5; 3 studies, 134 participants; very lowâ€certainty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lowâ€certainty evidence; 12 months: SMD 0.15, 95% CI â€0.13 to 0.43; 4 studies, 200 participants; very lowâ€certainty evidence). Lastly, the risk for allâ€cause mortality is likely reduced by NIV (adjusted hazard ratio (AHR) 0.75, 95% CI 0.58 to 0.97; 3 studies, 405 participants; moderateâ€certainty evidence). In the postâ€exacerbation COPD group, there was little to no benefit on the PaO 2 after three months, but there may be a slight decrease after 12 months ( 3 months: AMD â€0.10 kPa, 95% CI â€0.65 to 0.45; 3 studies, 234 participants; lowâ€certainty evidence; 12 months: â€0.27 kPa, 95% CI â€0.86 to 0.32, 3 studies; 170 participants; lowâ€certainty evidence). The PaCO 2 was reduced by NIV at both three months (AMD â€0.40 kPa, 95% CI â€0.70 to â€0.09; 3 studies, 241 participants; moderateâ€certainty evidence) and 12 months (AMD â€0.52 kPa, 95% CI â€0.87 to â€0.18; 3 studies, 175 participants; highâ€certainty evidence). NIV may have little to no benefit on HRQL ( 3 months: SMD 0.25, 95% CI â€0.01 to 0.51; 2 studies, 219 participants; very lowâ€certainty evidence; 12 months: SMD 0.25, 95% â€0.06 to 0.55; 2 studies, 164 participants; very lowâ€certainty evidence). Admissionâ€free survival seems improved with NIV (AHR 0.71, 95% CI 0.54 to 0.94; 2 studies, 317 participants; lowâ€certainty evidence), but the risk for allâ€cause mortality does not seem to improve (AHR 0.97, 95% CI 0.74 to 1.28; 2 studies, 317 participants; lowâ€certainty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Nonâ€invasive ventilation (ventilators) used at night by people with chronic obstructive pulmonary disease (COPD) Background: Nonâ€invasive ventilation (NIV) is a method to assist or replace spontaneous breathing (or normal breathing) with the aid of a machine called a ventilator, using a mask fitted over the nose or both the nose and mouth. NIV can be used chronically (longâ€term)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(postâ€exacerbation COPD). All studies included men and women. For our analyses, we used data from 778 people with stable COPD and 364 people with postâ€exacerbation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</si>
  <si>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Study focuses on the UK setting for reimbursement analysis.</t>
  </si>
  <si>
    <t>Study is conducted in the UK as part of the UK PARTNERS2 programme.</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</si>
  <si>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Â© 2021, The Author(s).</t>
  </si>
  <si>
    <t>Mentions UK-specific challenges in data systems.</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</si>
  <si>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quasiâ€randomised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lowerâ€quality sources of evidence. In a future update of this review, we plan to appraise and incorporate eligible randomised controlled trials, as well as other highâ€quality, nonâ€randomised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oneâ€third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betterâ€conducted observational studies. This is an update of a previously published Cochrane Review.</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</si>
  <si>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lowâ€quality evidence). The rate of ipsilateral stroke under both types of anaesthesia was 3.1% (Peto OR 1.03, 95% CI 0.71 to 1.48; P = 0.89; 2 studies, 3733 participants; lowâ€quality evidence). The incidence of stroke or death in the local anaesthesia group was 3.5%, while stroke or death incidence was 4.1% in the general anaesthesia group (Peto OR 0.85, 95% CI 0.62 to 1.16; P = 0.31; 11 studies, 4391 participants; lowâ€quality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highâ€quality studies are still needed as the evidence is of limited reliability. Plain language summary Is local or general anaesthesia better during surgery to widen the main blood vessel to the brain when it becomes narrowed (carotid endarterectomy)? Key messages â€ Current evidence does not show any clear difference between local anaesthesia (where the patient remains awake) and general anaesthesia for the risk of stroke, death, or other unwanted effects for people having surgery to widen a narrowed carotid artery (carotid endarterectomy). 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â€“ carotid endarterectomy â€“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â€ lowers the risk of stroke and death around the time of the operation;â€¨â€ lowers the rate of other unwanted effects; andâ€¨â€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</si>
  <si>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Â© 2021 Reynolds et al.</t>
  </si>
  <si>
    <t>Study focuses on lipid management in the UK with references to NICE and SIGN guidelines.</t>
  </si>
  <si>
    <t>Study conducted in NHS Fife, Scotland.</t>
  </si>
  <si>
    <t>Mentions UK Recovery Trial, suggesting UK relevance</t>
  </si>
  <si>
    <t>Intravenous thrombolytic treatment and endovascular thrombectomy for ischaemic wakeâ€up stroke</t>
  </si>
  <si>
    <t>- Background About one in five strokes occur during sleep (wakeâ€up stroke). People with wakeâ€up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followâ€up was observed in 66% of participants randomised to thrombolytic treatment and 58% of participants randomised to control (risk ratio (RR) 1.13, 95% confidence interval (CI) 1.01 to 1.26; P = 0.03; 763 participants, 5 RCTs; highâ€certainty evidence). Seven per cent of participants randomised to intravenous thrombolytic treatment and 10% of participants randomised to control had died at 90 days followâ€up (RR 0.68, 95% CI 0.43 to 1.07; P = 0.09; 763 participants, 5 RCTs; highâ€certainty evidence). Symptomatic intracranial haemorrhage occurred in 3% of participants randomised to intravenous thrombolytic treatment and 1% of participants randomised to control (RR 3.47, 95% CI 0.98 to 12.26; P = 0.05; 754 participants, 4 RCTs; highâ€certainty evidence). For endovascular thrombectomy of large vessel occlusion, good functional outcome at 90 days followâ€up was observed in 46% of participants randomised to endovascular thrombectomy and 9% of participants randomised to control (RR 5.12, 95% CI 2.57 to 10.17; P &lt; 0.001; 205 participants, 2 RCTs; highâ€certainty evidence). Twentyâ€two per cent of participants randomised to endovascular thrombectomy and 33% of participants randomised to control had died at 90 days followâ€up (RR 0.68, 95% CI 0.43 to 1.07; P = 0.10; 205 participants, 2 RCTs; highâ€certainty evidence). Authors' conclusions In selected patients with acute ischaemic wakeâ€up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clotâ€dissolving drugs (thrombolysis) or mechanical devices to remove blood clots (thrombectomy) may improve recovery after ischaemic stroke if blood flow is rapidly restored. About one in five strokes occur during sleep (wakeâ€up stroke). People with wakeâ€up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wakeâ€up stroke participants were randomised to intravenous thrombolytic treatment or to control (either placebo (dummy treatment) or standard medical treatment alone). Two trials with 205 wakeâ€up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</si>
  <si>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</si>
  <si>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metaâ€analysis with OpenBUGS software, using Bayesian methods, and calculated the differences in treatments using odds ratios (OR) and rate ratios with 95% credible intervals (CrI) based on an availableâ€case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followâ€up periods, which ranged from three days to six weeks. Based on moderateâ€certainty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healthâ€related quality of life. Based on lowâ€certainty evidence, a higher proportion of people receiving balloon tamponade plus sclerotherapy had more serious adverse events than those receiving only sclerotherapy (OR 4.23, 95% CrI 1.22 to 17.80; direct estimate; 1 RCT; 60 participants). Based on moderateâ€certainty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moderateâ€certainty evidence, somatostatin analogues alone and vasopressin analogues alone (with supportive therapy) probably result in increased mortality, compared to endoscopic sclerotherapy. Based on moderateâ€certainty evidence, vasopressin analogues alone and band ligation alone probably result in fewer adverse events compared to endoscopic sclerotherapy. Based on lowâ€certainty evidence, balloon tamponade plus sclerotherapy may result in large increases in serious adverse events compared to sclerotherapy. Based on lowâ€certainty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â€¨To find out the best available treatment for bleeding from oesophageal varices (enlarged veins in the oesophagus) in people with advanced scarring of the liver (liver cirrhosis, or lateâ€stage scarring of the liver with complications). Bleeding from oesophageal varices in people with cirrhosis is a lifeâ€threatening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metaâ€analysis'). Date of literature search â€¨17 December 2019 What was studied in the review? 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nonâ€serious adverse events (i.e. serious and nonâ€serious complications), recurrence of bleeding, and development of other complications of advanced liver disease. What were the main results of the review? â€¨The 52 trials included a small number of participants (4580 participants). Fortyâ€eight trials with 4042 participants provided data for analyses. The followâ€up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ï¿½ï¿½ï¿½ None of the studies were conducted without flaws, and because of this, there is moderate to very high uncertainty in the findings.â€¨â€ Approximately one in six people with cirrhosis and bleeding oesophageal varices who received the standard treatment of sclerotherapy died within six weeks.â€¨â€ Somatostatin analogues alone and vasopressin analogues alone probably result in increased mortality, compared to sclerotherapy.â€¨â€ Vasopressin analogues alone and band ligation alone probably result in fewer adverse events (complications), compared to sclerotherapy.â€¨â€ Balloon tamponade plus sclerotherapy may result in large increase in serious adverse events compared to sclerotherapy.â€¨â€ Sclerotherapy plus somatostatin analogues may result in large decrease in symptomatic rebleed compared to sclerotherapy.â€¨â€ The evidence indicates considerable uncertainty about the effect of the interventions in the remaining comparisons.â€¨â€ None of the trials reported healthâ€related quality of life.â€¨â€ Future wellâ€designed randomised clinical trials are needed to find out the best treatment for people with cirrhosis and bleeding oesophageal varices.</t>
  </si>
  <si>
    <t>Mentions NICE guidance, suggesting UK setting.</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</si>
  <si>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Â© 2021 Roberts et al.</t>
  </si>
  <si>
    <t>Study includes a UK NHS perspective in cost-effectiveness analysis.</t>
  </si>
  <si>
    <t>Study coordinated from London School of Hygiene &amp; Tropical Medicine</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</si>
  <si>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Â© Author(s) (or their employer(s)) 2021. Re-use permitted under CC BY. Published by BMJ.</t>
  </si>
  <si>
    <t>Study approved by NHS Wales REC, indicating UK setting.</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</si>
  <si>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â€ being both engaging and relatively inexpensive â€ could provide a much more costâ€effective addâ€on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schizophreniaâ€like illnesses. Search methods We searched the Cochrane Schizophrenia Group's Studyâ€Based Register of Trials (March 2017, August 2018, August 2019). Selection criteria Randomised controlled trials focusing on video games for people with schizophrenia or schizophreniaâ€like illnesses. Data collection and analysis Review authors extracted data independently. For binary outcomes we calculated risk ratio (RR) with its 95% confidence interval (CI) on an intentionâ€toâ€treat basis. For continuous data we calculated the mean difference (MD) between groups and its CI. We employed a fixedâ€effect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effects.â€¨â€¨We found no clear difference between nonâ€exergames and cognitive remediation in general functioning scores (Strauss Carpenter Outcome Scale) (MD 0.42, 95% CI âˆ’0.62 to 1.46; participants = 86; studies = 1, very lowâ€ quality evidence ) or social functioning scores (Specific Levels of Functioning Scale) (MD âˆ’3.13, 95% CI â€40.17 to 33.91; participants = 53; studies = 1, very lowâ€ quality evidence ). There was a clear difference favouring cognitive remediation for cognitive functioning (improved on at least one domain of MATRICS Consensus Cognitive Battery Test) (RR 0.58, 95% CI 0.34 to 0.99; participants = 42; studies = 1, lowâ€ quality evidence ). For mental state, Positive and Negative Syndrome Scale (PANSS) overall scores showed no clear difference between treatment groups (MD 0.20, 95% CI âˆ’3.89 to 4.28; participants = 269; studies = 4, lowâ€ quality evidence ). Quality of life ratings (Quality of Life Scale) similarly showed no clear intergroup difference (MD 0.01, 95% CI âˆ’0.40 to 0.42; participants = 87; studies = 1, very lowâ€ quality evidence) . Adverse effects were not reported; we chose leaving the study early as a proxy measure. The attrition rate by end of treatment was similar between treatment groups (RR 0.96, 95% CI 0.87 to 1.06; participants = 395; studies = 5, lowâ€ quality evidence ).â€¨â€¨One small trial compared exergames with standard care, but few outcomes were reported . No clear difference between interventions was seen for cognitive functioning (measured by MATRICS Consensus Cognitive Battery Test) (MD 2.90, 95% CI â€1.27 to 7.07; participants = 33; studies = 1, lowâ€ quality evidence) , however a benefit in favour of exergames was found for average change in physical fitness (aerobic fitness) (MD 3.82, 95% CI 1.75 to 5.89; participants = 33; studies = 1, lowâ€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nonâ€exergames. Only one of our main outcomes was reported â€ physical fitness, which was measured by average time taken to walk 3 metres. No clear intergroup difference was identified at sixâ€week followâ€up (MD âˆ’0.50, 95% CI âˆ’1.17 to 0.17; participants = 28; studies = 1, very lowâ€ quality evidence) . No trials reported adverse effects. We chose leaving the study early as a proxy outcome. Authors' conclusions Our results suggest that nonâ€exergames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â€ or harm 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highâ€quality evidence is available. There are ongoing studies that may provide helpful data in the near future. Plain language summary Video games for schizophrenia Review question Are video games an effective treatment (on their own or as an addâ€on) for improving the wellâ€being and functioning of people with schizophrenia or schizoaffective disorder? Background Schizophrenia is a severe mental illness that affects people worldwide. People with schizophrenia often have a distorted view of reality â€ perceiving things that are not present (hallucinations) and believing things that are not true (delusions). People with schizophrenia may struggle to motivate themselves, experience anxiety and depression, and encounter cognitive symptoms, often struggling to stay focused on dayâ€toâ€day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('nonâ€exergames'). Nonâ€exergame trials compared the video game intervention to a form of brainâ€training" therapy known as cognitive remediation. One trial compared exergames to standard care, and another compared nonâ€exergames with exergames. All interventions in the included trials were given in addition to standard care. The currently available evidence suggests that nonâ€exergames may not be as beneficial for cognitive functioning as cognitive remediation, but there were no other clear differences between nonâ€exergames and cognitive remediation for improving functioning in people with schizophrenia. The more exerciseâ€orientated video games may have some benefit compared to standard care for improving physical fitness. We cannot draw any firm conclusions regarding the effects of video games until higherâ€quality evidence is available."</t>
  </si>
  <si>
    <t>Mentions NHS and UK-specific standards</t>
  </si>
  <si>
    <t>Effect of testing for cancer on cancerâ€ or venous thromboembolism (VTE)â€related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</si>
  <si>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cancerâ€related mortality and morbidity. This is the third update of the review first published in 2015. Objectives To determine whether testing for undiagnosed cancer in people with a first episode of unprovoked VTE (DVT of the lower limb or PE) is effective in reducing cancerâ€ or VTEâ€related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allâ€cause mortality, cancerâ€related mortality and VTEâ€related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cancerâ€related mortality (odds ratio (OR) 0.49, 95% confidence interval (CI) 0.15 to 1.67; 396 participants; 2 studies; lowâ€certainty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lowâ€certainty evidence). There was no clear difference in detection of advanced stages between extensive tests versus tests at the physician's discretion: one participant in the extensively tested group had stage T3 compared with four participants in the control group</t>
  </si>
  <si>
    <t>Study conducted in NHS Scotland, a UK setting.</t>
  </si>
  <si>
    <t>A pilot to support â€˜New Ways of Workingâ€™ for</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</si>
  <si>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Â© 2020 American Journal of Preventive Medicine</t>
  </si>
  <si>
    <t>Includes UK as a study site.</t>
  </si>
  <si>
    <t>Study conducted in NHS trusts in England.</t>
  </si>
  <si>
    <t>Primary prevention of variceal bleeding in people with oesophageal varices due to liver cirrhosis: a network metaâ€analysis</t>
  </si>
  <si>
    <t>- Background Approximately 40% to 95% of people with cirrhosis have oesophageal varices. About 15% to 20% of oesophageal varices bleed in about one to three years. There are several different treatments to prevent bleeding, including: betaâ€blockers,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metaâ€analysis with OpenBUGS using Bayesian methods and calculated the differences in treatments using hazard ratios (HR), odds ratios (OR), and rate ratios with 95% credible intervals (CrI) based on an availableâ€case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followâ€up in the trials that reported outcomes ranged from 6 months to 60 months. All but one of the trials were at high risk of bias. The interventions compared included betaâ€blockers, no active intervention, variceal band ligation, sclerotherapy, betaâ€blockers plus variceal band ligation, betaâ€blockers plus nitrates, nitrates, betaâ€blockers plus sclerotherapy, and portocaval shunt. Overall, 21.2% of participants who received nonâ€selective betaâ€blockers ('betaâ€blockers') âˆ’ the reference treatment (chosen because this was the most common treatment compared in the trials) âˆ’ died during 8â€month to 60â€month followâ€up. Based on lowâ€certainty evidence, betaâ€blockers, variceal band ligation, sclerotherapy, and betaâ€blockers plus nitrates all had lower mortality versus no active intervention (betaâ€blockers: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betaâ€blockers plus nitrates: HR 0.41, 95% CrI 0.20 to 0.85; no direct comparison). No trials reported healthâ€related quality of life. Based on lowâ€certainty evidence, variceal band ligation had a higher number of serious adverse events (number of events) than betaâ€blockers (rate ratio 10.49, 95% CrI 2.83 to 60.64; 1 trial, 168 participants). Based on lowâ€certainty evidence, betaâ€blockers plus nitrates had a higher number of 'any adverse events (number of participants)' than betaâ€blockers alone (OR 3.4 , 95% CrI 1.11 to 11.28; 1 trial, 57 participants). Based on lowâ€certainty evidence, adverse events (number of events) were higher in sclerotherapy than in betaâ€blockers (rate ratio 2.49, 95% CrI 1.53 to 4.22; direct comparison rate ratio 2.47, 95% CrI 1.27 to 5.06; 2 trials, 90 participants), and in betaâ€blockers plus variceal band ligation than in betaâ€blockers (direct comparison rate ratio 1.72, 95% CrI 1.08 to 2.76; 1 trial, 140 participants). Based on lowâ€certainty evidence, any variceal bleed was lower in betaâ€blockers plus variceal band ligation than in betaâ€blockers (direct comparison HR 0.21, 95% CrI 0.04 to 0.71; 1 trial, 173 participants). Based on lowâ€certainty evidence, any variceal bleed was higher in nitrates than betaâ€blockers (direct comparison HR 6.40, 95% CrI 1.58 to 47.42; 1 trial, 52 participants). The evidence indicates considerable uncertainty about the effect of the interventions in the remaining comparisons. Authors' conclusions Based on lowâ€certainty evidence, betaâ€blockers, variceal band ligation, sclerotherapy, and betaâ€blockers plus nitrates may decrease mortality compared to no intervention in people with highâ€risk oesophageal varices in people with cirrhosis and no previous history of bleeding. Based on lowâ€certainty evidence, variceal band ligation may result in a higher number of serious adverse events than betaâ€blockers. The evidence indicates considerable uncertainty about the effect of betaâ€blockers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'nonâ€selective betaâ€blockers' or simply 'betaâ€blockers'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followâ€up), quality of life, serious and nonâ€serious side effects, percentage of people who developed bleeding, and development of other complications of advanced liver disease.â€¨â€¨ What were the main results of the review? The 66 studies included a relatively small number of participants (6653 people). Sixty studies with 6212 participants provided data for analyses. The followâ€up of the trial ranged from six months to five years in studies that reported the outcomes that we were interested in. The review found the following:â€¨â€“ Approximately one in five people with cirrhosis and oesophageal varices (without previous bleeding) who receive the betaâ€blockers died within five years.â€¨â€“ Betaâ€blockers, variceal band ligation, sclerotherapy, and betaâ€blockers plus nitrates all may result in fewer deaths than no treatment.â€¨â€“ Variceal band ligation may result in a higher number of serious side effects than betaâ€blockers.â€¨â€“ Sclerotherapy, betaâ€blockers plus nitrates, and betaâ€blockers plus variceal band ligation may result in more side effects (when serious and nonâ€serious adverse events were put together) than betaâ€blockers.â€¨â€“ Betaâ€blockers plus variceal band ligation may result in fewer people who develop bleeding than betaâ€blockers alone based on a single small trial.â€¨â€“ Nitrates alone may result in more people who develop bleeding than betaâ€blockers alone.â€¨â€“ The evidence indicates considerable uncertainty about the effect of the interventions in the remaining comparisons.â€¨â€“ None of the trials reported healthâ€related quality of life. What are our conclusions? Betaâ€blockers, variceal band ligation, sclerotherapy, and betaâ€blockers plus nitrates may decrease the death rate compared to no treatment in people with highâ€risk oesophageal varices in people with cirrhosis and no history of bleeding. Variceal band ligation may result in a higher number of serious side effects than betaâ€blockers. The evidence indicates considerable uncertainty about the effect of betaâ€blockers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</si>
  <si>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Medical abortion offered in pharmacy versus clinicâ€based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</si>
  <si>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clinicâ€based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postâ€abortion care in either a clinic or pharmacy setting. Studies published in any language employing the following designs were included: randomized trials and nonâ€randomized studies including a comparative group. Data collection and analysis Two review authors independently reviewed both retrieved abstracts and fullâ€text publications. A third author was consulted in case of disagreement. We intended to use the Cochrane risk of bias tool, RoB 2, for randomized studies and used the ROBINSâ€I tool (Risk Of Bias In Nonâ€randomized Studies of Interventions) to assess risk of bias in nonâ€randomized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fullâ€text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preâ€intervention period, the studyâ€™s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â€0.8 to 3.8; 1 study, 600 participants; low certainty evidence). The study reported no cases of blood transfusion, and a composite outcome, comprised mainly of infection complications, showed there may be little or no difference between settings (adjusted RD 0.8, 95% CI â€1.0 to 2.8; 1 study, 600 participants; very low certainty evidence). The study reported no events for hospital admission for an abortionâ€related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clinicâ€based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postâ€abortion care in either a clinic or pharmacy setting. We included studies published in any language, including the following designs: randomized trials and nonâ€randomized studies that included a comparison group. We read and evaluated all abstracts and fullâ€text articles, and rated our confidence in the evidence, based on factors such as study methods and sizes. What did we find? We found 2030 records. We screened the retrieved abstracts, and applied exclusion criteria. We assessed a total of 89 fullâ€text articles for eligibility. One prospective cohort study met our inclusion criteria. In this study, 605 women in Nepal received medical abortions from the same health care providers (auxiliary nurse midwives) in either a clinic or pharmacyâ€based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abortionâ€related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nonâ€randomized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upâ€toâ€date is this review? The evidence in this Cochrane Review is current to November 2020.</t>
  </si>
  <si>
    <t>Study conducted in Nepal, not UK-based</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</si>
  <si>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Â© 2021 Rodriguez-Sanchez et al.</t>
  </si>
  <si>
    <t>Study focuses on UK pharmaceutical policies and NHS.</t>
  </si>
  <si>
    <t>- Background Inability to communicate in a manner that can be understood causes extreme distress for people requiring an artificial airway and has implications for care quality and patient safety. Options for aided communication include nonâ€vocal, speechâ€generating, and voiceâ€enabling aids. Objectives To assess effectiveness of communication aids for people requiring an artificial airway (endotracheal or tracheostomy tube), defined as the proportion of people able to: use a nonâ€vocal communication aid to communicate at least one symptom, need, or preference; or use a voiceâ€enabling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quasiâ€RCTs, clusterâ€RCTs, controlled nonâ€randomised parallel group, and beforeâ€after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nonâ€vocal communication aids and three voiceâ€enabling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nonâ€vocal aid studies reported our primary outcome. We are uncertain of the effects of early use of a voiceâ€enabling aid compared to routine use on ability to phonate at least one intelligible word (risk ratio (RR) 3.03, 95% confidence interval (CI) 0.18 to 50.08; 2 studies; very lowâ€certainty evidence). Compared to usual care without aids, we are uncertain about effects of a nonâ€vocal aid (communication board) on patient satisfaction (standardised mean difference (SMD) 2.92, 95% CI 1.52 to 4.33; 4 studies; very lowâ€certainty evidence). No studies of nonâ€vocal aids reported quality of life. Lowâ€certainty evidence from two studies suggests early use of a voiceâ€enabling aid may have no effect on quality of life (MD 2.27, 95% CI â€“7.21 to 11.75). Conceptual differences in measures of psychological distress precluded data pooling; however, intervention arm participants reported less distress suggesting there might be benefit, but our certainty in the evidence is very low. Lowâ€certainty evidence suggest voiceâ€enabling aids have little or no effect on ICU length of stay; we were unable to determine effects of nonâ€vocal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lowâ€quality evidence. This means further studies are likely to change our understanding of the effects of communication aids. More studies are needed to understand the effects of communication aids, particularly effects on psychological wellâ€being and people's ability to communicate.</t>
  </si>
  <si>
    <t>Posterior musculofascial reconstruction in roboticâ€assisted laparoscopic prostatectomy for the treatment of clinically localized prostate cancer</t>
  </si>
  <si>
    <t>- Background Delayed recovery of urinary continence is a major adverse effect of roboticâ€assisted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recurrenceâ€free survival (BCRFS). We performed statistical analyses using a randomâ€effects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prostateâ€specific antigen level of 8.15 ng/mL. Primary outcomes Posterior reconstruction RALP (PRâ€RALP)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roboticâ€assisted laparoscopic prostatectomy, or RALP), how does connecting the tissue behind the urethra (soâ€called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</si>
  <si>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Â© 2019 European Association of Urology</t>
  </si>
  <si>
    <t>Study conducted in UK setting with NHS perspective.</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</si>
  <si>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Â© 2021 Research Institute for Gastroenterology and Liver Diseases. All rights reserved.</t>
  </si>
  <si>
    <t>Study conducted in two UK hospitals.</t>
  </si>
  <si>
    <t>Study conducted in UK hospitals</t>
  </si>
  <si>
    <t>Mentions NHS and UK eating disorder services.</t>
  </si>
  <si>
    <t>Study conducted in NHS units across England, Wales, Scotland</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</si>
  <si>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Â© 2025 Ramnarayan et al.</t>
  </si>
  <si>
    <t>Conducted in NHS units across England, Wales, and Scotland</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</si>
  <si>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Â© 2025, Galore Knowledge Publication Pvt. Ltd.. All rights reserved."</t>
  </si>
  <si>
    <t>- Background Cachexia (diseaseâ€related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lowâ€certainty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âˆ’16.10 m, 95% confidence interval (CI) âˆ’79.06 to 46.86; 41 participants); strength (MD 3.80 kg, 95% CI âˆ’3.21 to 10.81; 41 participants); adverse events (risk ratio (RR) 1.36, 95% CI 0.70 to 2.65; 46 participants); body composition (MD 7.89 cm 2 , 95% CI âˆ’10.43 to 26.21; 41 participants); weight (MD 5.89 kg, 95% CI âˆ’1.45 to 13.23; 41 participants); appetite (MD 0.68 points, 95% CI âˆ’0.60 to 1.96; 41 participants); fatigue (MD 0.12, 95% CI âˆ’1.05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âˆ’36.27 to 56.27; 1 study, 56 participants); strength (MD 0.7 kg, 95% CI âˆ’3.75 to 5.15; 1 study, 56 participants); adverse events (RR 0.87, 95% CI 0.38 to 2.02; P = 0.75, I 2 = 0%; 2 studies, 95 participants); body composition (MD âˆ’2.67 kg, 95% CI âˆ’5.89 to 0.54; P = 0.10, I 2 = 0%; 2 studies, 95 participants); weight (MD âˆ’2.47 kg, 95% CI âˆ’7.11 to 2.16; P = 0.30, I 2 = 0%; 2 studies, 95 participants); QoL (standardised me n difference (SMD) âˆ’0.15, 95% CI âˆ’0.55 to 0.26; P = 0.47, I 2 = 0%; 2 studies, 95 participants); appetite (SMD âˆ’0.34, 95% CI âˆ’1.27 to 0.59; P = 0.48, I 2 = 79%; 2 studies, 95 participants); fatigue (MD 6.40 points, 95% CI âˆ’1.10 to 13.90; 1 study, 56 participants); or biochemical markers (MD 9.80 pg/mL, 95% CI âˆ’6.25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âˆ’0.22 to 0.26; P = 0.86, I 2 = 0%; 2 studies, 348 participants); strength (SMD 0.23, 95% CI âˆ’0.81 to 1.27; P = 0.66, I 2 = 0%; 2 studies, 348 participants); adverse events (RR 0.87, 95% CI âˆ’0.43 to 1.73; P = 0.68, I 2 = 45%; 2 studies, 395 participants); body composition (SMD 0.11, 95% CI âˆ’0.28 to 0.50; P = 0.58, I 2 = 74%; 5 studies, 742 participants); body weight (SMD âˆ’0.02, 95% CI âˆ’0.38 to 0.33; P = 0.90, I 2 = 49%; 4 studies, 431 participants); QoL (SMD 0.22, 95% CI âˆ’0.29 to 0.73; P = 0.39, I 2 = 61%; 3 studies, 411 participants); appetite (SMD âˆ’0.09, 95% CI âˆ’0.58 to 0.40; P = 0.72, I 2 = 58%; 2 studies, 395 participants); fatigue (MD âˆ’6.80 points, 95% CI âˆ’12.44 to âˆ’1.17; 1 study, 244 participants); and biochemical markers (SMD 0.11, 95% CI âˆ’0.59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wellâ€powered RCTs with adequate interaction times are needed to assess the effectiveness of multimodal interventions in managing cachexia across chronic illnesses. Plain language summary What are the benefits and risks of using a combination of treatments to manage cachexia (diseaseâ€related wasting)? Key messages: â€¢ We do not know if combinations of two or more treatments (of medication, diet, and exercise) benefit people who have or are at risk of developing cachexia (diseaseâ€related wasting). This is because there are currently not enough robust studies in this area. â€¢ We need future research to increase our confidence in the evidence by conducting better designed and larger studies. What is cachexia? Cachexia is a complex metabolic syndrome that occurs in people with longâ€term illnesses (known as chronic illnesses), such as cancer, HIV/AIDS, chronic kidney disease, heart disease, and chronic obstructive pulmonary disease (COPD). People who have cachexia may: â€¢ lose weight unintentionally;â€¨â€¢ lose muscle;â€¨â€¢ feel tired, weak, or both; â€¨â€¢ lose their appetite. Cachexia affects wellâ€being and can be lifeâ€threatening.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wellâ€being, extend life, or both. What did we want to find out? We wanted to find out if combining at least two treatments (out of diet, exercise, and medication) helped to improve: physical function and strength; muscle loss; weight; wellâ€being;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â€¢ treatment as usual (1 study, 46 people);â€¨â€¢ different combinations of treatments (4 studies, 192 people);â€¨â€¢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</si>
  <si>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No UK setting or reference detected</t>
  </si>
  <si>
    <t>Study includes UK as a site.</t>
  </si>
  <si>
    <t>Nonâ€pharmacological and nonâ€surgical treatments for low back pain in adults: an overview of Cochrane reviews</t>
  </si>
  <si>
    <t>- Background Low back pain (LBP) is a significant public health issue due to its high prevalence and associated disability burden. Clinical practice guidelines recommend nonâ€pharmacological/nonâ€surgical interventions for managing pain and function in people with LBP. Objectives To provide accessible, highâ€quality evidence on the effects of nonâ€pharmacological and nonâ€surgical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nonâ€pharmacological/nonâ€surgical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nonâ€pharmacological/nonâ€surgical interventions compared to placebo/sham or no treatment/usual care at shortâ€term (â‰¤ three months) followâ€up. Placebo/sham comparisons Acute/subacute LBP Compared to placebo, there is probably no difference in function (at oneâ€week followâ€up) for spinal manipulation (standardised mean difference (SMD) â€0.08, 95% confidence interval (CI) â€0.37 to 0.21; 2 trials, 205 participants; moderateâ€certainty evidence). Data for safety were reported only for heated back wrap. Compared to placebo, heated back wrap may result in skin pinkness (6/128 participants versus 1/130; 2 trials; lowâ€certainty evidence). Chronic LBP Compared to sham acupuncture, acupuncture probably provides a small improvement in function (SMD â€0.38, 95% CI â€0.69 to â€0.07; 3 trials, 957 participants; moderateâ€certainty evidence). Compared to sham traction, there is probably no difference in pain intensity for traction (0 to 100 scale, mean difference (MD) â€4, 95% CI â€17.7 to 9.7; 1 trial, 60 participants; moderateâ€certainty evidence). Data for safety were reported only for acupuncture. There may be no difference between acupuncture and sham acupuncture for safety outcomes (risk ratio (RR) 0.68, 95% CI 0.42 to 1.10; I 2 = 0%; 4 trials, 465 participants; lowâ€certainty evidence). No treatment/usual care comparisons Acute/subacute LBP Compared to advice to rest, advice to stay active probably provides a small reduction in pain intensity (SMD â€0.22, 95% CI â€0.02 to â€0.41; 2 trials, 401 participants; moderateâ€certainty evidence). Compared to advice to rest, advice to stay active probably provides a small improvement in function (SMD â€0.29, 95% CI â€0.09 to â€0.49; 2 trials, 400 participants; moderateâ€certainty evidence). Data for safety were reported only for massage. There may be no difference between massage and usual care for safety (risk difference 0, 95% CI â€0.07 to 0.07; 1 trial, 51 participants; lowâ€certainty evidence). Chronic LBP Compared to no treatment, acupuncture probably provides a medium reduction in pain intensity (0 to 100 scale, mean difference (MD) â€10.1, 95% CI â€16.8 to â€3.4; 3 trials, 144 participants; moderateâ€certainty evidence), and a small improvement in function (SMD â€0.39, 95% CI â€0.72 to â€0.06; 3 trials, 144 participants; moderateâ€certainty evidence). Compared to usual care, acupuncture probably provides a small improvement in function (MD 9.4, 95% CI 6.15 to 12.65; 1 trial, 734 participants; moderateâ€certainty evidence). Compared to no treatment/usual care, exercise therapies probably provide a small to medium reduction in pain intens ty (0 to 100 scale, MD â€15.2, 95% CI â€18.3 to â€12.2; 35 trials, 2746 participants; moderateâ€certainty evidence), and probably provide a small improvement in function (0 to 100 scale, MD â€6.8, 95% CI â€8.3 to â€5.3; 38 trials, 2942 participants; moderateâ€certainty evidence). Compared to usual care, multidisciplinary therapies probably provide a medium reduction in pain intensity (SMD â€0.55, 95% CI â€0.83 to â€0.28; 9 trials, 879 participants; moderateâ€certainty evidence), and probably provide a small improvement in function (SMD â€0.41, 95% CI â€0.62 to â€0.19; 9 trials, 939 participants; moderateâ€certainty evidence). Compared to no treatment, psychological therapies using operant approaches probably provide a small reduction in pain intensity (SMD â€0.43, 95% CI â€0.75 to â€0.11; 3 trials, 153 participants; moderateâ€certainty evidence). Compared to usual care, psychological therapies (including progressive muscle relaxation and behavioural approaches) probably provide a small reduction in pain intensity (0 to 100 scale, MD â€5.18, 95% CI â€9.79 to â€0.57; 2 trials, 330 participants; moderateâ€certainty evidence), but there is probably no difference in function (SMD â€0.2, 95% CI â€0.41 to 0.02; 2 trials, 330 participants; moderateâ€certainty evidence). It is uncertain whether there is a difference between nonâ€pharmacological/nonâ€surgical interventions and no treatment/usual care for safety (very lowâ€certainty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nonâ€medicine and nonâ€surgical treatments for nonâ€specific low back pain? Key messages For acute low back pain (pain lasting less than 6 weeks) â€¢ Advice to stay active probably reduces pain and improves function compared to advice to rest in bed. For subacute low back pain (pain lasting from 6 to 12 weeks) â€¢ Multidisciplinary therapies probably reduce pain compared to usual care.â€¨â€¢ Spinal manipulation probably does not improve function compared to placebo (a 'sham' or 'dummy' treatment designed to resemble the actual treatment but lacking active ingredients or the intended therapeutic effect). For chronic low back pain (pain lasting longer than 12 weeks) â€¢ Acupuncture probably reduces pain and improves function compared to placebo and no treatment/usual care.â€¨â€¢ Exercise therapies probably reduce pain and improve function compared to placebo and no treatment/usual care.â€¨â€¢ Traction probably does not reduce pain compared to sham traction.â€¨â€¢ Multidisciplinary therapy probably reduces pain and improves function compared to usual care.â€¨â€¢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â€˜nonâ€specificâ€™ low back pain. Many types of nonâ€medicine and nonâ€surgical treatments are available for people with low back pain of different durations: acute (pain lasting less than 6 weeks), subacute (pain lasting from 6 to 12 weeks) and chronic (pain lasting longer than 12 weeks). There is a need to provide accessible, highâ€quality information on the benefits and safety of nonâ€drug and nonâ€surgical treatments for healthcare professionals and patients to better manage low back pain. What did we want to find out? We wanted to summarise the evidence from Cochrane reviews on the effectiveness and safety of nonâ€medicine and nonâ€surgical treatments for adults with nonâ€specific low back pain. What did we do? 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nonâ€medicine and nonâ€surgical interventions for low back pain. Nonâ€medicine and nonâ€surgical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nonâ€medicine and nonâ€surgical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oneâ€third (10 of 31) of the reviews are more than 15 years old, meaning the evidence they contain is even more dated.</t>
  </si>
  <si>
    <t>Study conducted in London, England with NHS involvement.</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</si>
  <si>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Â© The Author(s) 2025.</t>
  </si>
  <si>
    <t>Study conducted in Europe, not specifically UK</t>
  </si>
  <si>
    <t>- Rationale Postpartum haemorrhage (PPH) is common and potentially lifeâ€threatening.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costâ€effectiveness and safety of prophylactic TXA is required before considering widespread use. This review updates one published in 2015. Objectives To assess the effects of TXA for preventing PPH compared to placebo or no treatment (with or without uterotonic coâ€treatment)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â‰¥ 500 mL and blood loss 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randomâ€effects metaâ€analysis to combine data. We assessed the certainty of the evidence using GRADE. Included studies We included three RCTs with 18,974 participants in total. The trials were conducted in both highâ€ and lowâ€resource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â‰¥ 500 mL (risk ratio (RR) 0.93, 95% confidence interval (CI) 0.81 to 1.06; 2 studies, 18,897 participants; 5 fewer per 1000, 95% CI 15 fewer to 5 more; highâ€certainty evidence). TXA likely results in little to no difference in blood loss â‰¥ 1000 mL (RR 0.86, 95% CI 0.69 to 1.07; 2 studies, 18,897 participants; 3 fewer per 1000, 95% CI 6 fewer to 1 more; moderateâ€certainty evidence). TXA likely results in little to no difference in severe morbidity (RR 0.88, 95% CI 0.69 to 1.12; 1 study, 15,066 participants; 2 fewer per 1000, 95% CI 6 fewer to 2 more; moderateâ€certainty evidence). TXA results in little to no difference in receipt of blood transfusion (RR 1.00, 95% CI 0.95 to 1.06; 3 studies, 18,972 participants; 0 fewer per 1000, 95% CI 10 fewer to 12 more; highâ€certainty evidence). TXA may result in little to no difference in receipt of additional surgical interventions to control PPH (RR 0.63, 95% CI 0.32 to 1.23; 2 studies, 18,972 participants; 1 fewer per 1000, 95% CI 2 fewer to 1 more; lowâ€certainty evidence). In women with anaemia, TXA results in little to no difference in receipt of additional uterotonics (RR 1.02, 95% CI 0.94 to 1.10; 1 study, 15,066 participants; 3 more women per 1000, 95% CI 8 fewer to 24 more; highâ€certainty evidence). In women with no anaemia, TXA results in a slight reduction in receipt of additional uterotonics (RR 0.75, 95% CI 0.61 to 0.92; 1 study, 3891 participants; 24 fewer women per 1000, 95% CI 38 fewer to 8 fewer; highâ€certainty evidence). TXA likely r sults in little to no difference in maternal satisfaction. The evidence is very uncertain about the effect of TXA on maternal death, thromboembolic events, and hysterectomy (very lowâ€certainty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â‰¥ 500 mL and likely makes little to no difference to blood loss 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10.1002/14651858.CD007872â€¨Original review (2010) DOI: 10.1002/14651858.CD007872.pub2â€¨Review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highâ€ and lowâ€resource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</si>
  <si>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Study conducted in UK care homes.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</si>
  <si>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nonâ€randomized trials, controlled beforeâ€after (CBA) studies, and interrupted timeâ€series (ITS) studies comparing (1) standâ€alone clinical pathways with usual care, and (2) clinical pathways as part of a multifaceted intervention with usual care. Data collection and analysis Two authors independently screened all titles, abstracts and fullâ€text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evidenceâ€based implementation process. Main results The update provided 31 additional studies for a total of 58 included studies (24,841 patients and 2027 healthcare professionals). Fortyâ€one (71%) were randomized trials, four (7%) nonâ€randomized trials, four (7%) CBA studies and nine (16%) ITS studies. Fortyâ€nine studies compared standâ€alone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Standâ€alone clinical pathway interventions It is uncertain whether standâ€alone CPWs reduce inhospital mortality (13% v 16%: OR 0.79, 95% CI 0.53 to 1.20; P = 0.27; IÂ² = 65%; 7 randomized trials; n = 4603; lowâ€certainty evidence due to serious imprecision and inconsistency) or mortality (up to 6 months) (4% v 3%: OR 1.37, 95% CI 0.72 to 2.60; P = 0.34; IÂ² = 20%; 3 randomized trials, n = 805; lowâ€certainty evidence due to serious risk of bias and imprecision). Standâ€alone CPWs likely reduce inhospital complications (10% v 17%: OR 0.57, 95% CI 0.41 to 0.80; P = 0.001; IÂ² = 52%; 11 randomized trials, n = 3668; moderateâ€certainty evidence due to serious risk of bias). It is very uncertain whether standâ€alone CPWs reduce hospital readmissions (up to 6 months) (9% v 13%: OR 0.67, 95% CI 0.44 to 1.03; P = 0.07; IÂ² = 11%; 9 randomized trials, n = 1578; very lowâ€certainty evidence due to serious risk of bias and very serious imprecision). Standâ€alone CPWs likely reduce the length of hospital stay compared to usual care (MD â€1.12 days, 95% CI â€1.60 to â€0.65; P &lt; 0.00001; IÂ² = 64%; 21 studies; n = 5201; moderateâ€certainty evidence due to serious inconsistency). Costs and charges were generally lower in CPWs as indicated by negative MDs in nine studies (10 studies, n = 2113, data not pooled; very lowâ€certainty evidence due to serious indirectness and very serious inconsistency). Standâ€alone CPWs may slightly increase adherence to recommended practice compared with usual care (3 randomized studies, n = 573; data not pooled; lowâ€certainty evidence due to serious risk of bias and serious inconsistency). Multifaceted clinical pathway interventions It is uncertain whether multifaceted CPWs reduce inhospital mor ality (2 randomized studies, n = 6304, data not pooled; lowâ€certainty evidence due to very serious inconsistency). Multifaceted CPWs may make little or no difference to mortality (up to 6 months) (9% v 8%: OR 1.05, 95% CI 0.88 to 1.25; P = 0.61; IÂ² = 0%; 3 randomized studies; n = 6531; lowâ€certainty evidence due to serious imprecision and serious risk of bias). It is uncertain whether multifaceted CPWs reduce inhospital complications (9% v 23%: OR 0.32, 95% CI 0.12 to 0.87; 1 study, n = 140; lowâ€certainty evidence due to very serious imprecision). It is uncertain whether multifaceted CPWs reduce hospital readmission (up to 6 months) (2 randomized studies, n =1569, data not pooled; lowâ€certainty evidence due to very serious inconsistency), or length of stay (4 randomized studies, n = 1936, data not pooled; lowâ€certainty evidence due to very serious inconsistency), or hospital costs and charges (4 randomized studies, n = 2015, data not pooled; very lowâ€certainty evidence due to very serious imprecision and serious indirectness in outcome measures). It is uncertain whether multifaceted CPWs increase adherence to recommended practice (2 randomized studies, n = 6304, data not pooled, lowâ€certainty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extendedâ€stay facilities (10%). The most common clinical conditions were asthma (16%), stroke (10%), mechanical ventilation (9%) and myocardial infarction (7%). Authors' conclusions Standâ€alone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highâ€quality studies that report on implementation strategies used during the pathway development and implementation. What was studied in the review? Decisionâ€making in hospitals h s evolved from being opinionâ€based to being based on sound scientific evidence (i.e. evidenceâ€based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clusterâ€randomized studies, nonâ€randomized studies, controlled beforeâ€after studies (CBA), and interrupted timeâ€series studies (ITS). In individual randomized trials, study participants were allocated to the CPW or usual care group by chance, called random allocation. Clusterâ€randomized trials divided all study participants into smaller groups known as clusters. These clusters were then allocated by chance to the CPW or usual care group. For nonâ€randomized trials, participants were allocated to different groups by investigators in a quasiâ€random fashion. Quasiâ€random allocation means that study participants were allocated to the CPW or usual care group based on criteria such as their date of birth or the day of the week. CBA studies are experimental studies without a random or quasiâ€random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standâ€alone clinical pathway has any effect on inâ€hospital mortality and mortality (up to 6 months) (low certainty). Standâ€alone CPWs are likely to reduce inhospital complications (moderate certainty) but it is very uncertain if they make any difference to hospital readmissions (up to 6 months) (very low certainty). Standâ€alone CPWs are likely to reduce length of hospital stay (moderate certainty). Costs and charges were generally lower in CPWs in nine out of ten studies included in this comparison (very low certainty). Standâ€alone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upâ€toâ€date is this review? This review update searched for new studies up to July 26, 2024.</t>
  </si>
  <si>
    <t>Mentions UK healthcare perspective</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</si>
  <si>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Â© 2025</t>
  </si>
  <si>
    <t>Mentions NHS expenditure on MSK conditions</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</si>
  <si>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Â© Author(s) (or their employer(s)) 2025.</t>
  </si>
  <si>
    <t>Study conducted in California, USA</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</si>
  <si>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quasiâ€RCTs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quasiâ€RCT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âˆ’1.10 g/day, 95% CI âˆ’3.94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quasiâ€RCT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highâ€quality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notâ€forâ€profit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highâ€quality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parentâ€infant attachment, parent wellâ€being,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upâ€toâ€date is this evidence? This review updates our previous 2015 review. The evidence is current to 30 May 2024.</t>
  </si>
  <si>
    <t>Study conducted in Sweden, not UK-based</t>
  </si>
  <si>
    <t>Study includes UK-based severe psoriasis registry, BSTOP.</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</si>
  <si>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allâ€cause mortality, major venous thromboembolism (VTE), symptomatic VTE, major bleeding, and serious hepatic and nonâ€hepatic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allâ€cause mortality, but the evidence is very uncertain (RR 0.83, 95% CI 0.52 to 1.31; I 2 = 0%; 28 studies, 29,698 participants; very lowâ€certainty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lowâ€certainty evidence). Compared to LMWHs, direct factor Xa inhibitors may reduce symptomatic VTE (RR 0.64, 95% CI 0.50 to 0.83; I 2 = 0%; 33 studies, 31,670 participants; lowâ€certainty evidence). The absolute benefit of substituting factor Xa inhibitors for LMWHs may be between two and five fewer symptomatic VTE episodes per 1000 patients. In the metaâ€analysis with all studies pooled, direct factor Xa inhibitors appeared to make little or no difference to major bleeding compared to LMWHs, but the evidence was very uncertain (RR 1.05, 95% CI 0.86 to 1.30; I 2 = 15%; 36 studies, 39,778 participants; very low certaintyâ€evidence). â€¨â€¢ In a subgroup analysis limited to studies comparing rivaroxaban to LMWHs, people given rivaroxaban may have had more major bleeding events (RR 1.94, 95% CI 1.26 to 2.98; I 2 = 0%; 17 studies, 17,630 participants; lowâ€certainty evidence). The absolute risk of substituting rivaroxaban for LMWH may be between one and seven more major bleeding events per 1000 patients. â€¨â€¢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lowâ€certainty evidence). Direct factor Xa inhibitors may make little to no difference in serious hepatic adverse events compared to LMWHs, but the evidence is very uncertain (RR 3.01, 95% CI 0.12 to 73.93; 2 studies, 3169 participants; very lowâ€certainty evidence). Only two studies reported this outcome, with one death in the intervention group due to hepatitis reported in one study, and no events reported in the other study. People given direct factor Xa inhibitors may have a lower risk of serious nonâ€hepatic adverse events than those given LMWHs (RR 0.89, 95% CI 0.81 to 0.97; I 2 = 18%; 15 studies, 26,246 participants; lowâ€certainty evidence). The absolute benefit of substituting factor Xa inhibitors for LMWH may be between three and 14 fewer serious nonâ€hepatic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â€¢ We do not know if classic anticoagulant medicines (commonly known as 'blood thinners') or newer bloodâ€thinning medicines called 'direct factor Xa inhibitors' (DFXa inhibitors) are better at preventing death or the development of blood clots in the deep veins of the legs or in the lungs of people who have had hip or knee replacement surgery. 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highâ€income regions. Roughly oneâ€third of participants (31%) were male. Participants' average age was 64 years. Pharmaceutical companies funded half of the studies (27 of 53). Main results Compared to LMWHs, we do not know if DFXa inhibitors reduce the number of people who:â€¨â€¢ die from any cause after surgery, orâ€¨â€¢ develop blood clots in the lungs or deep veins of the leg or pelvisâ€¨because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nonâ€liverâ€related events compared to LMWHs. Between 3 and 14 fewer people out of every 1000 people given DFXa inhibitors would have serious, nonâ€liverâ€related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</si>
  <si>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2 False negatives</t>
  </si>
  <si>
    <t>We now have 31 false positives - 28 of which are flagged for review. 3 others mention UK setting. Flag to Freddie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</si>
</sst>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H198"/>
  <sheetViews>
    <sheetView workbookViewId="0">
      <selection activeCell="H198" sqref="A1:H198"/>
    </sheetView>
  </sheetViews>
  <sheetFormatPr defaultRowHeight="14.5" x14ac:dyDescent="0.35"/>
  <sheetData>
    <row r="1" spans="1:8" x14ac:dyDescent="0.35">
      <c r="A1" t="s">
        <v>0</v>
      </c>
      <c r="B1" t="s">
        <v>1</v>
      </c>
      <c r="C1" t="s">
        <v>2</v>
      </c>
      <c r="D1" t="s">
        <v>3</v>
      </c>
      <c r="E1" t="s">
        <v>234</v>
      </c>
      <c r="F1" t="s">
        <v>235</v>
      </c>
      <c r="G1" t="s">
        <v>236</v>
      </c>
      <c r="H1" t="s">
        <v>237</v>
      </c>
    </row>
    <row r="2" spans="1:8" x14ac:dyDescent="0.35">
      <c r="A2" t="s">
        <v>4</v>
      </c>
      <c r="B2">
        <v>2019</v>
      </c>
      <c r="C2" t="s">
        <v>5</v>
      </c>
      <c r="D2" t="s">
        <v>6</v>
      </c>
      <c r="E2" t="b">
        <v>0</v>
      </c>
      <c r="F2" t="s">
        <v>247</v>
      </c>
      <c r="G2" t="s">
        <v>222</v>
      </c>
      <c r="H2">
        <v>1</v>
      </c>
    </row>
    <row r="3" spans="1:8" x14ac:dyDescent="0.35">
      <c r="A3" t="s">
        <v>7</v>
      </c>
      <c r="B3">
        <v>2019</v>
      </c>
      <c r="C3" t="s">
        <v>8</v>
      </c>
      <c r="D3" t="s">
        <v>9</v>
      </c>
      <c r="E3" t="b">
        <v>0</v>
      </c>
      <c r="F3" t="s">
        <v>248</v>
      </c>
      <c r="G3" t="s">
        <v>222</v>
      </c>
      <c r="H3">
        <v>1</v>
      </c>
    </row>
    <row r="4" spans="1:8" x14ac:dyDescent="0.35">
      <c r="A4" t="s">
        <v>10</v>
      </c>
      <c r="B4">
        <v>2019</v>
      </c>
      <c r="C4" t="s">
        <v>11</v>
      </c>
      <c r="D4" t="s">
        <v>12</v>
      </c>
      <c r="E4" t="b">
        <v>1</v>
      </c>
      <c r="F4" t="s">
        <v>249</v>
      </c>
      <c r="G4" t="s">
        <v>223</v>
      </c>
      <c r="H4">
        <v>1</v>
      </c>
    </row>
    <row r="5" spans="1:8" x14ac:dyDescent="0.35">
      <c r="A5" t="s">
        <v>13</v>
      </c>
      <c r="B5">
        <v>2019</v>
      </c>
      <c r="C5" t="s">
        <v>14</v>
      </c>
      <c r="D5" t="s">
        <v>15</v>
      </c>
      <c r="E5" t="b">
        <v>1</v>
      </c>
      <c r="F5" t="s">
        <v>250</v>
      </c>
      <c r="G5" t="s">
        <v>238</v>
      </c>
      <c r="H5">
        <v>0.5</v>
      </c>
    </row>
    <row r="6" spans="1:8" x14ac:dyDescent="0.35">
      <c r="A6" t="s">
        <v>16</v>
      </c>
      <c r="B6">
        <v>2019</v>
      </c>
      <c r="C6" t="s">
        <v>17</v>
      </c>
      <c r="D6" t="s">
        <v>18</v>
      </c>
      <c r="E6" t="b">
        <v>1</v>
      </c>
      <c r="F6" t="s">
        <v>251</v>
      </c>
      <c r="G6" t="s">
        <v>223</v>
      </c>
      <c r="H6">
        <v>1</v>
      </c>
    </row>
    <row r="7" spans="1:8" x14ac:dyDescent="0.35">
      <c r="A7" t="s">
        <v>19</v>
      </c>
      <c r="B7">
        <v>2019</v>
      </c>
      <c r="C7" t="s">
        <v>20</v>
      </c>
      <c r="D7" t="s">
        <v>21</v>
      </c>
      <c r="E7" t="b">
        <v>1</v>
      </c>
      <c r="F7" t="s">
        <v>250</v>
      </c>
      <c r="G7" t="s">
        <v>238</v>
      </c>
      <c r="H7">
        <v>0.5</v>
      </c>
    </row>
    <row r="8" spans="1:8" x14ac:dyDescent="0.35">
      <c r="A8" t="s">
        <v>22</v>
      </c>
      <c r="B8">
        <v>2019</v>
      </c>
      <c r="C8" t="s">
        <v>23</v>
      </c>
      <c r="D8" t="s">
        <v>24</v>
      </c>
      <c r="E8" t="b">
        <v>1</v>
      </c>
      <c r="F8" t="s">
        <v>250</v>
      </c>
      <c r="G8" t="s">
        <v>238</v>
      </c>
      <c r="H8">
        <v>0.5</v>
      </c>
    </row>
    <row r="9" spans="1:8" x14ac:dyDescent="0.35">
      <c r="A9" t="s">
        <v>25</v>
      </c>
      <c r="B9">
        <v>2019</v>
      </c>
      <c r="C9" t="s">
        <v>26</v>
      </c>
      <c r="D9" t="s">
        <v>27</v>
      </c>
      <c r="E9" t="b">
        <v>1</v>
      </c>
      <c r="F9" t="s">
        <v>250</v>
      </c>
      <c r="G9" t="s">
        <v>238</v>
      </c>
      <c r="H9">
        <v>0.5</v>
      </c>
    </row>
    <row r="10" spans="1:8" x14ac:dyDescent="0.35">
      <c r="A10" t="s">
        <v>28</v>
      </c>
      <c r="B10">
        <v>2019</v>
      </c>
      <c r="C10" t="s">
        <v>29</v>
      </c>
      <c r="D10" t="s">
        <v>30</v>
      </c>
      <c r="E10" t="b">
        <v>1</v>
      </c>
      <c r="F10" t="s">
        <v>252</v>
      </c>
      <c r="G10" t="s">
        <v>223</v>
      </c>
      <c r="H10">
        <v>1</v>
      </c>
    </row>
    <row r="11" spans="1:8" x14ac:dyDescent="0.35">
      <c r="A11" t="s">
        <v>31</v>
      </c>
      <c r="B11">
        <v>2019</v>
      </c>
      <c r="C11" t="s">
        <v>32</v>
      </c>
      <c r="D11" t="s">
        <v>33</v>
      </c>
      <c r="E11" t="b">
        <v>1</v>
      </c>
      <c r="F11" t="s">
        <v>239</v>
      </c>
      <c r="G11" t="s">
        <v>223</v>
      </c>
      <c r="H11">
        <v>1</v>
      </c>
    </row>
    <row r="12" spans="1:8" x14ac:dyDescent="0.35">
      <c r="A12" t="s">
        <v>34</v>
      </c>
      <c r="B12">
        <v>2019</v>
      </c>
      <c r="C12" t="s">
        <v>35</v>
      </c>
      <c r="D12" t="s">
        <v>36</v>
      </c>
      <c r="E12" t="b">
        <v>1</v>
      </c>
      <c r="F12" t="s">
        <v>250</v>
      </c>
      <c r="G12" t="s">
        <v>238</v>
      </c>
      <c r="H12">
        <v>0.5</v>
      </c>
    </row>
    <row r="13" spans="1:8" x14ac:dyDescent="0.35">
      <c r="A13" t="s">
        <v>37</v>
      </c>
      <c r="B13">
        <v>2019</v>
      </c>
      <c r="C13" t="s">
        <v>38</v>
      </c>
      <c r="D13" t="s">
        <v>39</v>
      </c>
      <c r="E13" t="b">
        <v>1</v>
      </c>
      <c r="F13" t="s">
        <v>253</v>
      </c>
      <c r="G13" t="s">
        <v>223</v>
      </c>
      <c r="H13">
        <v>1</v>
      </c>
    </row>
    <row r="14" spans="1:8" x14ac:dyDescent="0.35">
      <c r="A14" t="s">
        <v>40</v>
      </c>
      <c r="B14">
        <v>2019</v>
      </c>
      <c r="C14" t="s">
        <v>41</v>
      </c>
      <c r="D14" t="s">
        <v>42</v>
      </c>
      <c r="E14" t="b">
        <v>1</v>
      </c>
      <c r="F14" t="s">
        <v>254</v>
      </c>
      <c r="G14" t="s">
        <v>223</v>
      </c>
      <c r="H14">
        <v>0.95</v>
      </c>
    </row>
    <row r="15" spans="1:8" x14ac:dyDescent="0.35">
      <c r="A15" t="s">
        <v>43</v>
      </c>
      <c r="B15">
        <v>2019</v>
      </c>
      <c r="C15" t="s">
        <v>44</v>
      </c>
      <c r="D15" t="s">
        <v>45</v>
      </c>
      <c r="E15" t="b">
        <v>1</v>
      </c>
      <c r="F15" t="s">
        <v>250</v>
      </c>
      <c r="G15" t="s">
        <v>238</v>
      </c>
      <c r="H15">
        <v>0.5</v>
      </c>
    </row>
    <row r="16" spans="1:8" x14ac:dyDescent="0.35">
      <c r="A16" t="s">
        <v>46</v>
      </c>
      <c r="B16">
        <v>2019</v>
      </c>
      <c r="C16" t="s">
        <v>47</v>
      </c>
      <c r="D16" t="s">
        <v>48</v>
      </c>
      <c r="E16" t="b">
        <v>1</v>
      </c>
      <c r="F16" t="s">
        <v>240</v>
      </c>
      <c r="G16" t="s">
        <v>223</v>
      </c>
      <c r="H16">
        <v>1</v>
      </c>
    </row>
    <row r="17" spans="1:8" x14ac:dyDescent="0.35">
      <c r="A17" t="s">
        <v>49</v>
      </c>
      <c r="B17">
        <v>2019</v>
      </c>
      <c r="C17" t="s">
        <v>50</v>
      </c>
      <c r="D17" t="s">
        <v>51</v>
      </c>
      <c r="E17" t="b">
        <v>1</v>
      </c>
      <c r="F17" t="s">
        <v>255</v>
      </c>
      <c r="G17" t="s">
        <v>223</v>
      </c>
      <c r="H17">
        <v>1</v>
      </c>
    </row>
    <row r="18" spans="1:8" x14ac:dyDescent="0.35">
      <c r="A18" t="s">
        <v>52</v>
      </c>
      <c r="B18">
        <v>2019</v>
      </c>
      <c r="C18" t="s">
        <v>53</v>
      </c>
      <c r="D18" t="s">
        <v>54</v>
      </c>
      <c r="E18" t="b">
        <v>1</v>
      </c>
      <c r="F18" t="s">
        <v>250</v>
      </c>
      <c r="G18" t="s">
        <v>238</v>
      </c>
      <c r="H18">
        <v>0.5</v>
      </c>
    </row>
    <row r="19" spans="1:8" x14ac:dyDescent="0.35">
      <c r="A19" t="s">
        <v>57</v>
      </c>
      <c r="B19">
        <v>2019</v>
      </c>
      <c r="C19" t="s">
        <v>58</v>
      </c>
      <c r="D19" t="s">
        <v>59</v>
      </c>
      <c r="E19" t="b">
        <v>0</v>
      </c>
      <c r="F19" t="s">
        <v>241</v>
      </c>
      <c r="G19" t="s">
        <v>222</v>
      </c>
      <c r="H19">
        <v>1</v>
      </c>
    </row>
    <row r="20" spans="1:8" x14ac:dyDescent="0.35">
      <c r="A20" t="s">
        <v>60</v>
      </c>
      <c r="B20">
        <v>2019</v>
      </c>
      <c r="C20" t="s">
        <v>61</v>
      </c>
      <c r="D20" t="s">
        <v>62</v>
      </c>
      <c r="E20" t="b">
        <v>0</v>
      </c>
      <c r="F20" t="s">
        <v>256</v>
      </c>
      <c r="G20" t="s">
        <v>222</v>
      </c>
      <c r="H20">
        <v>0.9</v>
      </c>
    </row>
    <row r="21" spans="1:8" x14ac:dyDescent="0.35">
      <c r="A21" t="s">
        <v>63</v>
      </c>
      <c r="B21">
        <v>2019</v>
      </c>
      <c r="C21" t="s">
        <v>64</v>
      </c>
      <c r="D21" t="s">
        <v>65</v>
      </c>
      <c r="E21" t="b">
        <v>1</v>
      </c>
      <c r="F21" t="s">
        <v>257</v>
      </c>
      <c r="G21" t="s">
        <v>223</v>
      </c>
      <c r="H21">
        <v>1</v>
      </c>
    </row>
    <row r="22" spans="1:8" x14ac:dyDescent="0.35">
      <c r="A22" t="s">
        <v>66</v>
      </c>
      <c r="B22">
        <v>2019</v>
      </c>
      <c r="C22" t="s">
        <v>67</v>
      </c>
      <c r="D22" t="s">
        <v>68</v>
      </c>
      <c r="E22" t="b">
        <v>1</v>
      </c>
      <c r="F22" t="s">
        <v>258</v>
      </c>
      <c r="G22" t="s">
        <v>223</v>
      </c>
      <c r="H22">
        <v>1</v>
      </c>
    </row>
    <row r="23" spans="1:8" x14ac:dyDescent="0.35">
      <c r="A23" t="s">
        <v>69</v>
      </c>
      <c r="B23">
        <v>2019</v>
      </c>
      <c r="C23" t="s">
        <v>70</v>
      </c>
      <c r="D23" t="s">
        <v>71</v>
      </c>
      <c r="E23" t="b">
        <v>1</v>
      </c>
      <c r="F23" t="s">
        <v>259</v>
      </c>
      <c r="G23" t="s">
        <v>223</v>
      </c>
      <c r="H23">
        <v>1</v>
      </c>
    </row>
    <row r="24" spans="1:8" x14ac:dyDescent="0.35">
      <c r="A24" t="s">
        <v>72</v>
      </c>
      <c r="B24">
        <v>2019</v>
      </c>
      <c r="C24" t="s">
        <v>73</v>
      </c>
      <c r="D24" t="s">
        <v>74</v>
      </c>
      <c r="E24" t="b">
        <v>1</v>
      </c>
      <c r="F24" t="s">
        <v>250</v>
      </c>
      <c r="G24" t="s">
        <v>238</v>
      </c>
      <c r="H24">
        <v>0.5</v>
      </c>
    </row>
    <row r="25" spans="1:8" x14ac:dyDescent="0.35">
      <c r="A25" t="s">
        <v>75</v>
      </c>
      <c r="B25">
        <v>2019</v>
      </c>
      <c r="C25" t="s">
        <v>76</v>
      </c>
      <c r="D25" t="s">
        <v>77</v>
      </c>
      <c r="E25" t="b">
        <v>1</v>
      </c>
      <c r="F25" t="s">
        <v>250</v>
      </c>
      <c r="G25" t="s">
        <v>238</v>
      </c>
      <c r="H25">
        <v>0.5</v>
      </c>
    </row>
    <row r="26" spans="1:8" x14ac:dyDescent="0.35">
      <c r="A26" t="s">
        <v>78</v>
      </c>
      <c r="B26">
        <v>2019</v>
      </c>
      <c r="C26" t="s">
        <v>79</v>
      </c>
      <c r="D26" t="s">
        <v>80</v>
      </c>
      <c r="E26" t="b">
        <v>1</v>
      </c>
      <c r="F26" t="s">
        <v>260</v>
      </c>
      <c r="G26" t="s">
        <v>223</v>
      </c>
      <c r="H26">
        <v>1</v>
      </c>
    </row>
    <row r="27" spans="1:8" x14ac:dyDescent="0.35">
      <c r="A27" t="s">
        <v>81</v>
      </c>
      <c r="B27">
        <v>2019</v>
      </c>
      <c r="C27" t="s">
        <v>82</v>
      </c>
      <c r="D27" t="s">
        <v>83</v>
      </c>
      <c r="E27" t="b">
        <v>1</v>
      </c>
      <c r="F27" t="s">
        <v>250</v>
      </c>
      <c r="G27" t="s">
        <v>238</v>
      </c>
      <c r="H27">
        <v>0.5</v>
      </c>
    </row>
    <row r="28" spans="1:8" x14ac:dyDescent="0.35">
      <c r="A28" t="s">
        <v>84</v>
      </c>
      <c r="B28">
        <v>2019</v>
      </c>
      <c r="C28" t="s">
        <v>85</v>
      </c>
      <c r="D28" t="s">
        <v>86</v>
      </c>
      <c r="E28" t="b">
        <v>1</v>
      </c>
      <c r="F28" t="s">
        <v>250</v>
      </c>
      <c r="G28" t="s">
        <v>238</v>
      </c>
      <c r="H28">
        <v>0.5</v>
      </c>
    </row>
    <row r="29" spans="1:8" x14ac:dyDescent="0.35">
      <c r="A29" t="s">
        <v>87</v>
      </c>
      <c r="B29">
        <v>2019</v>
      </c>
      <c r="C29" t="s">
        <v>88</v>
      </c>
      <c r="D29" t="s">
        <v>89</v>
      </c>
      <c r="E29" t="b">
        <v>1</v>
      </c>
      <c r="F29" t="s">
        <v>250</v>
      </c>
      <c r="G29" t="s">
        <v>238</v>
      </c>
      <c r="H29">
        <v>0.5</v>
      </c>
    </row>
    <row r="30" spans="1:8" x14ac:dyDescent="0.35">
      <c r="A30" t="s">
        <v>90</v>
      </c>
      <c r="B30">
        <v>2019</v>
      </c>
      <c r="C30" t="s">
        <v>91</v>
      </c>
      <c r="D30" t="s">
        <v>92</v>
      </c>
      <c r="E30" t="b">
        <v>1</v>
      </c>
      <c r="F30" t="s">
        <v>250</v>
      </c>
      <c r="G30" t="s">
        <v>238</v>
      </c>
      <c r="H30">
        <v>0.5</v>
      </c>
    </row>
    <row r="31" spans="1:8" x14ac:dyDescent="0.35">
      <c r="A31" t="s">
        <v>93</v>
      </c>
      <c r="B31">
        <v>2019</v>
      </c>
      <c r="C31" t="s">
        <v>94</v>
      </c>
      <c r="D31" t="s">
        <v>95</v>
      </c>
      <c r="E31" t="b">
        <v>1</v>
      </c>
      <c r="F31" t="s">
        <v>250</v>
      </c>
      <c r="G31" t="s">
        <v>238</v>
      </c>
      <c r="H31">
        <v>0.5</v>
      </c>
    </row>
    <row r="32" spans="1:8" x14ac:dyDescent="0.35">
      <c r="A32" t="s">
        <v>96</v>
      </c>
      <c r="B32">
        <v>2019</v>
      </c>
      <c r="C32" t="s">
        <v>97</v>
      </c>
      <c r="D32" t="s">
        <v>98</v>
      </c>
      <c r="E32" t="b">
        <v>0</v>
      </c>
      <c r="F32" t="s">
        <v>261</v>
      </c>
      <c r="G32" t="s">
        <v>222</v>
      </c>
      <c r="H32">
        <v>1</v>
      </c>
    </row>
    <row r="33" spans="1:8" x14ac:dyDescent="0.35">
      <c r="A33" t="s">
        <v>99</v>
      </c>
      <c r="B33">
        <v>2019</v>
      </c>
      <c r="C33" t="s">
        <v>100</v>
      </c>
      <c r="D33" t="s">
        <v>101</v>
      </c>
      <c r="E33" t="b">
        <v>1</v>
      </c>
      <c r="F33" t="s">
        <v>262</v>
      </c>
      <c r="G33" t="s">
        <v>223</v>
      </c>
      <c r="H33">
        <v>1</v>
      </c>
    </row>
    <row r="34" spans="1:8" x14ac:dyDescent="0.35">
      <c r="A34" t="s">
        <v>102</v>
      </c>
      <c r="B34">
        <v>2019</v>
      </c>
      <c r="C34" t="s">
        <v>103</v>
      </c>
      <c r="D34" t="s">
        <v>104</v>
      </c>
      <c r="E34" t="b">
        <v>1</v>
      </c>
      <c r="F34" t="s">
        <v>242</v>
      </c>
      <c r="G34" t="s">
        <v>223</v>
      </c>
      <c r="H34">
        <v>1</v>
      </c>
    </row>
    <row r="35" spans="1:8" ht="409.5" x14ac:dyDescent="0.35">
      <c r="A35" t="s">
        <v>105</v>
      </c>
      <c r="B35">
        <v>2019</v>
      </c>
      <c r="C35" t="s">
        <v>106</v>
      </c>
      <c r="D35" s="1" t="s">
        <v>107</v>
      </c>
      <c r="E35" t="b">
        <v>1</v>
      </c>
      <c r="F35" t="s">
        <v>243</v>
      </c>
      <c r="G35" t="s">
        <v>223</v>
      </c>
      <c r="H35">
        <v>1</v>
      </c>
    </row>
    <row r="36" spans="1:8" x14ac:dyDescent="0.35">
      <c r="A36" t="s">
        <v>108</v>
      </c>
      <c r="B36">
        <v>2019</v>
      </c>
      <c r="C36" t="s">
        <v>109</v>
      </c>
      <c r="D36" t="s">
        <v>110</v>
      </c>
      <c r="E36" t="b">
        <v>1</v>
      </c>
      <c r="F36" t="s">
        <v>250</v>
      </c>
      <c r="G36" t="s">
        <v>238</v>
      </c>
      <c r="H36">
        <v>0.5</v>
      </c>
    </row>
    <row r="37" spans="1:8" x14ac:dyDescent="0.35">
      <c r="A37" t="s">
        <v>111</v>
      </c>
      <c r="B37">
        <v>2019</v>
      </c>
      <c r="C37" t="s">
        <v>112</v>
      </c>
      <c r="D37" t="s">
        <v>113</v>
      </c>
      <c r="E37" t="b">
        <v>1</v>
      </c>
      <c r="F37" t="s">
        <v>244</v>
      </c>
      <c r="G37" t="s">
        <v>223</v>
      </c>
      <c r="H37">
        <v>1</v>
      </c>
    </row>
    <row r="38" spans="1:8" x14ac:dyDescent="0.35">
      <c r="A38" t="s">
        <v>114</v>
      </c>
      <c r="B38">
        <v>2019</v>
      </c>
      <c r="C38" t="s">
        <v>115</v>
      </c>
      <c r="D38" t="s">
        <v>116</v>
      </c>
      <c r="E38" t="b">
        <v>1</v>
      </c>
      <c r="F38" t="s">
        <v>263</v>
      </c>
      <c r="G38" t="s">
        <v>223</v>
      </c>
      <c r="H38">
        <v>1</v>
      </c>
    </row>
    <row r="39" spans="1:8" x14ac:dyDescent="0.35">
      <c r="A39" t="s">
        <v>117</v>
      </c>
      <c r="B39">
        <v>2019</v>
      </c>
      <c r="C39" t="s">
        <v>118</v>
      </c>
      <c r="D39" t="s">
        <v>119</v>
      </c>
      <c r="E39" t="b">
        <v>1</v>
      </c>
      <c r="F39" t="s">
        <v>250</v>
      </c>
      <c r="G39" t="s">
        <v>238</v>
      </c>
      <c r="H39">
        <v>0.5</v>
      </c>
    </row>
    <row r="40" spans="1:8" x14ac:dyDescent="0.35">
      <c r="A40" t="s">
        <v>120</v>
      </c>
      <c r="B40">
        <v>2019</v>
      </c>
      <c r="C40" t="s">
        <v>121</v>
      </c>
      <c r="D40" t="s">
        <v>122</v>
      </c>
      <c r="E40" t="b">
        <v>1</v>
      </c>
      <c r="F40" t="s">
        <v>250</v>
      </c>
      <c r="G40" t="s">
        <v>238</v>
      </c>
      <c r="H40">
        <v>0.5</v>
      </c>
    </row>
    <row r="41" spans="1:8" x14ac:dyDescent="0.35">
      <c r="A41" t="s">
        <v>123</v>
      </c>
      <c r="B41">
        <v>2019</v>
      </c>
      <c r="C41" t="s">
        <v>124</v>
      </c>
      <c r="D41" t="s">
        <v>125</v>
      </c>
      <c r="E41" t="b">
        <v>1</v>
      </c>
      <c r="F41" t="s">
        <v>250</v>
      </c>
      <c r="G41" t="s">
        <v>238</v>
      </c>
      <c r="H41">
        <v>0.5</v>
      </c>
    </row>
    <row r="42" spans="1:8" ht="409.5" x14ac:dyDescent="0.35">
      <c r="A42" t="s">
        <v>126</v>
      </c>
      <c r="B42">
        <v>2019</v>
      </c>
      <c r="C42" t="s">
        <v>127</v>
      </c>
      <c r="D42" s="1" t="s">
        <v>128</v>
      </c>
      <c r="E42" t="b">
        <v>1</v>
      </c>
      <c r="F42" t="s">
        <v>264</v>
      </c>
      <c r="G42" t="s">
        <v>223</v>
      </c>
      <c r="H42">
        <v>1</v>
      </c>
    </row>
    <row r="43" spans="1:8" x14ac:dyDescent="0.35">
      <c r="A43" t="s">
        <v>129</v>
      </c>
      <c r="B43">
        <v>2019</v>
      </c>
      <c r="C43" t="s">
        <v>130</v>
      </c>
      <c r="D43" t="s">
        <v>131</v>
      </c>
      <c r="E43" t="b">
        <v>1</v>
      </c>
      <c r="F43" t="s">
        <v>250</v>
      </c>
      <c r="G43" t="s">
        <v>238</v>
      </c>
      <c r="H43">
        <v>0.5</v>
      </c>
    </row>
    <row r="44" spans="1:8" x14ac:dyDescent="0.35">
      <c r="A44" t="s">
        <v>132</v>
      </c>
      <c r="B44">
        <v>2019</v>
      </c>
      <c r="C44" t="s">
        <v>133</v>
      </c>
      <c r="D44" t="s">
        <v>134</v>
      </c>
      <c r="E44" t="b">
        <v>1</v>
      </c>
      <c r="F44" t="s">
        <v>265</v>
      </c>
      <c r="G44" t="s">
        <v>223</v>
      </c>
      <c r="H44">
        <v>1</v>
      </c>
    </row>
    <row r="45" spans="1:8" x14ac:dyDescent="0.35">
      <c r="A45" t="s">
        <v>135</v>
      </c>
      <c r="B45">
        <v>2019</v>
      </c>
      <c r="C45" t="s">
        <v>136</v>
      </c>
      <c r="D45" t="s">
        <v>137</v>
      </c>
      <c r="E45" t="b">
        <v>1</v>
      </c>
      <c r="F45" t="s">
        <v>266</v>
      </c>
      <c r="G45" t="s">
        <v>223</v>
      </c>
      <c r="H45">
        <v>1</v>
      </c>
    </row>
    <row r="46" spans="1:8" x14ac:dyDescent="0.35">
      <c r="A46" t="s">
        <v>138</v>
      </c>
      <c r="B46">
        <v>2019</v>
      </c>
      <c r="C46" t="s">
        <v>139</v>
      </c>
      <c r="D46" t="s">
        <v>140</v>
      </c>
      <c r="E46" t="b">
        <v>1</v>
      </c>
      <c r="F46" t="s">
        <v>267</v>
      </c>
      <c r="G46" t="s">
        <v>223</v>
      </c>
      <c r="H46">
        <v>1</v>
      </c>
    </row>
    <row r="47" spans="1:8" x14ac:dyDescent="0.35">
      <c r="A47" t="s">
        <v>141</v>
      </c>
      <c r="B47">
        <v>2019</v>
      </c>
      <c r="C47" t="s">
        <v>142</v>
      </c>
      <c r="D47" t="s">
        <v>143</v>
      </c>
      <c r="E47" t="b">
        <v>1</v>
      </c>
      <c r="F47" t="s">
        <v>268</v>
      </c>
      <c r="G47" t="s">
        <v>223</v>
      </c>
      <c r="H47">
        <v>1</v>
      </c>
    </row>
    <row r="48" spans="1:8" x14ac:dyDescent="0.35">
      <c r="A48" t="s">
        <v>144</v>
      </c>
      <c r="B48">
        <v>2019</v>
      </c>
      <c r="C48" t="s">
        <v>145</v>
      </c>
      <c r="D48" t="s">
        <v>146</v>
      </c>
      <c r="E48" t="b">
        <v>1</v>
      </c>
      <c r="F48" t="s">
        <v>269</v>
      </c>
      <c r="G48" t="s">
        <v>223</v>
      </c>
      <c r="H48">
        <v>1</v>
      </c>
    </row>
    <row r="49" spans="1:8" x14ac:dyDescent="0.35">
      <c r="A49" t="s">
        <v>147</v>
      </c>
      <c r="B49">
        <v>2019</v>
      </c>
      <c r="C49" t="s">
        <v>148</v>
      </c>
      <c r="D49" t="s">
        <v>149</v>
      </c>
      <c r="E49" t="b">
        <v>1</v>
      </c>
      <c r="F49" t="s">
        <v>250</v>
      </c>
      <c r="G49" t="s">
        <v>238</v>
      </c>
      <c r="H49">
        <v>0.5</v>
      </c>
    </row>
    <row r="50" spans="1:8" x14ac:dyDescent="0.35">
      <c r="A50" t="s">
        <v>150</v>
      </c>
      <c r="B50">
        <v>2019</v>
      </c>
      <c r="C50" t="s">
        <v>151</v>
      </c>
      <c r="D50" t="s">
        <v>152</v>
      </c>
      <c r="E50" t="b">
        <v>1</v>
      </c>
      <c r="F50" t="s">
        <v>270</v>
      </c>
      <c r="G50" t="s">
        <v>223</v>
      </c>
      <c r="H50">
        <v>1</v>
      </c>
    </row>
    <row r="51" spans="1:8" x14ac:dyDescent="0.35">
      <c r="A51" t="s">
        <v>153</v>
      </c>
      <c r="B51">
        <v>2019</v>
      </c>
      <c r="C51" t="s">
        <v>154</v>
      </c>
      <c r="D51" t="s">
        <v>155</v>
      </c>
      <c r="E51" t="b">
        <v>1</v>
      </c>
      <c r="F51" t="s">
        <v>250</v>
      </c>
      <c r="G51" t="s">
        <v>238</v>
      </c>
      <c r="H51">
        <v>0.5</v>
      </c>
    </row>
    <row r="52" spans="1:8" x14ac:dyDescent="0.35">
      <c r="A52" t="s">
        <v>271</v>
      </c>
      <c r="B52">
        <v>2019</v>
      </c>
      <c r="C52" t="s">
        <v>272</v>
      </c>
      <c r="D52" t="s">
        <v>273</v>
      </c>
      <c r="E52" t="b">
        <v>1</v>
      </c>
      <c r="F52" t="s">
        <v>739</v>
      </c>
      <c r="G52" t="s">
        <v>223</v>
      </c>
      <c r="H52">
        <v>1</v>
      </c>
    </row>
    <row r="53" spans="1:8" x14ac:dyDescent="0.35">
      <c r="A53" t="s">
        <v>274</v>
      </c>
      <c r="B53">
        <v>2019</v>
      </c>
      <c r="C53" t="s">
        <v>740</v>
      </c>
      <c r="D53" t="s">
        <v>741</v>
      </c>
      <c r="E53" t="b">
        <v>1</v>
      </c>
      <c r="F53" t="s">
        <v>250</v>
      </c>
      <c r="G53" t="s">
        <v>238</v>
      </c>
      <c r="H53">
        <v>0.5</v>
      </c>
    </row>
    <row r="54" spans="1:8" x14ac:dyDescent="0.35">
      <c r="A54" t="s">
        <v>277</v>
      </c>
      <c r="B54">
        <v>2019</v>
      </c>
      <c r="C54" t="s">
        <v>278</v>
      </c>
      <c r="D54" t="s">
        <v>742</v>
      </c>
      <c r="E54" t="b">
        <v>0</v>
      </c>
      <c r="F54" t="s">
        <v>743</v>
      </c>
      <c r="G54" t="s">
        <v>222</v>
      </c>
      <c r="H54">
        <v>0.9</v>
      </c>
    </row>
    <row r="55" spans="1:8" x14ac:dyDescent="0.35">
      <c r="A55" t="s">
        <v>280</v>
      </c>
      <c r="B55">
        <v>2019</v>
      </c>
      <c r="C55" t="s">
        <v>281</v>
      </c>
      <c r="D55" t="s">
        <v>744</v>
      </c>
      <c r="E55" t="b">
        <v>1</v>
      </c>
      <c r="F55" t="s">
        <v>745</v>
      </c>
      <c r="G55" t="s">
        <v>223</v>
      </c>
      <c r="H55">
        <v>1</v>
      </c>
    </row>
    <row r="56" spans="1:8" x14ac:dyDescent="0.35">
      <c r="A56" t="s">
        <v>283</v>
      </c>
      <c r="B56">
        <v>2019</v>
      </c>
      <c r="C56" t="s">
        <v>284</v>
      </c>
      <c r="D56" t="s">
        <v>285</v>
      </c>
      <c r="E56" t="b">
        <v>1</v>
      </c>
      <c r="F56" t="s">
        <v>746</v>
      </c>
      <c r="G56" t="s">
        <v>223</v>
      </c>
      <c r="H56">
        <v>1</v>
      </c>
    </row>
    <row r="57" spans="1:8" x14ac:dyDescent="0.35">
      <c r="A57" t="s">
        <v>286</v>
      </c>
      <c r="B57">
        <v>2019</v>
      </c>
      <c r="C57" t="s">
        <v>287</v>
      </c>
      <c r="D57" t="s">
        <v>288</v>
      </c>
      <c r="E57" t="b">
        <v>1</v>
      </c>
      <c r="F57" t="s">
        <v>747</v>
      </c>
      <c r="G57" t="s">
        <v>223</v>
      </c>
      <c r="H57">
        <v>1</v>
      </c>
    </row>
    <row r="58" spans="1:8" x14ac:dyDescent="0.35">
      <c r="A58" t="s">
        <v>289</v>
      </c>
      <c r="B58">
        <v>2019</v>
      </c>
      <c r="C58" t="s">
        <v>290</v>
      </c>
      <c r="D58" t="s">
        <v>748</v>
      </c>
      <c r="E58" t="b">
        <v>1</v>
      </c>
      <c r="F58" t="s">
        <v>749</v>
      </c>
      <c r="G58" t="s">
        <v>223</v>
      </c>
      <c r="H58">
        <v>1</v>
      </c>
    </row>
    <row r="59" spans="1:8" x14ac:dyDescent="0.35">
      <c r="A59" t="s">
        <v>292</v>
      </c>
      <c r="B59">
        <v>2019</v>
      </c>
      <c r="C59" t="s">
        <v>293</v>
      </c>
      <c r="D59" t="s">
        <v>750</v>
      </c>
      <c r="E59" t="b">
        <v>1</v>
      </c>
      <c r="F59" t="s">
        <v>250</v>
      </c>
      <c r="G59" t="s">
        <v>238</v>
      </c>
      <c r="H59">
        <v>0.5</v>
      </c>
    </row>
    <row r="60" spans="1:8" x14ac:dyDescent="0.35">
      <c r="A60" t="s">
        <v>295</v>
      </c>
      <c r="B60">
        <v>2019</v>
      </c>
      <c r="C60" t="s">
        <v>296</v>
      </c>
      <c r="D60" t="s">
        <v>297</v>
      </c>
      <c r="E60" t="b">
        <v>1</v>
      </c>
      <c r="F60" t="s">
        <v>751</v>
      </c>
      <c r="G60" t="s">
        <v>223</v>
      </c>
      <c r="H60">
        <v>1</v>
      </c>
    </row>
    <row r="61" spans="1:8" x14ac:dyDescent="0.35">
      <c r="A61" t="s">
        <v>298</v>
      </c>
      <c r="B61">
        <v>2019</v>
      </c>
      <c r="C61" t="s">
        <v>299</v>
      </c>
      <c r="D61" t="s">
        <v>752</v>
      </c>
      <c r="E61" t="b">
        <v>0</v>
      </c>
      <c r="F61" t="s">
        <v>753</v>
      </c>
      <c r="G61" t="s">
        <v>222</v>
      </c>
      <c r="H61">
        <v>0.9</v>
      </c>
    </row>
    <row r="62" spans="1:8" x14ac:dyDescent="0.35">
      <c r="A62" t="s">
        <v>301</v>
      </c>
      <c r="B62">
        <v>2019</v>
      </c>
      <c r="C62" t="s">
        <v>302</v>
      </c>
      <c r="D62" t="s">
        <v>754</v>
      </c>
      <c r="E62" t="b">
        <v>1</v>
      </c>
      <c r="F62" t="s">
        <v>250</v>
      </c>
      <c r="G62" t="s">
        <v>238</v>
      </c>
      <c r="H62">
        <v>0.5</v>
      </c>
    </row>
    <row r="63" spans="1:8" x14ac:dyDescent="0.35">
      <c r="A63" t="s">
        <v>304</v>
      </c>
      <c r="B63">
        <v>2019</v>
      </c>
      <c r="C63" t="s">
        <v>305</v>
      </c>
      <c r="D63" t="s">
        <v>755</v>
      </c>
      <c r="E63" t="b">
        <v>1</v>
      </c>
      <c r="F63" t="s">
        <v>756</v>
      </c>
      <c r="G63" t="s">
        <v>223</v>
      </c>
      <c r="H63">
        <v>1</v>
      </c>
    </row>
    <row r="64" spans="1:8" x14ac:dyDescent="0.35">
      <c r="A64" t="s">
        <v>307</v>
      </c>
      <c r="B64">
        <v>2019</v>
      </c>
      <c r="C64" t="s">
        <v>308</v>
      </c>
      <c r="D64" t="s">
        <v>309</v>
      </c>
      <c r="E64" t="b">
        <v>1</v>
      </c>
      <c r="F64" t="s">
        <v>757</v>
      </c>
      <c r="G64" t="s">
        <v>223</v>
      </c>
      <c r="H64">
        <v>1</v>
      </c>
    </row>
    <row r="65" spans="1:8" x14ac:dyDescent="0.35">
      <c r="A65" t="s">
        <v>310</v>
      </c>
      <c r="B65">
        <v>2019</v>
      </c>
      <c r="C65" t="s">
        <v>311</v>
      </c>
      <c r="D65" t="s">
        <v>758</v>
      </c>
      <c r="E65" t="b">
        <v>1</v>
      </c>
      <c r="F65" t="s">
        <v>250</v>
      </c>
      <c r="G65" t="s">
        <v>238</v>
      </c>
      <c r="H65">
        <v>0.5</v>
      </c>
    </row>
    <row r="66" spans="1:8" x14ac:dyDescent="0.35">
      <c r="A66" t="s">
        <v>313</v>
      </c>
      <c r="B66">
        <v>2019</v>
      </c>
      <c r="C66" t="s">
        <v>314</v>
      </c>
      <c r="D66" t="s">
        <v>315</v>
      </c>
      <c r="E66" t="b">
        <v>1</v>
      </c>
      <c r="F66" t="s">
        <v>759</v>
      </c>
      <c r="G66" t="s">
        <v>223</v>
      </c>
      <c r="H66">
        <v>1</v>
      </c>
    </row>
    <row r="67" spans="1:8" x14ac:dyDescent="0.35">
      <c r="A67" t="s">
        <v>316</v>
      </c>
      <c r="B67">
        <v>2019</v>
      </c>
      <c r="C67" t="s">
        <v>317</v>
      </c>
      <c r="D67" t="s">
        <v>760</v>
      </c>
      <c r="E67" t="b">
        <v>1</v>
      </c>
      <c r="F67" t="s">
        <v>250</v>
      </c>
      <c r="G67" t="s">
        <v>238</v>
      </c>
      <c r="H67">
        <v>0.5</v>
      </c>
    </row>
    <row r="68" spans="1:8" x14ac:dyDescent="0.35">
      <c r="A68" t="s">
        <v>319</v>
      </c>
      <c r="B68">
        <v>2019</v>
      </c>
      <c r="C68" t="s">
        <v>761</v>
      </c>
      <c r="D68" t="s">
        <v>762</v>
      </c>
      <c r="E68" t="b">
        <v>1</v>
      </c>
      <c r="F68" t="s">
        <v>763</v>
      </c>
      <c r="G68" t="s">
        <v>223</v>
      </c>
      <c r="H68">
        <v>0.9</v>
      </c>
    </row>
    <row r="69" spans="1:8" x14ac:dyDescent="0.35">
      <c r="A69" t="s">
        <v>322</v>
      </c>
      <c r="B69">
        <v>2019</v>
      </c>
      <c r="C69" t="s">
        <v>323</v>
      </c>
      <c r="D69" t="s">
        <v>764</v>
      </c>
      <c r="E69" t="b">
        <v>0</v>
      </c>
      <c r="F69" t="s">
        <v>765</v>
      </c>
      <c r="G69" t="s">
        <v>222</v>
      </c>
      <c r="H69">
        <v>1</v>
      </c>
    </row>
    <row r="70" spans="1:8" ht="409.5" x14ac:dyDescent="0.35">
      <c r="A70" t="s">
        <v>325</v>
      </c>
      <c r="B70">
        <v>2019</v>
      </c>
      <c r="C70" t="s">
        <v>326</v>
      </c>
      <c r="D70" s="1" t="s">
        <v>327</v>
      </c>
      <c r="E70" t="b">
        <v>0</v>
      </c>
      <c r="F70" t="s">
        <v>766</v>
      </c>
      <c r="G70" t="s">
        <v>222</v>
      </c>
      <c r="H70">
        <v>1</v>
      </c>
    </row>
    <row r="71" spans="1:8" x14ac:dyDescent="0.35">
      <c r="A71" t="s">
        <v>328</v>
      </c>
      <c r="B71">
        <v>2019</v>
      </c>
      <c r="C71" t="s">
        <v>767</v>
      </c>
      <c r="D71" t="s">
        <v>768</v>
      </c>
      <c r="E71" t="b">
        <v>1</v>
      </c>
      <c r="F71" t="s">
        <v>250</v>
      </c>
      <c r="G71" t="s">
        <v>238</v>
      </c>
      <c r="H71">
        <v>0.5</v>
      </c>
    </row>
    <row r="72" spans="1:8" ht="409.5" x14ac:dyDescent="0.35">
      <c r="A72" t="s">
        <v>331</v>
      </c>
      <c r="B72">
        <v>2019</v>
      </c>
      <c r="C72" t="s">
        <v>332</v>
      </c>
      <c r="D72" s="1" t="s">
        <v>333</v>
      </c>
      <c r="E72" t="b">
        <v>1</v>
      </c>
      <c r="F72" t="s">
        <v>769</v>
      </c>
      <c r="G72" t="s">
        <v>223</v>
      </c>
      <c r="H72">
        <v>1</v>
      </c>
    </row>
    <row r="73" spans="1:8" x14ac:dyDescent="0.35">
      <c r="A73" t="s">
        <v>334</v>
      </c>
      <c r="B73">
        <v>2019</v>
      </c>
      <c r="C73" t="s">
        <v>335</v>
      </c>
      <c r="D73" t="s">
        <v>336</v>
      </c>
      <c r="E73" t="b">
        <v>0</v>
      </c>
      <c r="F73" t="s">
        <v>770</v>
      </c>
      <c r="G73" t="s">
        <v>222</v>
      </c>
      <c r="H73">
        <v>1</v>
      </c>
    </row>
    <row r="74" spans="1:8" x14ac:dyDescent="0.35">
      <c r="A74" t="s">
        <v>337</v>
      </c>
      <c r="B74">
        <v>2019</v>
      </c>
      <c r="C74" t="s">
        <v>338</v>
      </c>
      <c r="D74" t="s">
        <v>339</v>
      </c>
      <c r="E74" t="b">
        <v>1</v>
      </c>
      <c r="F74" t="s">
        <v>771</v>
      </c>
      <c r="G74" t="s">
        <v>223</v>
      </c>
      <c r="H74">
        <v>1</v>
      </c>
    </row>
    <row r="75" spans="1:8" x14ac:dyDescent="0.35">
      <c r="A75" t="s">
        <v>340</v>
      </c>
      <c r="B75">
        <v>2019</v>
      </c>
      <c r="C75" t="s">
        <v>341</v>
      </c>
      <c r="D75" t="s">
        <v>342</v>
      </c>
      <c r="E75" t="b">
        <v>1</v>
      </c>
      <c r="F75" t="s">
        <v>772</v>
      </c>
      <c r="G75" t="s">
        <v>223</v>
      </c>
      <c r="H75">
        <v>1</v>
      </c>
    </row>
    <row r="76" spans="1:8" x14ac:dyDescent="0.35">
      <c r="A76" t="s">
        <v>343</v>
      </c>
      <c r="B76">
        <v>2019</v>
      </c>
      <c r="C76" t="s">
        <v>344</v>
      </c>
      <c r="D76" t="s">
        <v>773</v>
      </c>
      <c r="E76" t="b">
        <v>1</v>
      </c>
      <c r="F76" t="s">
        <v>774</v>
      </c>
      <c r="G76" t="s">
        <v>223</v>
      </c>
      <c r="H76">
        <v>1</v>
      </c>
    </row>
    <row r="77" spans="1:8" x14ac:dyDescent="0.35">
      <c r="A77" t="s">
        <v>346</v>
      </c>
      <c r="B77">
        <v>2019</v>
      </c>
      <c r="C77" t="s">
        <v>347</v>
      </c>
      <c r="D77" t="s">
        <v>775</v>
      </c>
      <c r="E77" t="b">
        <v>1</v>
      </c>
      <c r="F77" t="s">
        <v>776</v>
      </c>
      <c r="G77" t="s">
        <v>223</v>
      </c>
      <c r="H77">
        <v>1</v>
      </c>
    </row>
    <row r="78" spans="1:8" x14ac:dyDescent="0.35">
      <c r="A78" t="s">
        <v>349</v>
      </c>
      <c r="B78">
        <v>2019</v>
      </c>
      <c r="C78" t="s">
        <v>350</v>
      </c>
      <c r="D78" t="s">
        <v>777</v>
      </c>
      <c r="E78" t="b">
        <v>0</v>
      </c>
      <c r="F78" t="s">
        <v>778</v>
      </c>
      <c r="G78" t="s">
        <v>222</v>
      </c>
      <c r="H78">
        <v>1</v>
      </c>
    </row>
    <row r="79" spans="1:8" x14ac:dyDescent="0.35">
      <c r="A79" t="s">
        <v>352</v>
      </c>
      <c r="B79">
        <v>2019</v>
      </c>
      <c r="C79" t="s">
        <v>353</v>
      </c>
      <c r="D79" t="s">
        <v>354</v>
      </c>
      <c r="E79" t="b">
        <v>0</v>
      </c>
      <c r="F79" t="s">
        <v>779</v>
      </c>
      <c r="G79" t="s">
        <v>222</v>
      </c>
      <c r="H79">
        <v>0.9</v>
      </c>
    </row>
    <row r="80" spans="1:8" x14ac:dyDescent="0.35">
      <c r="A80" t="s">
        <v>355</v>
      </c>
      <c r="B80">
        <v>2019</v>
      </c>
      <c r="C80" t="s">
        <v>353</v>
      </c>
      <c r="D80" t="s">
        <v>357</v>
      </c>
      <c r="E80" t="b">
        <v>0</v>
      </c>
      <c r="F80" t="s">
        <v>780</v>
      </c>
      <c r="G80" t="s">
        <v>222</v>
      </c>
      <c r="H80">
        <v>1</v>
      </c>
    </row>
    <row r="81" spans="1:8" x14ac:dyDescent="0.35">
      <c r="A81" t="s">
        <v>358</v>
      </c>
      <c r="B81">
        <v>2019</v>
      </c>
      <c r="C81" t="s">
        <v>359</v>
      </c>
      <c r="D81" t="s">
        <v>781</v>
      </c>
      <c r="E81" t="b">
        <v>0</v>
      </c>
      <c r="F81" t="s">
        <v>780</v>
      </c>
      <c r="G81" t="s">
        <v>222</v>
      </c>
      <c r="H81">
        <v>1</v>
      </c>
    </row>
    <row r="82" spans="1:8" x14ac:dyDescent="0.35">
      <c r="A82" t="s">
        <v>361</v>
      </c>
      <c r="B82">
        <v>2019</v>
      </c>
      <c r="C82" t="s">
        <v>362</v>
      </c>
      <c r="D82" t="s">
        <v>363</v>
      </c>
      <c r="E82" t="b">
        <v>1</v>
      </c>
      <c r="F82" t="s">
        <v>782</v>
      </c>
      <c r="G82" t="s">
        <v>223</v>
      </c>
      <c r="H82">
        <v>1</v>
      </c>
    </row>
    <row r="83" spans="1:8" x14ac:dyDescent="0.35">
      <c r="A83" t="s">
        <v>367</v>
      </c>
      <c r="B83">
        <v>2019</v>
      </c>
      <c r="C83" t="s">
        <v>368</v>
      </c>
      <c r="D83" t="s">
        <v>783</v>
      </c>
      <c r="E83" t="b">
        <v>1</v>
      </c>
      <c r="F83" t="s">
        <v>784</v>
      </c>
      <c r="G83" t="s">
        <v>223</v>
      </c>
      <c r="H83">
        <v>1</v>
      </c>
    </row>
    <row r="84" spans="1:8" x14ac:dyDescent="0.35">
      <c r="A84" t="s">
        <v>373</v>
      </c>
      <c r="B84">
        <v>2019</v>
      </c>
      <c r="C84" t="s">
        <v>374</v>
      </c>
      <c r="D84" t="s">
        <v>785</v>
      </c>
      <c r="E84" t="b">
        <v>0</v>
      </c>
      <c r="F84" t="s">
        <v>786</v>
      </c>
      <c r="G84" t="s">
        <v>222</v>
      </c>
      <c r="H84">
        <v>0.95</v>
      </c>
    </row>
    <row r="85" spans="1:8" x14ac:dyDescent="0.35">
      <c r="A85" t="s">
        <v>376</v>
      </c>
      <c r="B85">
        <v>2019</v>
      </c>
      <c r="C85" t="s">
        <v>377</v>
      </c>
      <c r="D85" t="s">
        <v>787</v>
      </c>
      <c r="E85" t="b">
        <v>1</v>
      </c>
      <c r="F85" t="s">
        <v>250</v>
      </c>
      <c r="G85" t="s">
        <v>238</v>
      </c>
      <c r="H85">
        <v>0.5</v>
      </c>
    </row>
    <row r="86" spans="1:8" ht="409.5" x14ac:dyDescent="0.35">
      <c r="A86" t="s">
        <v>379</v>
      </c>
      <c r="B86">
        <v>2019</v>
      </c>
      <c r="C86" t="s">
        <v>380</v>
      </c>
      <c r="D86" s="1" t="s">
        <v>381</v>
      </c>
      <c r="E86" t="b">
        <v>1</v>
      </c>
      <c r="F86" t="s">
        <v>788</v>
      </c>
      <c r="G86" t="s">
        <v>223</v>
      </c>
      <c r="H86">
        <v>1</v>
      </c>
    </row>
    <row r="87" spans="1:8" x14ac:dyDescent="0.35">
      <c r="A87" t="s">
        <v>382</v>
      </c>
      <c r="B87">
        <v>2019</v>
      </c>
      <c r="C87" t="s">
        <v>383</v>
      </c>
      <c r="D87" t="s">
        <v>789</v>
      </c>
      <c r="E87" t="b">
        <v>1</v>
      </c>
      <c r="F87" t="s">
        <v>250</v>
      </c>
      <c r="G87" t="s">
        <v>238</v>
      </c>
      <c r="H87">
        <v>0.5</v>
      </c>
    </row>
    <row r="88" spans="1:8" x14ac:dyDescent="0.35">
      <c r="A88" t="s">
        <v>385</v>
      </c>
      <c r="B88">
        <v>2019</v>
      </c>
      <c r="C88" t="s">
        <v>386</v>
      </c>
      <c r="D88" t="s">
        <v>387</v>
      </c>
      <c r="E88" t="b">
        <v>0</v>
      </c>
      <c r="F88" t="s">
        <v>790</v>
      </c>
      <c r="G88" t="s">
        <v>222</v>
      </c>
      <c r="H88">
        <v>1</v>
      </c>
    </row>
    <row r="89" spans="1:8" x14ac:dyDescent="0.35">
      <c r="A89" t="s">
        <v>388</v>
      </c>
      <c r="B89">
        <v>2019</v>
      </c>
      <c r="C89" t="s">
        <v>389</v>
      </c>
      <c r="D89" t="s">
        <v>791</v>
      </c>
      <c r="E89" t="b">
        <v>1</v>
      </c>
      <c r="F89" t="s">
        <v>792</v>
      </c>
      <c r="G89" t="s">
        <v>223</v>
      </c>
      <c r="H89">
        <v>1</v>
      </c>
    </row>
    <row r="90" spans="1:8" x14ac:dyDescent="0.35">
      <c r="A90" t="s">
        <v>391</v>
      </c>
      <c r="B90">
        <v>2019</v>
      </c>
      <c r="C90" t="s">
        <v>392</v>
      </c>
      <c r="D90" t="s">
        <v>393</v>
      </c>
      <c r="E90" t="b">
        <v>1</v>
      </c>
      <c r="F90" t="s">
        <v>793</v>
      </c>
      <c r="G90" t="s">
        <v>223</v>
      </c>
      <c r="H90">
        <v>0.9</v>
      </c>
    </row>
    <row r="91" spans="1:8" x14ac:dyDescent="0.35">
      <c r="A91" t="s">
        <v>394</v>
      </c>
      <c r="B91">
        <v>2019</v>
      </c>
      <c r="C91" t="s">
        <v>395</v>
      </c>
      <c r="D91" t="s">
        <v>396</v>
      </c>
      <c r="E91" t="b">
        <v>1</v>
      </c>
      <c r="F91" t="s">
        <v>794</v>
      </c>
      <c r="G91" t="s">
        <v>223</v>
      </c>
      <c r="H91">
        <v>1</v>
      </c>
    </row>
    <row r="92" spans="1:8" x14ac:dyDescent="0.35">
      <c r="A92" t="s">
        <v>397</v>
      </c>
      <c r="B92">
        <v>2019</v>
      </c>
      <c r="C92" t="s">
        <v>398</v>
      </c>
      <c r="D92" t="s">
        <v>399</v>
      </c>
      <c r="E92" t="b">
        <v>1</v>
      </c>
      <c r="F92" t="s">
        <v>795</v>
      </c>
      <c r="G92" t="s">
        <v>223</v>
      </c>
      <c r="H92">
        <v>1</v>
      </c>
    </row>
    <row r="93" spans="1:8" x14ac:dyDescent="0.35">
      <c r="A93" t="s">
        <v>400</v>
      </c>
      <c r="B93">
        <v>2019</v>
      </c>
      <c r="C93" t="s">
        <v>401</v>
      </c>
      <c r="D93" t="s">
        <v>402</v>
      </c>
      <c r="E93" t="b">
        <v>1</v>
      </c>
      <c r="F93" t="s">
        <v>796</v>
      </c>
      <c r="G93" t="s">
        <v>223</v>
      </c>
      <c r="H93">
        <v>1</v>
      </c>
    </row>
    <row r="94" spans="1:8" x14ac:dyDescent="0.35">
      <c r="A94" t="s">
        <v>403</v>
      </c>
      <c r="B94">
        <v>2019</v>
      </c>
      <c r="C94" t="s">
        <v>404</v>
      </c>
      <c r="D94" t="s">
        <v>797</v>
      </c>
      <c r="E94" t="b">
        <v>1</v>
      </c>
      <c r="F94" t="s">
        <v>250</v>
      </c>
      <c r="G94" t="s">
        <v>238</v>
      </c>
      <c r="H94">
        <v>0.5</v>
      </c>
    </row>
    <row r="95" spans="1:8" x14ac:dyDescent="0.35">
      <c r="A95" t="s">
        <v>406</v>
      </c>
      <c r="B95">
        <v>2019</v>
      </c>
      <c r="C95" t="s">
        <v>407</v>
      </c>
      <c r="D95" t="s">
        <v>408</v>
      </c>
      <c r="E95" t="b">
        <v>0</v>
      </c>
      <c r="F95" t="s">
        <v>798</v>
      </c>
      <c r="G95" t="s">
        <v>222</v>
      </c>
      <c r="H95">
        <v>1</v>
      </c>
    </row>
    <row r="96" spans="1:8" x14ac:dyDescent="0.35">
      <c r="A96" t="s">
        <v>409</v>
      </c>
      <c r="B96">
        <v>2019</v>
      </c>
      <c r="C96" t="s">
        <v>410</v>
      </c>
      <c r="D96" t="s">
        <v>799</v>
      </c>
      <c r="E96" t="b">
        <v>0</v>
      </c>
      <c r="F96" t="s">
        <v>800</v>
      </c>
      <c r="G96" t="s">
        <v>222</v>
      </c>
      <c r="H96">
        <v>1</v>
      </c>
    </row>
    <row r="97" spans="1:8" x14ac:dyDescent="0.35">
      <c r="A97" t="s">
        <v>412</v>
      </c>
      <c r="B97">
        <v>2019</v>
      </c>
      <c r="C97" t="s">
        <v>413</v>
      </c>
      <c r="D97" t="s">
        <v>801</v>
      </c>
      <c r="E97" t="b">
        <v>1</v>
      </c>
      <c r="F97" t="s">
        <v>802</v>
      </c>
      <c r="G97" t="s">
        <v>223</v>
      </c>
      <c r="H97">
        <v>1</v>
      </c>
    </row>
    <row r="98" spans="1:8" x14ac:dyDescent="0.35">
      <c r="A98" t="s">
        <v>415</v>
      </c>
      <c r="B98">
        <v>2019</v>
      </c>
      <c r="C98" t="s">
        <v>416</v>
      </c>
      <c r="D98" t="s">
        <v>803</v>
      </c>
      <c r="E98" t="b">
        <v>1</v>
      </c>
      <c r="F98" t="s">
        <v>250</v>
      </c>
      <c r="G98" t="s">
        <v>238</v>
      </c>
      <c r="H98">
        <v>0.5</v>
      </c>
    </row>
    <row r="99" spans="1:8" x14ac:dyDescent="0.35">
      <c r="A99" t="s">
        <v>418</v>
      </c>
      <c r="B99">
        <v>2021</v>
      </c>
      <c r="C99" t="s">
        <v>419</v>
      </c>
      <c r="D99" t="s">
        <v>804</v>
      </c>
      <c r="E99" t="b">
        <v>1</v>
      </c>
      <c r="F99" t="s">
        <v>805</v>
      </c>
      <c r="G99" t="s">
        <v>223</v>
      </c>
      <c r="H99">
        <v>0.9</v>
      </c>
    </row>
    <row r="100" spans="1:8" x14ac:dyDescent="0.35">
      <c r="A100" t="s">
        <v>421</v>
      </c>
      <c r="B100">
        <v>2021</v>
      </c>
      <c r="C100" t="s">
        <v>422</v>
      </c>
      <c r="D100" t="s">
        <v>806</v>
      </c>
      <c r="E100" t="b">
        <v>0</v>
      </c>
      <c r="F100" t="s">
        <v>807</v>
      </c>
      <c r="G100" t="s">
        <v>222</v>
      </c>
      <c r="H100">
        <v>1</v>
      </c>
    </row>
    <row r="101" spans="1:8" x14ac:dyDescent="0.35">
      <c r="A101" t="s">
        <v>424</v>
      </c>
      <c r="B101">
        <v>2021</v>
      </c>
      <c r="C101" t="s">
        <v>425</v>
      </c>
      <c r="D101" t="s">
        <v>426</v>
      </c>
      <c r="E101" t="b">
        <v>1</v>
      </c>
      <c r="F101" t="s">
        <v>808</v>
      </c>
      <c r="G101" t="s">
        <v>223</v>
      </c>
      <c r="H101">
        <v>1</v>
      </c>
    </row>
    <row r="102" spans="1:8" x14ac:dyDescent="0.35">
      <c r="A102" t="s">
        <v>427</v>
      </c>
      <c r="B102">
        <v>2021</v>
      </c>
      <c r="C102" t="s">
        <v>809</v>
      </c>
      <c r="D102" t="s">
        <v>810</v>
      </c>
      <c r="E102" t="b">
        <v>1</v>
      </c>
      <c r="F102" t="s">
        <v>250</v>
      </c>
      <c r="G102" t="s">
        <v>238</v>
      </c>
      <c r="H102">
        <v>0.5</v>
      </c>
    </row>
    <row r="103" spans="1:8" x14ac:dyDescent="0.35">
      <c r="A103" t="s">
        <v>430</v>
      </c>
      <c r="B103">
        <v>2021</v>
      </c>
      <c r="C103" t="s">
        <v>431</v>
      </c>
      <c r="D103" t="s">
        <v>811</v>
      </c>
      <c r="E103" t="b">
        <v>1</v>
      </c>
      <c r="F103" t="s">
        <v>250</v>
      </c>
      <c r="G103" t="s">
        <v>238</v>
      </c>
      <c r="H103">
        <v>0.5</v>
      </c>
    </row>
    <row r="104" spans="1:8" x14ac:dyDescent="0.35">
      <c r="A104" t="s">
        <v>433</v>
      </c>
      <c r="B104">
        <v>2021</v>
      </c>
      <c r="C104" t="s">
        <v>812</v>
      </c>
      <c r="D104" t="s">
        <v>813</v>
      </c>
      <c r="E104" t="b">
        <v>1</v>
      </c>
      <c r="F104" t="s">
        <v>250</v>
      </c>
      <c r="G104" t="s">
        <v>238</v>
      </c>
      <c r="H104">
        <v>0.5</v>
      </c>
    </row>
    <row r="105" spans="1:8" x14ac:dyDescent="0.35">
      <c r="A105" t="s">
        <v>436</v>
      </c>
      <c r="B105">
        <v>2021</v>
      </c>
      <c r="C105" t="s">
        <v>437</v>
      </c>
      <c r="D105" t="s">
        <v>438</v>
      </c>
      <c r="E105" t="b">
        <v>1</v>
      </c>
      <c r="F105" t="s">
        <v>814</v>
      </c>
      <c r="G105" t="s">
        <v>223</v>
      </c>
      <c r="H105">
        <v>1</v>
      </c>
    </row>
    <row r="106" spans="1:8" x14ac:dyDescent="0.35">
      <c r="A106" t="s">
        <v>439</v>
      </c>
      <c r="B106">
        <v>2021</v>
      </c>
      <c r="C106" t="s">
        <v>440</v>
      </c>
      <c r="D106" t="s">
        <v>815</v>
      </c>
      <c r="E106" t="b">
        <v>0</v>
      </c>
      <c r="F106" t="s">
        <v>816</v>
      </c>
      <c r="G106" t="s">
        <v>222</v>
      </c>
      <c r="H106">
        <v>1</v>
      </c>
    </row>
    <row r="107" spans="1:8" x14ac:dyDescent="0.35">
      <c r="A107" t="s">
        <v>442</v>
      </c>
      <c r="B107">
        <v>2021</v>
      </c>
      <c r="C107" t="s">
        <v>443</v>
      </c>
      <c r="D107" t="s">
        <v>817</v>
      </c>
      <c r="E107" t="b">
        <v>0</v>
      </c>
      <c r="F107" t="s">
        <v>818</v>
      </c>
      <c r="G107" t="s">
        <v>222</v>
      </c>
      <c r="H107">
        <v>1</v>
      </c>
    </row>
    <row r="108" spans="1:8" x14ac:dyDescent="0.35">
      <c r="A108" t="s">
        <v>445</v>
      </c>
      <c r="B108">
        <v>2021</v>
      </c>
      <c r="C108" t="s">
        <v>446</v>
      </c>
      <c r="D108" t="s">
        <v>819</v>
      </c>
      <c r="E108" t="b">
        <v>0</v>
      </c>
      <c r="F108" t="s">
        <v>820</v>
      </c>
      <c r="G108" t="s">
        <v>222</v>
      </c>
      <c r="H108">
        <v>1</v>
      </c>
    </row>
    <row r="109" spans="1:8" x14ac:dyDescent="0.35">
      <c r="A109" t="s">
        <v>448</v>
      </c>
      <c r="B109">
        <v>2021</v>
      </c>
      <c r="C109" t="s">
        <v>449</v>
      </c>
      <c r="D109" t="s">
        <v>821</v>
      </c>
      <c r="E109" t="b">
        <v>1</v>
      </c>
      <c r="F109" t="s">
        <v>822</v>
      </c>
      <c r="G109" t="s">
        <v>223</v>
      </c>
      <c r="H109">
        <v>1</v>
      </c>
    </row>
    <row r="110" spans="1:8" x14ac:dyDescent="0.35">
      <c r="A110" t="s">
        <v>451</v>
      </c>
      <c r="B110">
        <v>2021</v>
      </c>
      <c r="C110" t="s">
        <v>452</v>
      </c>
      <c r="D110" t="s">
        <v>823</v>
      </c>
      <c r="E110" t="b">
        <v>1</v>
      </c>
      <c r="F110" t="s">
        <v>250</v>
      </c>
      <c r="G110" t="s">
        <v>238</v>
      </c>
      <c r="H110">
        <v>0.5</v>
      </c>
    </row>
    <row r="111" spans="1:8" x14ac:dyDescent="0.35">
      <c r="A111" t="s">
        <v>454</v>
      </c>
      <c r="B111">
        <v>2021</v>
      </c>
      <c r="C111" t="s">
        <v>455</v>
      </c>
      <c r="D111" t="s">
        <v>824</v>
      </c>
      <c r="E111" t="b">
        <v>1</v>
      </c>
      <c r="F111" t="s">
        <v>825</v>
      </c>
      <c r="G111" t="s">
        <v>223</v>
      </c>
      <c r="H111">
        <v>1</v>
      </c>
    </row>
    <row r="112" spans="1:8" x14ac:dyDescent="0.35">
      <c r="A112" t="s">
        <v>457</v>
      </c>
      <c r="B112">
        <v>2021</v>
      </c>
      <c r="C112" t="s">
        <v>458</v>
      </c>
      <c r="D112" t="s">
        <v>826</v>
      </c>
      <c r="E112" t="b">
        <v>1</v>
      </c>
      <c r="F112" t="s">
        <v>827</v>
      </c>
      <c r="G112" t="s">
        <v>223</v>
      </c>
      <c r="H112">
        <v>0.95</v>
      </c>
    </row>
    <row r="113" spans="1:8" x14ac:dyDescent="0.35">
      <c r="A113" t="s">
        <v>460</v>
      </c>
      <c r="B113">
        <v>2021</v>
      </c>
      <c r="C113" t="s">
        <v>461</v>
      </c>
      <c r="D113" t="s">
        <v>828</v>
      </c>
      <c r="E113" t="b">
        <v>1</v>
      </c>
      <c r="F113" t="s">
        <v>829</v>
      </c>
      <c r="G113" t="s">
        <v>223</v>
      </c>
      <c r="H113">
        <v>1</v>
      </c>
    </row>
    <row r="114" spans="1:8" x14ac:dyDescent="0.35">
      <c r="A114" t="s">
        <v>463</v>
      </c>
      <c r="B114">
        <v>2021</v>
      </c>
      <c r="C114" t="s">
        <v>464</v>
      </c>
      <c r="D114" t="s">
        <v>830</v>
      </c>
      <c r="E114" t="b">
        <v>1</v>
      </c>
      <c r="F114" t="s">
        <v>831</v>
      </c>
      <c r="G114" t="s">
        <v>223</v>
      </c>
      <c r="H114">
        <v>1</v>
      </c>
    </row>
    <row r="115" spans="1:8" x14ac:dyDescent="0.35">
      <c r="A115" t="s">
        <v>466</v>
      </c>
      <c r="B115">
        <v>2021</v>
      </c>
      <c r="C115" t="s">
        <v>467</v>
      </c>
      <c r="D115" t="s">
        <v>832</v>
      </c>
      <c r="E115" t="b">
        <v>1</v>
      </c>
      <c r="F115" t="s">
        <v>833</v>
      </c>
      <c r="G115" t="s">
        <v>223</v>
      </c>
      <c r="H115">
        <v>1</v>
      </c>
    </row>
    <row r="116" spans="1:8" x14ac:dyDescent="0.35">
      <c r="A116" t="s">
        <v>469</v>
      </c>
      <c r="B116">
        <v>2021</v>
      </c>
      <c r="C116" t="s">
        <v>470</v>
      </c>
      <c r="D116" t="s">
        <v>834</v>
      </c>
      <c r="E116" t="b">
        <v>1</v>
      </c>
      <c r="F116" t="s">
        <v>835</v>
      </c>
      <c r="G116" t="s">
        <v>223</v>
      </c>
      <c r="H116">
        <v>0.9</v>
      </c>
    </row>
    <row r="117" spans="1:8" x14ac:dyDescent="0.35">
      <c r="A117" t="s">
        <v>472</v>
      </c>
      <c r="B117">
        <v>2021</v>
      </c>
      <c r="C117" t="s">
        <v>473</v>
      </c>
      <c r="D117" t="s">
        <v>836</v>
      </c>
      <c r="E117" t="b">
        <v>1</v>
      </c>
      <c r="F117" t="s">
        <v>837</v>
      </c>
      <c r="G117" t="s">
        <v>223</v>
      </c>
      <c r="H117">
        <v>1</v>
      </c>
    </row>
    <row r="118" spans="1:8" x14ac:dyDescent="0.35">
      <c r="A118" t="s">
        <v>475</v>
      </c>
      <c r="B118">
        <v>2021</v>
      </c>
      <c r="C118" t="s">
        <v>476</v>
      </c>
      <c r="D118" t="s">
        <v>838</v>
      </c>
      <c r="E118" t="b">
        <v>1</v>
      </c>
      <c r="F118" t="s">
        <v>250</v>
      </c>
      <c r="G118" t="s">
        <v>238</v>
      </c>
      <c r="H118">
        <v>0.5</v>
      </c>
    </row>
    <row r="119" spans="1:8" ht="409.5" x14ac:dyDescent="0.35">
      <c r="A119" t="s">
        <v>478</v>
      </c>
      <c r="B119">
        <v>2021</v>
      </c>
      <c r="C119" t="s">
        <v>479</v>
      </c>
      <c r="D119" s="1" t="s">
        <v>480</v>
      </c>
      <c r="E119" t="b">
        <v>1</v>
      </c>
      <c r="F119" t="s">
        <v>839</v>
      </c>
      <c r="G119" t="s">
        <v>223</v>
      </c>
      <c r="H119">
        <v>1</v>
      </c>
    </row>
    <row r="120" spans="1:8" x14ac:dyDescent="0.35">
      <c r="A120" t="s">
        <v>481</v>
      </c>
      <c r="B120">
        <v>2021</v>
      </c>
      <c r="C120" t="s">
        <v>482</v>
      </c>
      <c r="D120" t="s">
        <v>483</v>
      </c>
      <c r="E120" t="b">
        <v>1</v>
      </c>
      <c r="F120" t="s">
        <v>840</v>
      </c>
      <c r="G120" t="s">
        <v>223</v>
      </c>
      <c r="H120">
        <v>0.9</v>
      </c>
    </row>
    <row r="121" spans="1:8" x14ac:dyDescent="0.35">
      <c r="A121" t="s">
        <v>484</v>
      </c>
      <c r="B121">
        <v>2021</v>
      </c>
      <c r="C121" t="s">
        <v>485</v>
      </c>
      <c r="D121" t="s">
        <v>841</v>
      </c>
      <c r="E121" t="b">
        <v>1</v>
      </c>
      <c r="F121" t="s">
        <v>842</v>
      </c>
      <c r="G121" t="s">
        <v>223</v>
      </c>
      <c r="H121">
        <v>1</v>
      </c>
    </row>
    <row r="122" spans="1:8" x14ac:dyDescent="0.35">
      <c r="A122" t="s">
        <v>487</v>
      </c>
      <c r="B122">
        <v>2021</v>
      </c>
      <c r="C122" t="s">
        <v>488</v>
      </c>
      <c r="D122" t="s">
        <v>843</v>
      </c>
      <c r="E122" t="b">
        <v>1</v>
      </c>
      <c r="F122" t="s">
        <v>250</v>
      </c>
      <c r="G122" t="s">
        <v>238</v>
      </c>
      <c r="H122">
        <v>0.5</v>
      </c>
    </row>
    <row r="123" spans="1:8" x14ac:dyDescent="0.35">
      <c r="A123" t="s">
        <v>490</v>
      </c>
      <c r="B123">
        <v>2021</v>
      </c>
      <c r="C123" t="s">
        <v>491</v>
      </c>
      <c r="D123" t="s">
        <v>844</v>
      </c>
      <c r="E123" t="b">
        <v>1</v>
      </c>
      <c r="F123" t="s">
        <v>250</v>
      </c>
      <c r="G123" t="s">
        <v>238</v>
      </c>
      <c r="H123">
        <v>0.5</v>
      </c>
    </row>
    <row r="124" spans="1:8" x14ac:dyDescent="0.35">
      <c r="A124" t="s">
        <v>493</v>
      </c>
      <c r="B124">
        <v>2021</v>
      </c>
      <c r="C124" t="s">
        <v>494</v>
      </c>
      <c r="D124" t="s">
        <v>845</v>
      </c>
      <c r="E124" t="b">
        <v>1</v>
      </c>
      <c r="F124" t="s">
        <v>846</v>
      </c>
      <c r="G124" t="s">
        <v>223</v>
      </c>
      <c r="H124">
        <v>1</v>
      </c>
    </row>
    <row r="125" spans="1:8" x14ac:dyDescent="0.35">
      <c r="A125" t="s">
        <v>496</v>
      </c>
      <c r="B125">
        <v>2021</v>
      </c>
      <c r="C125" t="s">
        <v>497</v>
      </c>
      <c r="D125" t="s">
        <v>498</v>
      </c>
      <c r="E125" t="b">
        <v>1</v>
      </c>
      <c r="F125" t="s">
        <v>847</v>
      </c>
      <c r="G125" t="s">
        <v>223</v>
      </c>
      <c r="H125">
        <v>1</v>
      </c>
    </row>
    <row r="126" spans="1:8" x14ac:dyDescent="0.35">
      <c r="A126" t="s">
        <v>499</v>
      </c>
      <c r="B126">
        <v>2021</v>
      </c>
      <c r="C126" t="s">
        <v>848</v>
      </c>
      <c r="D126" t="s">
        <v>849</v>
      </c>
      <c r="E126" t="b">
        <v>1</v>
      </c>
      <c r="F126" t="s">
        <v>250</v>
      </c>
      <c r="G126" t="s">
        <v>238</v>
      </c>
      <c r="H126">
        <v>0.5</v>
      </c>
    </row>
    <row r="127" spans="1:8" x14ac:dyDescent="0.35">
      <c r="A127" t="s">
        <v>502</v>
      </c>
      <c r="B127">
        <v>2021</v>
      </c>
      <c r="C127" t="s">
        <v>850</v>
      </c>
      <c r="D127" t="s">
        <v>851</v>
      </c>
      <c r="E127" t="b">
        <v>1</v>
      </c>
      <c r="F127" t="s">
        <v>852</v>
      </c>
      <c r="G127" t="s">
        <v>223</v>
      </c>
      <c r="H127">
        <v>0.9</v>
      </c>
    </row>
    <row r="128" spans="1:8" x14ac:dyDescent="0.35">
      <c r="A128" t="s">
        <v>505</v>
      </c>
      <c r="B128">
        <v>2021</v>
      </c>
      <c r="C128" t="s">
        <v>506</v>
      </c>
      <c r="D128" t="s">
        <v>853</v>
      </c>
      <c r="E128" t="b">
        <v>0</v>
      </c>
      <c r="F128" t="s">
        <v>247</v>
      </c>
      <c r="G128" t="s">
        <v>222</v>
      </c>
      <c r="H128">
        <v>1</v>
      </c>
    </row>
    <row r="129" spans="1:8" x14ac:dyDescent="0.35">
      <c r="A129" t="s">
        <v>508</v>
      </c>
      <c r="B129">
        <v>2021</v>
      </c>
      <c r="C129" t="s">
        <v>509</v>
      </c>
      <c r="D129" t="s">
        <v>854</v>
      </c>
      <c r="E129" t="b">
        <v>0</v>
      </c>
      <c r="F129" t="s">
        <v>247</v>
      </c>
      <c r="G129" t="s">
        <v>222</v>
      </c>
      <c r="H129">
        <v>1</v>
      </c>
    </row>
    <row r="130" spans="1:8" x14ac:dyDescent="0.35">
      <c r="A130" t="s">
        <v>511</v>
      </c>
      <c r="B130">
        <v>2021</v>
      </c>
      <c r="C130" t="s">
        <v>512</v>
      </c>
      <c r="D130" t="s">
        <v>855</v>
      </c>
      <c r="E130" t="b">
        <v>1</v>
      </c>
      <c r="F130" t="s">
        <v>250</v>
      </c>
      <c r="G130" t="s">
        <v>238</v>
      </c>
      <c r="H130">
        <v>0.6</v>
      </c>
    </row>
    <row r="131" spans="1:8" x14ac:dyDescent="0.35">
      <c r="A131" t="s">
        <v>514</v>
      </c>
      <c r="B131">
        <v>2021</v>
      </c>
      <c r="C131" t="s">
        <v>515</v>
      </c>
      <c r="D131" t="s">
        <v>516</v>
      </c>
      <c r="E131" t="b">
        <v>1</v>
      </c>
      <c r="F131" t="s">
        <v>856</v>
      </c>
      <c r="G131" t="s">
        <v>223</v>
      </c>
      <c r="H131">
        <v>0.9</v>
      </c>
    </row>
    <row r="132" spans="1:8" ht="409.5" x14ac:dyDescent="0.35">
      <c r="A132" t="s">
        <v>517</v>
      </c>
      <c r="B132">
        <v>2021</v>
      </c>
      <c r="C132" t="s">
        <v>518</v>
      </c>
      <c r="D132" s="1" t="s">
        <v>519</v>
      </c>
      <c r="E132" t="b">
        <v>1</v>
      </c>
      <c r="F132" t="s">
        <v>857</v>
      </c>
      <c r="G132" t="s">
        <v>223</v>
      </c>
      <c r="H132">
        <v>1</v>
      </c>
    </row>
    <row r="133" spans="1:8" x14ac:dyDescent="0.35">
      <c r="A133" t="s">
        <v>520</v>
      </c>
      <c r="B133">
        <v>2021</v>
      </c>
      <c r="C133" t="s">
        <v>521</v>
      </c>
      <c r="D133" t="s">
        <v>858</v>
      </c>
      <c r="E133" t="b">
        <v>1</v>
      </c>
      <c r="F133" t="s">
        <v>859</v>
      </c>
      <c r="G133" t="s">
        <v>223</v>
      </c>
      <c r="H133">
        <v>1</v>
      </c>
    </row>
    <row r="134" spans="1:8" x14ac:dyDescent="0.35">
      <c r="A134" t="s">
        <v>523</v>
      </c>
      <c r="B134">
        <v>2021</v>
      </c>
      <c r="C134" t="s">
        <v>860</v>
      </c>
      <c r="D134" t="s">
        <v>861</v>
      </c>
      <c r="E134" t="b">
        <v>1</v>
      </c>
      <c r="F134" t="s">
        <v>250</v>
      </c>
      <c r="G134" t="s">
        <v>238</v>
      </c>
      <c r="H134">
        <v>0.5</v>
      </c>
    </row>
    <row r="135" spans="1:8" x14ac:dyDescent="0.35">
      <c r="A135" t="s">
        <v>526</v>
      </c>
      <c r="B135">
        <v>2021</v>
      </c>
      <c r="C135" t="s">
        <v>527</v>
      </c>
      <c r="D135" t="s">
        <v>528</v>
      </c>
      <c r="E135" t="b">
        <v>1</v>
      </c>
      <c r="F135" t="s">
        <v>862</v>
      </c>
      <c r="G135" t="s">
        <v>223</v>
      </c>
      <c r="H135">
        <v>1</v>
      </c>
    </row>
    <row r="136" spans="1:8" x14ac:dyDescent="0.35">
      <c r="A136" t="s">
        <v>529</v>
      </c>
      <c r="B136">
        <v>2021</v>
      </c>
      <c r="C136" t="s">
        <v>863</v>
      </c>
      <c r="D136" t="s">
        <v>864</v>
      </c>
      <c r="E136" t="b">
        <v>1</v>
      </c>
      <c r="F136" t="s">
        <v>250</v>
      </c>
      <c r="G136" t="s">
        <v>238</v>
      </c>
      <c r="H136">
        <v>0.5</v>
      </c>
    </row>
    <row r="137" spans="1:8" x14ac:dyDescent="0.35">
      <c r="A137" t="s">
        <v>532</v>
      </c>
      <c r="B137">
        <v>2021</v>
      </c>
      <c r="C137" t="s">
        <v>533</v>
      </c>
      <c r="D137" t="s">
        <v>865</v>
      </c>
      <c r="E137" t="b">
        <v>1</v>
      </c>
      <c r="F137" t="s">
        <v>866</v>
      </c>
      <c r="G137" t="s">
        <v>223</v>
      </c>
      <c r="H137">
        <v>0.9</v>
      </c>
    </row>
    <row r="138" spans="1:8" x14ac:dyDescent="0.35">
      <c r="A138" t="s">
        <v>535</v>
      </c>
      <c r="B138">
        <v>2021</v>
      </c>
      <c r="C138" t="s">
        <v>536</v>
      </c>
      <c r="D138" t="s">
        <v>537</v>
      </c>
      <c r="E138" t="b">
        <v>1</v>
      </c>
      <c r="F138" t="s">
        <v>867</v>
      </c>
      <c r="G138" t="s">
        <v>223</v>
      </c>
      <c r="H138">
        <v>1</v>
      </c>
    </row>
    <row r="139" spans="1:8" x14ac:dyDescent="0.35">
      <c r="A139" t="s">
        <v>538</v>
      </c>
      <c r="B139">
        <v>2021</v>
      </c>
      <c r="C139" t="s">
        <v>539</v>
      </c>
      <c r="D139" t="s">
        <v>868</v>
      </c>
      <c r="E139" t="b">
        <v>1</v>
      </c>
      <c r="F139" t="s">
        <v>250</v>
      </c>
      <c r="G139" t="s">
        <v>238</v>
      </c>
      <c r="H139">
        <v>0.5</v>
      </c>
    </row>
    <row r="140" spans="1:8" x14ac:dyDescent="0.35">
      <c r="A140" t="s">
        <v>541</v>
      </c>
      <c r="B140">
        <v>2021</v>
      </c>
      <c r="C140" t="s">
        <v>542</v>
      </c>
      <c r="D140" t="s">
        <v>543</v>
      </c>
      <c r="E140" t="b">
        <v>1</v>
      </c>
      <c r="F140" t="s">
        <v>250</v>
      </c>
      <c r="G140" t="s">
        <v>238</v>
      </c>
      <c r="H140">
        <v>0.5</v>
      </c>
    </row>
    <row r="141" spans="1:8" x14ac:dyDescent="0.35">
      <c r="A141" t="s">
        <v>544</v>
      </c>
      <c r="B141">
        <v>2021</v>
      </c>
      <c r="C141" t="s">
        <v>545</v>
      </c>
      <c r="D141" t="s">
        <v>869</v>
      </c>
      <c r="E141" t="b">
        <v>1</v>
      </c>
      <c r="F141" t="s">
        <v>870</v>
      </c>
      <c r="G141" t="s">
        <v>223</v>
      </c>
      <c r="H141">
        <v>1</v>
      </c>
    </row>
    <row r="142" spans="1:8" x14ac:dyDescent="0.35">
      <c r="A142" t="s">
        <v>547</v>
      </c>
      <c r="B142">
        <v>2021</v>
      </c>
      <c r="C142" t="s">
        <v>548</v>
      </c>
      <c r="D142" t="s">
        <v>549</v>
      </c>
      <c r="E142" t="b">
        <v>1</v>
      </c>
      <c r="F142" t="s">
        <v>250</v>
      </c>
      <c r="G142" t="s">
        <v>238</v>
      </c>
      <c r="H142">
        <v>0.5</v>
      </c>
    </row>
    <row r="143" spans="1:8" x14ac:dyDescent="0.35">
      <c r="A143" t="s">
        <v>550</v>
      </c>
      <c r="B143">
        <v>2021</v>
      </c>
      <c r="C143" t="s">
        <v>551</v>
      </c>
      <c r="D143" t="s">
        <v>871</v>
      </c>
      <c r="E143" t="b">
        <v>1</v>
      </c>
      <c r="F143" t="s">
        <v>872</v>
      </c>
      <c r="G143" t="s">
        <v>223</v>
      </c>
      <c r="H143">
        <v>1</v>
      </c>
    </row>
    <row r="144" spans="1:8" x14ac:dyDescent="0.35">
      <c r="A144" t="s">
        <v>553</v>
      </c>
      <c r="B144">
        <v>2021</v>
      </c>
      <c r="C144" t="s">
        <v>554</v>
      </c>
      <c r="D144" t="s">
        <v>873</v>
      </c>
      <c r="E144" t="b">
        <v>0</v>
      </c>
      <c r="F144" t="s">
        <v>874</v>
      </c>
      <c r="G144" t="s">
        <v>222</v>
      </c>
      <c r="H144">
        <v>1</v>
      </c>
    </row>
    <row r="145" spans="1:8" x14ac:dyDescent="0.35">
      <c r="A145" t="s">
        <v>556</v>
      </c>
      <c r="B145">
        <v>2021</v>
      </c>
      <c r="C145" t="s">
        <v>557</v>
      </c>
      <c r="D145" t="s">
        <v>875</v>
      </c>
      <c r="E145" t="b">
        <v>1</v>
      </c>
      <c r="F145" t="s">
        <v>876</v>
      </c>
      <c r="G145" t="s">
        <v>223</v>
      </c>
      <c r="H145">
        <v>1</v>
      </c>
    </row>
    <row r="146" spans="1:8" x14ac:dyDescent="0.35">
      <c r="A146" t="s">
        <v>559</v>
      </c>
      <c r="B146">
        <v>2021</v>
      </c>
      <c r="C146" t="s">
        <v>560</v>
      </c>
      <c r="D146" t="s">
        <v>877</v>
      </c>
      <c r="E146" t="b">
        <v>1</v>
      </c>
      <c r="F146" t="s">
        <v>878</v>
      </c>
      <c r="G146" t="s">
        <v>223</v>
      </c>
      <c r="H146">
        <v>1</v>
      </c>
    </row>
    <row r="147" spans="1:8" x14ac:dyDescent="0.35">
      <c r="A147" t="s">
        <v>562</v>
      </c>
      <c r="B147">
        <v>2021</v>
      </c>
      <c r="C147" t="s">
        <v>879</v>
      </c>
      <c r="D147" t="s">
        <v>880</v>
      </c>
      <c r="E147" t="b">
        <v>1</v>
      </c>
      <c r="F147" t="s">
        <v>250</v>
      </c>
      <c r="G147" t="s">
        <v>238</v>
      </c>
      <c r="H147">
        <v>0.5</v>
      </c>
    </row>
    <row r="148" spans="1:8" x14ac:dyDescent="0.35">
      <c r="A148" t="s">
        <v>565</v>
      </c>
      <c r="B148">
        <v>2021</v>
      </c>
      <c r="C148" t="s">
        <v>566</v>
      </c>
      <c r="D148" t="s">
        <v>567</v>
      </c>
      <c r="E148" t="b">
        <v>1</v>
      </c>
      <c r="F148" t="s">
        <v>881</v>
      </c>
      <c r="G148" t="s">
        <v>223</v>
      </c>
      <c r="H148">
        <v>1</v>
      </c>
    </row>
    <row r="149" spans="1:8" x14ac:dyDescent="0.35">
      <c r="A149" t="s">
        <v>568</v>
      </c>
      <c r="B149">
        <v>2021</v>
      </c>
      <c r="C149" t="s">
        <v>569</v>
      </c>
      <c r="D149" t="s">
        <v>549</v>
      </c>
      <c r="E149" t="b">
        <v>1</v>
      </c>
      <c r="F149" t="s">
        <v>882</v>
      </c>
      <c r="G149" t="s">
        <v>223</v>
      </c>
      <c r="H149">
        <v>1</v>
      </c>
    </row>
    <row r="150" spans="1:8" x14ac:dyDescent="0.35">
      <c r="A150" t="s">
        <v>570</v>
      </c>
      <c r="B150">
        <v>2021</v>
      </c>
      <c r="C150" t="s">
        <v>571</v>
      </c>
      <c r="D150" t="s">
        <v>883</v>
      </c>
      <c r="E150" t="b">
        <v>1</v>
      </c>
      <c r="F150" t="s">
        <v>884</v>
      </c>
      <c r="G150" t="s">
        <v>223</v>
      </c>
      <c r="H150">
        <v>0.9</v>
      </c>
    </row>
    <row r="151" spans="1:8" x14ac:dyDescent="0.35">
      <c r="A151" t="s">
        <v>573</v>
      </c>
      <c r="B151">
        <v>2021</v>
      </c>
      <c r="C151" t="s">
        <v>574</v>
      </c>
      <c r="D151" t="s">
        <v>885</v>
      </c>
      <c r="E151" t="b">
        <v>1</v>
      </c>
      <c r="F151" t="s">
        <v>250</v>
      </c>
      <c r="G151" t="s">
        <v>238</v>
      </c>
      <c r="H151">
        <v>0.5</v>
      </c>
    </row>
    <row r="152" spans="1:8" x14ac:dyDescent="0.35">
      <c r="A152" t="s">
        <v>576</v>
      </c>
      <c r="B152">
        <v>2021</v>
      </c>
      <c r="C152" t="s">
        <v>577</v>
      </c>
      <c r="D152" t="s">
        <v>886</v>
      </c>
      <c r="E152" t="b">
        <v>1</v>
      </c>
      <c r="F152" t="s">
        <v>250</v>
      </c>
      <c r="G152" t="s">
        <v>238</v>
      </c>
      <c r="H152">
        <v>0.5</v>
      </c>
    </row>
    <row r="153" spans="1:8" x14ac:dyDescent="0.35">
      <c r="A153" t="s">
        <v>579</v>
      </c>
      <c r="B153">
        <v>2021</v>
      </c>
      <c r="C153" t="s">
        <v>580</v>
      </c>
      <c r="D153" t="s">
        <v>887</v>
      </c>
      <c r="E153" t="b">
        <v>1</v>
      </c>
      <c r="F153" t="s">
        <v>888</v>
      </c>
      <c r="G153" t="s">
        <v>223</v>
      </c>
      <c r="H153">
        <v>1</v>
      </c>
    </row>
    <row r="154" spans="1:8" x14ac:dyDescent="0.35">
      <c r="A154" t="s">
        <v>582</v>
      </c>
      <c r="B154">
        <v>2021</v>
      </c>
      <c r="C154" t="s">
        <v>583</v>
      </c>
      <c r="D154" t="s">
        <v>584</v>
      </c>
      <c r="E154" t="b">
        <v>1</v>
      </c>
      <c r="F154" t="s">
        <v>889</v>
      </c>
      <c r="G154" t="s">
        <v>223</v>
      </c>
      <c r="H154">
        <v>1</v>
      </c>
    </row>
    <row r="155" spans="1:8" x14ac:dyDescent="0.35">
      <c r="A155" t="s">
        <v>585</v>
      </c>
      <c r="B155">
        <v>2021</v>
      </c>
      <c r="C155" t="s">
        <v>586</v>
      </c>
      <c r="D155" t="s">
        <v>587</v>
      </c>
      <c r="E155" t="b">
        <v>1</v>
      </c>
      <c r="F155" t="s">
        <v>890</v>
      </c>
      <c r="G155" t="s">
        <v>223</v>
      </c>
      <c r="H155">
        <v>0.8</v>
      </c>
    </row>
    <row r="156" spans="1:8" x14ac:dyDescent="0.35">
      <c r="A156" t="s">
        <v>588</v>
      </c>
      <c r="B156">
        <v>2021</v>
      </c>
      <c r="C156" t="s">
        <v>891</v>
      </c>
      <c r="D156" t="s">
        <v>892</v>
      </c>
      <c r="E156" t="b">
        <v>1</v>
      </c>
      <c r="F156" t="s">
        <v>250</v>
      </c>
      <c r="G156" t="s">
        <v>238</v>
      </c>
      <c r="H156">
        <v>0.5</v>
      </c>
    </row>
    <row r="157" spans="1:8" x14ac:dyDescent="0.35">
      <c r="A157" t="s">
        <v>591</v>
      </c>
      <c r="B157">
        <v>2021</v>
      </c>
      <c r="C157" t="s">
        <v>893</v>
      </c>
      <c r="D157" t="s">
        <v>894</v>
      </c>
      <c r="E157" t="b">
        <v>1</v>
      </c>
      <c r="F157" t="s">
        <v>895</v>
      </c>
      <c r="G157" t="s">
        <v>223</v>
      </c>
      <c r="H157">
        <v>0.9</v>
      </c>
    </row>
    <row r="158" spans="1:8" x14ac:dyDescent="0.35">
      <c r="A158" t="s">
        <v>594</v>
      </c>
      <c r="B158">
        <v>2021</v>
      </c>
      <c r="C158" t="s">
        <v>595</v>
      </c>
      <c r="D158" t="s">
        <v>896</v>
      </c>
      <c r="E158" t="b">
        <v>1</v>
      </c>
      <c r="F158" t="s">
        <v>897</v>
      </c>
      <c r="G158" t="s">
        <v>223</v>
      </c>
      <c r="H158">
        <v>0.9</v>
      </c>
    </row>
    <row r="159" spans="1:8" ht="409.5" x14ac:dyDescent="0.35">
      <c r="A159" t="s">
        <v>597</v>
      </c>
      <c r="B159">
        <v>2021</v>
      </c>
      <c r="C159" t="s">
        <v>598</v>
      </c>
      <c r="D159" s="1" t="s">
        <v>599</v>
      </c>
      <c r="E159" t="b">
        <v>1</v>
      </c>
      <c r="F159" t="s">
        <v>898</v>
      </c>
      <c r="G159" t="s">
        <v>223</v>
      </c>
      <c r="H159">
        <v>0.9</v>
      </c>
    </row>
    <row r="160" spans="1:8" x14ac:dyDescent="0.35">
      <c r="A160" t="s">
        <v>600</v>
      </c>
      <c r="B160">
        <v>2021</v>
      </c>
      <c r="C160" t="s">
        <v>601</v>
      </c>
      <c r="D160" t="s">
        <v>899</v>
      </c>
      <c r="E160" t="b">
        <v>1</v>
      </c>
      <c r="F160" t="s">
        <v>900</v>
      </c>
      <c r="G160" t="s">
        <v>223</v>
      </c>
      <c r="H160">
        <v>1</v>
      </c>
    </row>
    <row r="161" spans="1:8" x14ac:dyDescent="0.35">
      <c r="A161" t="s">
        <v>603</v>
      </c>
      <c r="B161">
        <v>2021</v>
      </c>
      <c r="C161" t="s">
        <v>604</v>
      </c>
      <c r="D161" t="s">
        <v>901</v>
      </c>
      <c r="E161" t="b">
        <v>1</v>
      </c>
      <c r="F161" t="s">
        <v>250</v>
      </c>
      <c r="G161" t="s">
        <v>238</v>
      </c>
      <c r="H161">
        <v>0.5</v>
      </c>
    </row>
    <row r="162" spans="1:8" x14ac:dyDescent="0.35">
      <c r="A162" t="s">
        <v>606</v>
      </c>
      <c r="B162">
        <v>2021</v>
      </c>
      <c r="C162" t="s">
        <v>607</v>
      </c>
      <c r="D162" t="s">
        <v>608</v>
      </c>
      <c r="E162" t="b">
        <v>1</v>
      </c>
      <c r="F162" t="s">
        <v>902</v>
      </c>
      <c r="G162" t="s">
        <v>223</v>
      </c>
      <c r="H162">
        <v>1</v>
      </c>
    </row>
    <row r="163" spans="1:8" x14ac:dyDescent="0.35">
      <c r="A163" t="s">
        <v>609</v>
      </c>
      <c r="B163">
        <v>2021</v>
      </c>
      <c r="C163" t="s">
        <v>903</v>
      </c>
      <c r="D163" t="s">
        <v>904</v>
      </c>
      <c r="E163" t="b">
        <v>1</v>
      </c>
      <c r="F163" t="s">
        <v>250</v>
      </c>
      <c r="G163" t="s">
        <v>238</v>
      </c>
      <c r="H163">
        <v>0.5</v>
      </c>
    </row>
    <row r="164" spans="1:8" x14ac:dyDescent="0.35">
      <c r="A164" t="s">
        <v>612</v>
      </c>
      <c r="B164">
        <v>2021</v>
      </c>
      <c r="C164" t="s">
        <v>613</v>
      </c>
      <c r="D164" t="s">
        <v>614</v>
      </c>
      <c r="E164" t="b">
        <v>1</v>
      </c>
      <c r="F164" t="s">
        <v>905</v>
      </c>
      <c r="G164" t="s">
        <v>223</v>
      </c>
      <c r="H164">
        <v>1</v>
      </c>
    </row>
    <row r="165" spans="1:8" x14ac:dyDescent="0.35">
      <c r="A165" t="s">
        <v>615</v>
      </c>
      <c r="B165">
        <v>2021</v>
      </c>
      <c r="C165" t="s">
        <v>616</v>
      </c>
      <c r="D165" t="s">
        <v>906</v>
      </c>
      <c r="E165" t="b">
        <v>1</v>
      </c>
      <c r="F165" t="s">
        <v>250</v>
      </c>
      <c r="G165" t="s">
        <v>238</v>
      </c>
      <c r="H165">
        <v>0.5</v>
      </c>
    </row>
    <row r="166" spans="1:8" x14ac:dyDescent="0.35">
      <c r="A166" t="s">
        <v>618</v>
      </c>
      <c r="B166">
        <v>2021</v>
      </c>
      <c r="C166" t="s">
        <v>619</v>
      </c>
      <c r="D166" t="s">
        <v>907</v>
      </c>
      <c r="E166" t="b">
        <v>1</v>
      </c>
      <c r="F166" t="s">
        <v>908</v>
      </c>
      <c r="G166" t="s">
        <v>223</v>
      </c>
      <c r="H166">
        <v>1</v>
      </c>
    </row>
    <row r="167" spans="1:8" ht="409.5" x14ac:dyDescent="0.35">
      <c r="A167" t="s">
        <v>621</v>
      </c>
      <c r="B167">
        <v>2021</v>
      </c>
      <c r="C167" t="s">
        <v>622</v>
      </c>
      <c r="D167" s="1" t="s">
        <v>623</v>
      </c>
      <c r="E167" t="b">
        <v>1</v>
      </c>
      <c r="F167" t="s">
        <v>909</v>
      </c>
      <c r="G167" t="s">
        <v>223</v>
      </c>
      <c r="H167">
        <v>1</v>
      </c>
    </row>
    <row r="168" spans="1:8" x14ac:dyDescent="0.35">
      <c r="A168" t="s">
        <v>624</v>
      </c>
      <c r="B168">
        <v>2021</v>
      </c>
      <c r="C168" t="s">
        <v>910</v>
      </c>
      <c r="D168" t="s">
        <v>911</v>
      </c>
      <c r="E168" t="b">
        <v>1</v>
      </c>
      <c r="F168" t="s">
        <v>250</v>
      </c>
      <c r="G168" t="s">
        <v>238</v>
      </c>
      <c r="H168">
        <v>0.5</v>
      </c>
    </row>
    <row r="169" spans="1:8" x14ac:dyDescent="0.35">
      <c r="A169" t="s">
        <v>627</v>
      </c>
      <c r="B169">
        <v>2021</v>
      </c>
      <c r="C169" t="s">
        <v>912</v>
      </c>
      <c r="D169" t="s">
        <v>913</v>
      </c>
      <c r="E169" t="b">
        <v>0</v>
      </c>
      <c r="F169" t="s">
        <v>914</v>
      </c>
      <c r="G169" t="s">
        <v>222</v>
      </c>
      <c r="H169">
        <v>1</v>
      </c>
    </row>
    <row r="170" spans="1:8" x14ac:dyDescent="0.35">
      <c r="A170" t="s">
        <v>630</v>
      </c>
      <c r="B170">
        <v>2021</v>
      </c>
      <c r="C170" t="s">
        <v>631</v>
      </c>
      <c r="D170" t="s">
        <v>915</v>
      </c>
      <c r="E170" t="b">
        <v>1</v>
      </c>
      <c r="F170" t="s">
        <v>250</v>
      </c>
      <c r="G170" t="s">
        <v>238</v>
      </c>
      <c r="H170">
        <v>0.5</v>
      </c>
    </row>
    <row r="171" spans="1:8" x14ac:dyDescent="0.35">
      <c r="A171" t="s">
        <v>633</v>
      </c>
      <c r="B171">
        <v>2021</v>
      </c>
      <c r="C171" t="s">
        <v>634</v>
      </c>
      <c r="D171" t="s">
        <v>635</v>
      </c>
      <c r="E171" t="b">
        <v>1</v>
      </c>
      <c r="F171" t="s">
        <v>916</v>
      </c>
      <c r="G171" t="s">
        <v>223</v>
      </c>
      <c r="H171">
        <v>1</v>
      </c>
    </row>
    <row r="172" spans="1:8" x14ac:dyDescent="0.35">
      <c r="A172" t="s">
        <v>636</v>
      </c>
      <c r="B172">
        <v>2021</v>
      </c>
      <c r="C172" t="s">
        <v>637</v>
      </c>
      <c r="D172" t="s">
        <v>549</v>
      </c>
      <c r="E172" t="b">
        <v>1</v>
      </c>
      <c r="F172" t="s">
        <v>250</v>
      </c>
      <c r="G172" t="s">
        <v>238</v>
      </c>
      <c r="H172">
        <v>0.5</v>
      </c>
    </row>
    <row r="173" spans="1:8" x14ac:dyDescent="0.35">
      <c r="A173" t="s">
        <v>638</v>
      </c>
      <c r="B173">
        <v>2021</v>
      </c>
      <c r="C173" t="s">
        <v>639</v>
      </c>
      <c r="D173" t="s">
        <v>917</v>
      </c>
      <c r="E173" t="b">
        <v>1</v>
      </c>
      <c r="F173" t="s">
        <v>250</v>
      </c>
      <c r="G173" t="s">
        <v>238</v>
      </c>
      <c r="H173">
        <v>0.5</v>
      </c>
    </row>
    <row r="174" spans="1:8" x14ac:dyDescent="0.35">
      <c r="A174" t="s">
        <v>641</v>
      </c>
      <c r="B174">
        <v>2021</v>
      </c>
      <c r="C174" t="s">
        <v>918</v>
      </c>
      <c r="D174" t="s">
        <v>919</v>
      </c>
      <c r="E174" t="b">
        <v>1</v>
      </c>
      <c r="F174" t="s">
        <v>250</v>
      </c>
      <c r="G174" t="s">
        <v>238</v>
      </c>
      <c r="H174">
        <v>0.5</v>
      </c>
    </row>
    <row r="175" spans="1:8" x14ac:dyDescent="0.35">
      <c r="A175" t="s">
        <v>644</v>
      </c>
      <c r="B175">
        <v>2021</v>
      </c>
      <c r="C175" t="s">
        <v>645</v>
      </c>
      <c r="D175" t="s">
        <v>646</v>
      </c>
      <c r="E175" t="b">
        <v>1</v>
      </c>
      <c r="F175" t="s">
        <v>250</v>
      </c>
      <c r="G175" t="s">
        <v>238</v>
      </c>
      <c r="H175">
        <v>0.5</v>
      </c>
    </row>
    <row r="176" spans="1:8" x14ac:dyDescent="0.35">
      <c r="A176" t="s">
        <v>647</v>
      </c>
      <c r="B176">
        <v>2021</v>
      </c>
      <c r="C176" t="s">
        <v>648</v>
      </c>
      <c r="D176" t="s">
        <v>920</v>
      </c>
      <c r="E176" t="b">
        <v>1</v>
      </c>
      <c r="F176" t="s">
        <v>921</v>
      </c>
      <c r="G176" t="s">
        <v>223</v>
      </c>
      <c r="H176">
        <v>1</v>
      </c>
    </row>
    <row r="177" spans="1:8" x14ac:dyDescent="0.35">
      <c r="A177" t="s">
        <v>650</v>
      </c>
      <c r="B177">
        <v>2021</v>
      </c>
      <c r="C177" t="s">
        <v>651</v>
      </c>
      <c r="D177" t="s">
        <v>922</v>
      </c>
      <c r="E177" t="b">
        <v>1</v>
      </c>
      <c r="F177" t="s">
        <v>923</v>
      </c>
      <c r="G177" t="s">
        <v>223</v>
      </c>
      <c r="H177">
        <v>1</v>
      </c>
    </row>
    <row r="178" spans="1:8" ht="409.5" x14ac:dyDescent="0.35">
      <c r="A178" t="s">
        <v>653</v>
      </c>
      <c r="B178">
        <v>2021</v>
      </c>
      <c r="C178" t="s">
        <v>651</v>
      </c>
      <c r="D178" s="1" t="s">
        <v>654</v>
      </c>
      <c r="E178" t="b">
        <v>1</v>
      </c>
      <c r="F178" t="s">
        <v>924</v>
      </c>
      <c r="G178" t="s">
        <v>223</v>
      </c>
      <c r="H178">
        <v>1</v>
      </c>
    </row>
    <row r="179" spans="1:8" x14ac:dyDescent="0.35">
      <c r="A179" t="s">
        <v>655</v>
      </c>
      <c r="B179">
        <v>2021</v>
      </c>
      <c r="C179" t="s">
        <v>656</v>
      </c>
      <c r="D179" t="s">
        <v>657</v>
      </c>
      <c r="E179" t="b">
        <v>1</v>
      </c>
      <c r="F179" t="s">
        <v>925</v>
      </c>
      <c r="G179" t="s">
        <v>223</v>
      </c>
      <c r="H179">
        <v>0.9</v>
      </c>
    </row>
    <row r="180" spans="1:8" ht="409.5" x14ac:dyDescent="0.35">
      <c r="A180" t="s">
        <v>658</v>
      </c>
      <c r="B180">
        <v>2025</v>
      </c>
      <c r="C180" t="s">
        <v>659</v>
      </c>
      <c r="D180" s="1" t="s">
        <v>660</v>
      </c>
      <c r="E180" t="b">
        <v>1</v>
      </c>
      <c r="F180" t="s">
        <v>926</v>
      </c>
      <c r="G180" t="s">
        <v>223</v>
      </c>
      <c r="H180">
        <v>1</v>
      </c>
    </row>
    <row r="181" spans="1:8" x14ac:dyDescent="0.35">
      <c r="A181" t="s">
        <v>661</v>
      </c>
      <c r="B181">
        <v>2025</v>
      </c>
      <c r="C181" t="s">
        <v>659</v>
      </c>
      <c r="D181" t="s">
        <v>927</v>
      </c>
      <c r="E181" t="b">
        <v>1</v>
      </c>
      <c r="F181" t="s">
        <v>928</v>
      </c>
      <c r="G181" t="s">
        <v>223</v>
      </c>
      <c r="H181">
        <v>1</v>
      </c>
    </row>
    <row r="182" spans="1:8" x14ac:dyDescent="0.35">
      <c r="A182" t="s">
        <v>663</v>
      </c>
      <c r="B182">
        <v>2025</v>
      </c>
      <c r="C182" t="s">
        <v>664</v>
      </c>
      <c r="D182" t="s">
        <v>929</v>
      </c>
      <c r="E182" t="b">
        <v>1</v>
      </c>
      <c r="F182" t="s">
        <v>250</v>
      </c>
      <c r="G182" t="s">
        <v>238</v>
      </c>
      <c r="H182">
        <v>0.5</v>
      </c>
    </row>
    <row r="183" spans="1:8" x14ac:dyDescent="0.35">
      <c r="A183" t="s">
        <v>666</v>
      </c>
      <c r="B183">
        <v>2025</v>
      </c>
      <c r="C183" t="s">
        <v>667</v>
      </c>
      <c r="D183" t="s">
        <v>930</v>
      </c>
      <c r="E183" t="b">
        <v>0</v>
      </c>
      <c r="F183" t="s">
        <v>931</v>
      </c>
      <c r="G183" t="s">
        <v>222</v>
      </c>
      <c r="H183">
        <v>0.9</v>
      </c>
    </row>
    <row r="184" spans="1:8" x14ac:dyDescent="0.35">
      <c r="A184" t="s">
        <v>669</v>
      </c>
      <c r="B184">
        <v>2025</v>
      </c>
      <c r="C184" t="s">
        <v>670</v>
      </c>
      <c r="D184" t="s">
        <v>671</v>
      </c>
      <c r="E184" t="b">
        <v>1</v>
      </c>
      <c r="F184" t="s">
        <v>932</v>
      </c>
      <c r="G184" t="s">
        <v>223</v>
      </c>
      <c r="H184">
        <v>0.9</v>
      </c>
    </row>
    <row r="185" spans="1:8" x14ac:dyDescent="0.35">
      <c r="A185" t="s">
        <v>672</v>
      </c>
      <c r="B185">
        <v>2025</v>
      </c>
      <c r="C185" t="s">
        <v>673</v>
      </c>
      <c r="D185" t="s">
        <v>674</v>
      </c>
      <c r="E185" t="b">
        <v>1</v>
      </c>
      <c r="F185" t="s">
        <v>250</v>
      </c>
      <c r="G185" t="s">
        <v>238</v>
      </c>
      <c r="H185">
        <v>0.5</v>
      </c>
    </row>
    <row r="186" spans="1:8" x14ac:dyDescent="0.35">
      <c r="A186" t="s">
        <v>675</v>
      </c>
      <c r="B186">
        <v>2025</v>
      </c>
      <c r="C186" t="s">
        <v>933</v>
      </c>
      <c r="D186" t="s">
        <v>934</v>
      </c>
      <c r="E186" t="b">
        <v>1</v>
      </c>
      <c r="F186" t="s">
        <v>250</v>
      </c>
      <c r="G186" t="s">
        <v>238</v>
      </c>
      <c r="H186">
        <v>0.5</v>
      </c>
    </row>
    <row r="187" spans="1:8" x14ac:dyDescent="0.35">
      <c r="A187" t="s">
        <v>678</v>
      </c>
      <c r="B187">
        <v>2025</v>
      </c>
      <c r="C187" t="s">
        <v>679</v>
      </c>
      <c r="D187" t="s">
        <v>680</v>
      </c>
      <c r="E187" t="b">
        <v>1</v>
      </c>
      <c r="F187" t="s">
        <v>935</v>
      </c>
      <c r="G187" t="s">
        <v>223</v>
      </c>
      <c r="H187">
        <v>1</v>
      </c>
    </row>
    <row r="188" spans="1:8" x14ac:dyDescent="0.35">
      <c r="A188" t="s">
        <v>681</v>
      </c>
      <c r="B188">
        <v>2025</v>
      </c>
      <c r="C188" t="s">
        <v>682</v>
      </c>
      <c r="D188" t="s">
        <v>936</v>
      </c>
      <c r="E188" t="b">
        <v>0</v>
      </c>
      <c r="F188" t="s">
        <v>937</v>
      </c>
      <c r="G188" t="s">
        <v>222</v>
      </c>
      <c r="H188">
        <v>0.9</v>
      </c>
    </row>
    <row r="189" spans="1:8" x14ac:dyDescent="0.35">
      <c r="A189" t="s">
        <v>684</v>
      </c>
      <c r="B189">
        <v>2025</v>
      </c>
      <c r="C189" t="s">
        <v>685</v>
      </c>
      <c r="D189" t="s">
        <v>938</v>
      </c>
      <c r="E189" t="b">
        <v>1</v>
      </c>
      <c r="F189" t="s">
        <v>250</v>
      </c>
      <c r="G189" t="s">
        <v>238</v>
      </c>
      <c r="H189">
        <v>0.5</v>
      </c>
    </row>
    <row r="190" spans="1:8" x14ac:dyDescent="0.35">
      <c r="A190" t="s">
        <v>687</v>
      </c>
      <c r="B190">
        <v>2025</v>
      </c>
      <c r="C190" t="s">
        <v>688</v>
      </c>
      <c r="D190" t="s">
        <v>689</v>
      </c>
      <c r="E190" t="b">
        <v>1</v>
      </c>
      <c r="F190" t="s">
        <v>939</v>
      </c>
      <c r="G190" t="s">
        <v>223</v>
      </c>
      <c r="H190">
        <v>1</v>
      </c>
    </row>
    <row r="191" spans="1:8" x14ac:dyDescent="0.35">
      <c r="A191" t="s">
        <v>690</v>
      </c>
      <c r="B191">
        <v>2025</v>
      </c>
      <c r="C191" t="s">
        <v>691</v>
      </c>
      <c r="D191" t="s">
        <v>940</v>
      </c>
      <c r="E191" t="b">
        <v>1</v>
      </c>
      <c r="F191" t="s">
        <v>250</v>
      </c>
      <c r="G191" t="s">
        <v>238</v>
      </c>
      <c r="H191">
        <v>0.5</v>
      </c>
    </row>
    <row r="192" spans="1:8" x14ac:dyDescent="0.35">
      <c r="A192" t="s">
        <v>693</v>
      </c>
      <c r="B192">
        <v>2025</v>
      </c>
      <c r="C192" t="s">
        <v>694</v>
      </c>
      <c r="D192" t="s">
        <v>695</v>
      </c>
      <c r="E192" t="b">
        <v>1</v>
      </c>
      <c r="F192" t="s">
        <v>941</v>
      </c>
      <c r="G192" t="s">
        <v>223</v>
      </c>
      <c r="H192">
        <v>0.9</v>
      </c>
    </row>
    <row r="193" spans="1:8" x14ac:dyDescent="0.35">
      <c r="A193" t="s">
        <v>696</v>
      </c>
      <c r="B193">
        <v>2025</v>
      </c>
      <c r="C193" t="s">
        <v>697</v>
      </c>
      <c r="D193" t="s">
        <v>942</v>
      </c>
      <c r="E193" t="b">
        <v>1</v>
      </c>
      <c r="F193" t="s">
        <v>943</v>
      </c>
      <c r="G193" t="s">
        <v>223</v>
      </c>
      <c r="H193">
        <v>0.9</v>
      </c>
    </row>
    <row r="194" spans="1:8" x14ac:dyDescent="0.35">
      <c r="A194" t="s">
        <v>699</v>
      </c>
      <c r="B194">
        <v>2025</v>
      </c>
      <c r="C194" t="s">
        <v>700</v>
      </c>
      <c r="D194" t="s">
        <v>944</v>
      </c>
      <c r="E194" t="b">
        <v>0</v>
      </c>
      <c r="F194" t="s">
        <v>945</v>
      </c>
      <c r="G194" t="s">
        <v>222</v>
      </c>
      <c r="H194">
        <v>1</v>
      </c>
    </row>
    <row r="195" spans="1:8" ht="409.5" x14ac:dyDescent="0.35">
      <c r="A195" t="s">
        <v>702</v>
      </c>
      <c r="B195">
        <v>2025</v>
      </c>
      <c r="C195" t="s">
        <v>703</v>
      </c>
      <c r="D195" s="1" t="s">
        <v>704</v>
      </c>
      <c r="E195" t="b">
        <v>0</v>
      </c>
      <c r="F195" t="s">
        <v>945</v>
      </c>
      <c r="G195" t="s">
        <v>222</v>
      </c>
      <c r="H195">
        <v>1</v>
      </c>
    </row>
    <row r="196" spans="1:8" x14ac:dyDescent="0.35">
      <c r="A196" t="s">
        <v>705</v>
      </c>
      <c r="B196">
        <v>2025</v>
      </c>
      <c r="C196" t="s">
        <v>706</v>
      </c>
      <c r="D196" t="s">
        <v>946</v>
      </c>
      <c r="E196" t="b">
        <v>0</v>
      </c>
      <c r="F196" t="s">
        <v>947</v>
      </c>
      <c r="G196" t="s">
        <v>222</v>
      </c>
      <c r="H196">
        <v>1</v>
      </c>
    </row>
    <row r="197" spans="1:8" x14ac:dyDescent="0.35">
      <c r="A197" t="s">
        <v>708</v>
      </c>
      <c r="B197">
        <v>2025</v>
      </c>
      <c r="C197" t="s">
        <v>709</v>
      </c>
      <c r="D197" t="s">
        <v>710</v>
      </c>
      <c r="E197" t="b">
        <v>1</v>
      </c>
      <c r="F197" t="s">
        <v>948</v>
      </c>
      <c r="G197" t="s">
        <v>223</v>
      </c>
      <c r="H197">
        <v>1</v>
      </c>
    </row>
    <row r="198" spans="1:8" x14ac:dyDescent="0.35">
      <c r="A198" t="s">
        <v>711</v>
      </c>
      <c r="B198">
        <v>2025</v>
      </c>
      <c r="C198" t="s">
        <v>712</v>
      </c>
      <c r="D198" t="s">
        <v>949</v>
      </c>
      <c r="E198" t="b">
        <v>1</v>
      </c>
      <c r="F198" t="s">
        <v>250</v>
      </c>
      <c r="G198" t="s">
        <v>238</v>
      </c>
      <c r="H198">
        <v>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198"/>
  <sheetViews>
    <sheetView workbookViewId="0">
      <selection sqref="A1:A198"/>
    </sheetView>
  </sheetViews>
  <sheetFormatPr defaultRowHeight="14.5" x14ac:dyDescent="0.35"/>
  <sheetData>
    <row r="1" spans="1:1" x14ac:dyDescent="0.35">
      <c r="A1" t="s">
        <v>0</v>
      </c>
    </row>
    <row r="2" spans="1:1" x14ac:dyDescent="0.35">
      <c r="A2" t="s">
        <v>4</v>
      </c>
    </row>
    <row r="3" spans="1:1" x14ac:dyDescent="0.35">
      <c r="A3" t="s">
        <v>7</v>
      </c>
    </row>
    <row r="4" spans="1:1" x14ac:dyDescent="0.35">
      <c r="A4" t="s">
        <v>10</v>
      </c>
    </row>
    <row r="5" spans="1:1" x14ac:dyDescent="0.35">
      <c r="A5" t="s">
        <v>13</v>
      </c>
    </row>
    <row r="6" spans="1:1" x14ac:dyDescent="0.35">
      <c r="A6" t="s">
        <v>16</v>
      </c>
    </row>
    <row r="7" spans="1:1" x14ac:dyDescent="0.35">
      <c r="A7" t="s">
        <v>19</v>
      </c>
    </row>
    <row r="8" spans="1:1" x14ac:dyDescent="0.35">
      <c r="A8" t="s">
        <v>22</v>
      </c>
    </row>
    <row r="9" spans="1:1" x14ac:dyDescent="0.35">
      <c r="A9" t="s">
        <v>25</v>
      </c>
    </row>
    <row r="10" spans="1:1" x14ac:dyDescent="0.35">
      <c r="A10" t="s">
        <v>28</v>
      </c>
    </row>
    <row r="11" spans="1:1" x14ac:dyDescent="0.35">
      <c r="A11" t="s">
        <v>31</v>
      </c>
    </row>
    <row r="12" spans="1:1" x14ac:dyDescent="0.35">
      <c r="A12" t="s">
        <v>34</v>
      </c>
    </row>
    <row r="13" spans="1:1" x14ac:dyDescent="0.35">
      <c r="A13" t="s">
        <v>37</v>
      </c>
    </row>
    <row r="14" spans="1:1" x14ac:dyDescent="0.35">
      <c r="A14" t="s">
        <v>40</v>
      </c>
    </row>
    <row r="15" spans="1:1" x14ac:dyDescent="0.35">
      <c r="A15" t="s">
        <v>43</v>
      </c>
    </row>
    <row r="16" spans="1:1" x14ac:dyDescent="0.35">
      <c r="A16" t="s">
        <v>46</v>
      </c>
    </row>
    <row r="17" spans="1:1" x14ac:dyDescent="0.35">
      <c r="A17" t="s">
        <v>49</v>
      </c>
    </row>
    <row r="18" spans="1:1" x14ac:dyDescent="0.35">
      <c r="A18" t="s">
        <v>52</v>
      </c>
    </row>
    <row r="19" spans="1:1" x14ac:dyDescent="0.35">
      <c r="A19" t="s">
        <v>57</v>
      </c>
    </row>
    <row r="20" spans="1:1" x14ac:dyDescent="0.35">
      <c r="A20" t="s">
        <v>60</v>
      </c>
    </row>
    <row r="21" spans="1:1" x14ac:dyDescent="0.35">
      <c r="A21" t="s">
        <v>63</v>
      </c>
    </row>
    <row r="22" spans="1:1" x14ac:dyDescent="0.35">
      <c r="A22" t="s">
        <v>66</v>
      </c>
    </row>
    <row r="23" spans="1:1" x14ac:dyDescent="0.35">
      <c r="A23" t="s">
        <v>69</v>
      </c>
    </row>
    <row r="24" spans="1:1" x14ac:dyDescent="0.35">
      <c r="A24" t="s">
        <v>72</v>
      </c>
    </row>
    <row r="25" spans="1:1" x14ac:dyDescent="0.35">
      <c r="A25" t="s">
        <v>75</v>
      </c>
    </row>
    <row r="26" spans="1:1" x14ac:dyDescent="0.35">
      <c r="A26" t="s">
        <v>78</v>
      </c>
    </row>
    <row r="27" spans="1:1" x14ac:dyDescent="0.35">
      <c r="A27" t="s">
        <v>81</v>
      </c>
    </row>
    <row r="28" spans="1:1" x14ac:dyDescent="0.35">
      <c r="A28" t="s">
        <v>84</v>
      </c>
    </row>
    <row r="29" spans="1:1" x14ac:dyDescent="0.35">
      <c r="A29" t="s">
        <v>87</v>
      </c>
    </row>
    <row r="30" spans="1:1" x14ac:dyDescent="0.35">
      <c r="A30" t="s">
        <v>90</v>
      </c>
    </row>
    <row r="31" spans="1:1" x14ac:dyDescent="0.35">
      <c r="A31" t="s">
        <v>93</v>
      </c>
    </row>
    <row r="32" spans="1:1" x14ac:dyDescent="0.35">
      <c r="A32" t="s">
        <v>96</v>
      </c>
    </row>
    <row r="33" spans="1:1" x14ac:dyDescent="0.35">
      <c r="A33" t="s">
        <v>99</v>
      </c>
    </row>
    <row r="34" spans="1:1" x14ac:dyDescent="0.35">
      <c r="A34" t="s">
        <v>102</v>
      </c>
    </row>
    <row r="35" spans="1:1" x14ac:dyDescent="0.35">
      <c r="A35" t="s">
        <v>105</v>
      </c>
    </row>
    <row r="36" spans="1:1" x14ac:dyDescent="0.35">
      <c r="A36" t="s">
        <v>108</v>
      </c>
    </row>
    <row r="37" spans="1:1" x14ac:dyDescent="0.35">
      <c r="A37" t="s">
        <v>111</v>
      </c>
    </row>
    <row r="38" spans="1:1" x14ac:dyDescent="0.35">
      <c r="A38" t="s">
        <v>114</v>
      </c>
    </row>
    <row r="39" spans="1:1" x14ac:dyDescent="0.35">
      <c r="A39" t="s">
        <v>117</v>
      </c>
    </row>
    <row r="40" spans="1:1" x14ac:dyDescent="0.35">
      <c r="A40" t="s">
        <v>120</v>
      </c>
    </row>
    <row r="41" spans="1:1" x14ac:dyDescent="0.35">
      <c r="A41" t="s">
        <v>123</v>
      </c>
    </row>
    <row r="42" spans="1:1" x14ac:dyDescent="0.35">
      <c r="A42" t="s">
        <v>126</v>
      </c>
    </row>
    <row r="43" spans="1:1" x14ac:dyDescent="0.35">
      <c r="A43" t="s">
        <v>129</v>
      </c>
    </row>
    <row r="44" spans="1:1" x14ac:dyDescent="0.35">
      <c r="A44" t="s">
        <v>132</v>
      </c>
    </row>
    <row r="45" spans="1:1" x14ac:dyDescent="0.35">
      <c r="A45" t="s">
        <v>135</v>
      </c>
    </row>
    <row r="46" spans="1:1" x14ac:dyDescent="0.35">
      <c r="A46" t="s">
        <v>138</v>
      </c>
    </row>
    <row r="47" spans="1:1" x14ac:dyDescent="0.35">
      <c r="A47" t="s">
        <v>141</v>
      </c>
    </row>
    <row r="48" spans="1:1" x14ac:dyDescent="0.35">
      <c r="A48" t="s">
        <v>144</v>
      </c>
    </row>
    <row r="49" spans="1:1" x14ac:dyDescent="0.35">
      <c r="A49" t="s">
        <v>147</v>
      </c>
    </row>
    <row r="50" spans="1:1" x14ac:dyDescent="0.35">
      <c r="A50" t="s">
        <v>150</v>
      </c>
    </row>
    <row r="51" spans="1:1" x14ac:dyDescent="0.35">
      <c r="A51" t="s">
        <v>153</v>
      </c>
    </row>
    <row r="52" spans="1:1" x14ac:dyDescent="0.35">
      <c r="A52" t="s">
        <v>271</v>
      </c>
    </row>
    <row r="53" spans="1:1" x14ac:dyDescent="0.35">
      <c r="A53" t="s">
        <v>274</v>
      </c>
    </row>
    <row r="54" spans="1:1" x14ac:dyDescent="0.35">
      <c r="A54" t="s">
        <v>277</v>
      </c>
    </row>
    <row r="55" spans="1:1" x14ac:dyDescent="0.35">
      <c r="A55" t="s">
        <v>280</v>
      </c>
    </row>
    <row r="56" spans="1:1" x14ac:dyDescent="0.35">
      <c r="A56" t="s">
        <v>283</v>
      </c>
    </row>
    <row r="57" spans="1:1" x14ac:dyDescent="0.35">
      <c r="A57" t="s">
        <v>286</v>
      </c>
    </row>
    <row r="58" spans="1:1" x14ac:dyDescent="0.35">
      <c r="A58" t="s">
        <v>289</v>
      </c>
    </row>
    <row r="59" spans="1:1" x14ac:dyDescent="0.35">
      <c r="A59" t="s">
        <v>292</v>
      </c>
    </row>
    <row r="60" spans="1:1" x14ac:dyDescent="0.35">
      <c r="A60" t="s">
        <v>295</v>
      </c>
    </row>
    <row r="61" spans="1:1" x14ac:dyDescent="0.35">
      <c r="A61" t="s">
        <v>298</v>
      </c>
    </row>
    <row r="62" spans="1:1" x14ac:dyDescent="0.35">
      <c r="A62" t="s">
        <v>301</v>
      </c>
    </row>
    <row r="63" spans="1:1" x14ac:dyDescent="0.35">
      <c r="A63" t="s">
        <v>304</v>
      </c>
    </row>
    <row r="64" spans="1:1" x14ac:dyDescent="0.35">
      <c r="A64" t="s">
        <v>307</v>
      </c>
    </row>
    <row r="65" spans="1:1" x14ac:dyDescent="0.35">
      <c r="A65" t="s">
        <v>310</v>
      </c>
    </row>
    <row r="66" spans="1:1" x14ac:dyDescent="0.35">
      <c r="A66" t="s">
        <v>313</v>
      </c>
    </row>
    <row r="67" spans="1:1" x14ac:dyDescent="0.35">
      <c r="A67" t="s">
        <v>316</v>
      </c>
    </row>
    <row r="68" spans="1:1" x14ac:dyDescent="0.35">
      <c r="A68" t="s">
        <v>319</v>
      </c>
    </row>
    <row r="69" spans="1:1" x14ac:dyDescent="0.35">
      <c r="A69" t="s">
        <v>322</v>
      </c>
    </row>
    <row r="70" spans="1:1" x14ac:dyDescent="0.35">
      <c r="A70" t="s">
        <v>325</v>
      </c>
    </row>
    <row r="71" spans="1:1" x14ac:dyDescent="0.35">
      <c r="A71" t="s">
        <v>328</v>
      </c>
    </row>
    <row r="72" spans="1:1" x14ac:dyDescent="0.35">
      <c r="A72" t="s">
        <v>331</v>
      </c>
    </row>
    <row r="73" spans="1:1" x14ac:dyDescent="0.35">
      <c r="A73" t="s">
        <v>334</v>
      </c>
    </row>
    <row r="74" spans="1:1" x14ac:dyDescent="0.35">
      <c r="A74" t="s">
        <v>337</v>
      </c>
    </row>
    <row r="75" spans="1:1" x14ac:dyDescent="0.35">
      <c r="A75" t="s">
        <v>340</v>
      </c>
    </row>
    <row r="76" spans="1:1" x14ac:dyDescent="0.35">
      <c r="A76" t="s">
        <v>343</v>
      </c>
    </row>
    <row r="77" spans="1:1" x14ac:dyDescent="0.35">
      <c r="A77" t="s">
        <v>346</v>
      </c>
    </row>
    <row r="78" spans="1:1" x14ac:dyDescent="0.35">
      <c r="A78" t="s">
        <v>349</v>
      </c>
    </row>
    <row r="79" spans="1:1" x14ac:dyDescent="0.35">
      <c r="A79" t="s">
        <v>352</v>
      </c>
    </row>
    <row r="80" spans="1:1" x14ac:dyDescent="0.35">
      <c r="A80" t="s">
        <v>355</v>
      </c>
    </row>
    <row r="81" spans="1:1" x14ac:dyDescent="0.35">
      <c r="A81" t="s">
        <v>358</v>
      </c>
    </row>
    <row r="82" spans="1:1" x14ac:dyDescent="0.35">
      <c r="A82" t="s">
        <v>361</v>
      </c>
    </row>
    <row r="83" spans="1:1" x14ac:dyDescent="0.35">
      <c r="A83" t="s">
        <v>367</v>
      </c>
    </row>
    <row r="84" spans="1:1" x14ac:dyDescent="0.35">
      <c r="A84" t="s">
        <v>373</v>
      </c>
    </row>
    <row r="85" spans="1:1" x14ac:dyDescent="0.35">
      <c r="A85" t="s">
        <v>376</v>
      </c>
    </row>
    <row r="86" spans="1:1" x14ac:dyDescent="0.35">
      <c r="A86" t="s">
        <v>379</v>
      </c>
    </row>
    <row r="87" spans="1:1" x14ac:dyDescent="0.35">
      <c r="A87" t="s">
        <v>382</v>
      </c>
    </row>
    <row r="88" spans="1:1" x14ac:dyDescent="0.35">
      <c r="A88" t="s">
        <v>385</v>
      </c>
    </row>
    <row r="89" spans="1:1" x14ac:dyDescent="0.35">
      <c r="A89" t="s">
        <v>388</v>
      </c>
    </row>
    <row r="90" spans="1:1" x14ac:dyDescent="0.35">
      <c r="A90" t="s">
        <v>391</v>
      </c>
    </row>
    <row r="91" spans="1:1" x14ac:dyDescent="0.35">
      <c r="A91" t="s">
        <v>394</v>
      </c>
    </row>
    <row r="92" spans="1:1" x14ac:dyDescent="0.35">
      <c r="A92" t="s">
        <v>397</v>
      </c>
    </row>
    <row r="93" spans="1:1" x14ac:dyDescent="0.35">
      <c r="A93" t="s">
        <v>400</v>
      </c>
    </row>
    <row r="94" spans="1:1" x14ac:dyDescent="0.35">
      <c r="A94" t="s">
        <v>403</v>
      </c>
    </row>
    <row r="95" spans="1:1" x14ac:dyDescent="0.35">
      <c r="A95" t="s">
        <v>406</v>
      </c>
    </row>
    <row r="96" spans="1:1" x14ac:dyDescent="0.35">
      <c r="A96" t="s">
        <v>409</v>
      </c>
    </row>
    <row r="97" spans="1:1" x14ac:dyDescent="0.35">
      <c r="A97" t="s">
        <v>412</v>
      </c>
    </row>
    <row r="98" spans="1:1" x14ac:dyDescent="0.35">
      <c r="A98" t="s">
        <v>415</v>
      </c>
    </row>
    <row r="99" spans="1:1" x14ac:dyDescent="0.35">
      <c r="A99" t="s">
        <v>418</v>
      </c>
    </row>
    <row r="100" spans="1:1" x14ac:dyDescent="0.35">
      <c r="A100" t="s">
        <v>421</v>
      </c>
    </row>
    <row r="101" spans="1:1" x14ac:dyDescent="0.35">
      <c r="A101" t="s">
        <v>424</v>
      </c>
    </row>
    <row r="102" spans="1:1" x14ac:dyDescent="0.35">
      <c r="A102" t="s">
        <v>427</v>
      </c>
    </row>
    <row r="103" spans="1:1" x14ac:dyDescent="0.35">
      <c r="A103" t="s">
        <v>430</v>
      </c>
    </row>
    <row r="104" spans="1:1" x14ac:dyDescent="0.35">
      <c r="A104" t="s">
        <v>433</v>
      </c>
    </row>
    <row r="105" spans="1:1" x14ac:dyDescent="0.35">
      <c r="A105" t="s">
        <v>436</v>
      </c>
    </row>
    <row r="106" spans="1:1" x14ac:dyDescent="0.35">
      <c r="A106" t="s">
        <v>439</v>
      </c>
    </row>
    <row r="107" spans="1:1" x14ac:dyDescent="0.35">
      <c r="A107" t="s">
        <v>442</v>
      </c>
    </row>
    <row r="108" spans="1:1" x14ac:dyDescent="0.35">
      <c r="A108" t="s">
        <v>445</v>
      </c>
    </row>
    <row r="109" spans="1:1" x14ac:dyDescent="0.35">
      <c r="A109" t="s">
        <v>448</v>
      </c>
    </row>
    <row r="110" spans="1:1" x14ac:dyDescent="0.35">
      <c r="A110" t="s">
        <v>451</v>
      </c>
    </row>
    <row r="111" spans="1:1" x14ac:dyDescent="0.35">
      <c r="A111" t="s">
        <v>454</v>
      </c>
    </row>
    <row r="112" spans="1:1" x14ac:dyDescent="0.35">
      <c r="A112" t="s">
        <v>457</v>
      </c>
    </row>
    <row r="113" spans="1:1" x14ac:dyDescent="0.35">
      <c r="A113" t="s">
        <v>460</v>
      </c>
    </row>
    <row r="114" spans="1:1" x14ac:dyDescent="0.35">
      <c r="A114" t="s">
        <v>463</v>
      </c>
    </row>
    <row r="115" spans="1:1" x14ac:dyDescent="0.35">
      <c r="A115" t="s">
        <v>466</v>
      </c>
    </row>
    <row r="116" spans="1:1" x14ac:dyDescent="0.35">
      <c r="A116" t="s">
        <v>469</v>
      </c>
    </row>
    <row r="117" spans="1:1" x14ac:dyDescent="0.35">
      <c r="A117" t="s">
        <v>472</v>
      </c>
    </row>
    <row r="118" spans="1:1" x14ac:dyDescent="0.35">
      <c r="A118" t="s">
        <v>475</v>
      </c>
    </row>
    <row r="119" spans="1:1" x14ac:dyDescent="0.35">
      <c r="A119" t="s">
        <v>478</v>
      </c>
    </row>
    <row r="120" spans="1:1" x14ac:dyDescent="0.35">
      <c r="A120" t="s">
        <v>481</v>
      </c>
    </row>
    <row r="121" spans="1:1" x14ac:dyDescent="0.35">
      <c r="A121" t="s">
        <v>484</v>
      </c>
    </row>
    <row r="122" spans="1:1" x14ac:dyDescent="0.35">
      <c r="A122" t="s">
        <v>487</v>
      </c>
    </row>
    <row r="123" spans="1:1" x14ac:dyDescent="0.35">
      <c r="A123" t="s">
        <v>490</v>
      </c>
    </row>
    <row r="124" spans="1:1" x14ac:dyDescent="0.35">
      <c r="A124" t="s">
        <v>493</v>
      </c>
    </row>
    <row r="125" spans="1:1" x14ac:dyDescent="0.35">
      <c r="A125" t="s">
        <v>496</v>
      </c>
    </row>
    <row r="126" spans="1:1" x14ac:dyDescent="0.35">
      <c r="A126" t="s">
        <v>499</v>
      </c>
    </row>
    <row r="127" spans="1:1" x14ac:dyDescent="0.35">
      <c r="A127" t="s">
        <v>502</v>
      </c>
    </row>
    <row r="128" spans="1:1" x14ac:dyDescent="0.35">
      <c r="A128" t="s">
        <v>505</v>
      </c>
    </row>
    <row r="129" spans="1:1" x14ac:dyDescent="0.35">
      <c r="A129" t="s">
        <v>508</v>
      </c>
    </row>
    <row r="130" spans="1:1" x14ac:dyDescent="0.35">
      <c r="A130" t="s">
        <v>511</v>
      </c>
    </row>
    <row r="131" spans="1:1" x14ac:dyDescent="0.35">
      <c r="A131" t="s">
        <v>514</v>
      </c>
    </row>
    <row r="132" spans="1:1" x14ac:dyDescent="0.35">
      <c r="A132" t="s">
        <v>517</v>
      </c>
    </row>
    <row r="133" spans="1:1" x14ac:dyDescent="0.35">
      <c r="A133" t="s">
        <v>520</v>
      </c>
    </row>
    <row r="134" spans="1:1" x14ac:dyDescent="0.35">
      <c r="A134" t="s">
        <v>523</v>
      </c>
    </row>
    <row r="135" spans="1:1" x14ac:dyDescent="0.35">
      <c r="A135" t="s">
        <v>526</v>
      </c>
    </row>
    <row r="136" spans="1:1" x14ac:dyDescent="0.35">
      <c r="A136" t="s">
        <v>529</v>
      </c>
    </row>
    <row r="137" spans="1:1" x14ac:dyDescent="0.35">
      <c r="A137" t="s">
        <v>532</v>
      </c>
    </row>
    <row r="138" spans="1:1" x14ac:dyDescent="0.35">
      <c r="A138" t="s">
        <v>535</v>
      </c>
    </row>
    <row r="139" spans="1:1" x14ac:dyDescent="0.35">
      <c r="A139" t="s">
        <v>538</v>
      </c>
    </row>
    <row r="140" spans="1:1" x14ac:dyDescent="0.35">
      <c r="A140" t="s">
        <v>541</v>
      </c>
    </row>
    <row r="141" spans="1:1" x14ac:dyDescent="0.35">
      <c r="A141" t="s">
        <v>544</v>
      </c>
    </row>
    <row r="142" spans="1:1" x14ac:dyDescent="0.35">
      <c r="A142" t="s">
        <v>547</v>
      </c>
    </row>
    <row r="143" spans="1:1" x14ac:dyDescent="0.35">
      <c r="A143" t="s">
        <v>550</v>
      </c>
    </row>
    <row r="144" spans="1:1" x14ac:dyDescent="0.35">
      <c r="A144" t="s">
        <v>553</v>
      </c>
    </row>
    <row r="145" spans="1:1" x14ac:dyDescent="0.35">
      <c r="A145" t="s">
        <v>556</v>
      </c>
    </row>
    <row r="146" spans="1:1" x14ac:dyDescent="0.35">
      <c r="A146" t="s">
        <v>559</v>
      </c>
    </row>
    <row r="147" spans="1:1" x14ac:dyDescent="0.35">
      <c r="A147" t="s">
        <v>562</v>
      </c>
    </row>
    <row r="148" spans="1:1" x14ac:dyDescent="0.35">
      <c r="A148" t="s">
        <v>565</v>
      </c>
    </row>
    <row r="149" spans="1:1" x14ac:dyDescent="0.35">
      <c r="A149" t="s">
        <v>568</v>
      </c>
    </row>
    <row r="150" spans="1:1" x14ac:dyDescent="0.35">
      <c r="A150" t="s">
        <v>570</v>
      </c>
    </row>
    <row r="151" spans="1:1" x14ac:dyDescent="0.35">
      <c r="A151" t="s">
        <v>573</v>
      </c>
    </row>
    <row r="152" spans="1:1" x14ac:dyDescent="0.35">
      <c r="A152" t="s">
        <v>576</v>
      </c>
    </row>
    <row r="153" spans="1:1" x14ac:dyDescent="0.35">
      <c r="A153" t="s">
        <v>579</v>
      </c>
    </row>
    <row r="154" spans="1:1" x14ac:dyDescent="0.35">
      <c r="A154" t="s">
        <v>582</v>
      </c>
    </row>
    <row r="155" spans="1:1" x14ac:dyDescent="0.35">
      <c r="A155" t="s">
        <v>585</v>
      </c>
    </row>
    <row r="156" spans="1:1" x14ac:dyDescent="0.35">
      <c r="A156" t="s">
        <v>588</v>
      </c>
    </row>
    <row r="157" spans="1:1" x14ac:dyDescent="0.35">
      <c r="A157" t="s">
        <v>591</v>
      </c>
    </row>
    <row r="158" spans="1:1" x14ac:dyDescent="0.35">
      <c r="A158" t="s">
        <v>594</v>
      </c>
    </row>
    <row r="159" spans="1:1" x14ac:dyDescent="0.35">
      <c r="A159" t="s">
        <v>597</v>
      </c>
    </row>
    <row r="160" spans="1:1" x14ac:dyDescent="0.35">
      <c r="A160" t="s">
        <v>600</v>
      </c>
    </row>
    <row r="161" spans="1:1" x14ac:dyDescent="0.35">
      <c r="A161" t="s">
        <v>603</v>
      </c>
    </row>
    <row r="162" spans="1:1" x14ac:dyDescent="0.35">
      <c r="A162" t="s">
        <v>606</v>
      </c>
    </row>
    <row r="163" spans="1:1" x14ac:dyDescent="0.35">
      <c r="A163" t="s">
        <v>609</v>
      </c>
    </row>
    <row r="164" spans="1:1" x14ac:dyDescent="0.35">
      <c r="A164" t="s">
        <v>612</v>
      </c>
    </row>
    <row r="165" spans="1:1" x14ac:dyDescent="0.35">
      <c r="A165" t="s">
        <v>615</v>
      </c>
    </row>
    <row r="166" spans="1:1" x14ac:dyDescent="0.35">
      <c r="A166" t="s">
        <v>618</v>
      </c>
    </row>
    <row r="167" spans="1:1" x14ac:dyDescent="0.35">
      <c r="A167" t="s">
        <v>621</v>
      </c>
    </row>
    <row r="168" spans="1:1" x14ac:dyDescent="0.35">
      <c r="A168" t="s">
        <v>624</v>
      </c>
    </row>
    <row r="169" spans="1:1" x14ac:dyDescent="0.35">
      <c r="A169" t="s">
        <v>627</v>
      </c>
    </row>
    <row r="170" spans="1:1" x14ac:dyDescent="0.35">
      <c r="A170" t="s">
        <v>630</v>
      </c>
    </row>
    <row r="171" spans="1:1" x14ac:dyDescent="0.35">
      <c r="A171" t="s">
        <v>633</v>
      </c>
    </row>
    <row r="172" spans="1:1" x14ac:dyDescent="0.35">
      <c r="A172" t="s">
        <v>636</v>
      </c>
    </row>
    <row r="173" spans="1:1" x14ac:dyDescent="0.35">
      <c r="A173" t="s">
        <v>638</v>
      </c>
    </row>
    <row r="174" spans="1:1" x14ac:dyDescent="0.35">
      <c r="A174" t="s">
        <v>641</v>
      </c>
    </row>
    <row r="175" spans="1:1" x14ac:dyDescent="0.35">
      <c r="A175" t="s">
        <v>644</v>
      </c>
    </row>
    <row r="176" spans="1:1" x14ac:dyDescent="0.35">
      <c r="A176" t="s">
        <v>647</v>
      </c>
    </row>
    <row r="177" spans="1:1" x14ac:dyDescent="0.35">
      <c r="A177" t="s">
        <v>650</v>
      </c>
    </row>
    <row r="178" spans="1:1" x14ac:dyDescent="0.35">
      <c r="A178" t="s">
        <v>653</v>
      </c>
    </row>
    <row r="179" spans="1:1" x14ac:dyDescent="0.35">
      <c r="A179" t="s">
        <v>655</v>
      </c>
    </row>
    <row r="180" spans="1:1" x14ac:dyDescent="0.35">
      <c r="A180" t="s">
        <v>658</v>
      </c>
    </row>
    <row r="181" spans="1:1" x14ac:dyDescent="0.35">
      <c r="A181" t="s">
        <v>661</v>
      </c>
    </row>
    <row r="182" spans="1:1" x14ac:dyDescent="0.35">
      <c r="A182" t="s">
        <v>663</v>
      </c>
    </row>
    <row r="183" spans="1:1" x14ac:dyDescent="0.35">
      <c r="A183" t="s">
        <v>666</v>
      </c>
    </row>
    <row r="184" spans="1:1" x14ac:dyDescent="0.35">
      <c r="A184" t="s">
        <v>669</v>
      </c>
    </row>
    <row r="185" spans="1:1" x14ac:dyDescent="0.35">
      <c r="A185" t="s">
        <v>672</v>
      </c>
    </row>
    <row r="186" spans="1:1" x14ac:dyDescent="0.35">
      <c r="A186" t="s">
        <v>675</v>
      </c>
    </row>
    <row r="187" spans="1:1" x14ac:dyDescent="0.35">
      <c r="A187" t="s">
        <v>678</v>
      </c>
    </row>
    <row r="188" spans="1:1" x14ac:dyDescent="0.35">
      <c r="A188" t="s">
        <v>681</v>
      </c>
    </row>
    <row r="189" spans="1:1" x14ac:dyDescent="0.35">
      <c r="A189" t="s">
        <v>684</v>
      </c>
    </row>
    <row r="190" spans="1:1" x14ac:dyDescent="0.35">
      <c r="A190" t="s">
        <v>687</v>
      </c>
    </row>
    <row r="191" spans="1:1" x14ac:dyDescent="0.35">
      <c r="A191" t="s">
        <v>690</v>
      </c>
    </row>
    <row r="192" spans="1:1" x14ac:dyDescent="0.35">
      <c r="A192" t="s">
        <v>693</v>
      </c>
    </row>
    <row r="193" spans="1:1" x14ac:dyDescent="0.35">
      <c r="A193" t="s">
        <v>696</v>
      </c>
    </row>
    <row r="194" spans="1:1" x14ac:dyDescent="0.35">
      <c r="A194" t="s">
        <v>699</v>
      </c>
    </row>
    <row r="195" spans="1:1" x14ac:dyDescent="0.35">
      <c r="A195" t="s">
        <v>702</v>
      </c>
    </row>
    <row r="196" spans="1:1" x14ac:dyDescent="0.35">
      <c r="A196" t="s">
        <v>705</v>
      </c>
    </row>
    <row r="197" spans="1:1" x14ac:dyDescent="0.35">
      <c r="A197" t="s">
        <v>708</v>
      </c>
    </row>
    <row r="198" spans="1:1" x14ac:dyDescent="0.35">
      <c r="A198" t="s">
        <v>711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201"/>
  <sheetViews>
    <sheetView workbookViewId="0">
      <selection activeCell="E1" sqref="E1:G1048576"/>
    </sheetView>
  </sheetViews>
  <sheetFormatPr defaultRowHeight="14.5" x14ac:dyDescent="0.35"/>
  <sheetData>
    <row r="1" spans="1:8" x14ac:dyDescent="0.35">
      <c r="A1" t="s">
        <v>156</v>
      </c>
      <c r="B1" t="s">
        <v>1</v>
      </c>
      <c r="C1" t="s">
        <v>2</v>
      </c>
      <c r="D1" t="s">
        <v>3</v>
      </c>
      <c r="E1" t="s">
        <v>157</v>
      </c>
      <c r="F1" t="s">
        <v>158</v>
      </c>
      <c r="G1" t="s">
        <v>246</v>
      </c>
      <c r="H1" t="s">
        <v>245</v>
      </c>
    </row>
    <row r="2" spans="1:8" x14ac:dyDescent="0.35">
      <c r="A2" t="s">
        <v>4</v>
      </c>
      <c r="B2">
        <v>2019</v>
      </c>
      <c r="C2" t="s">
        <v>5</v>
      </c>
      <c r="D2" t="s">
        <v>159</v>
      </c>
      <c r="E2" t="s">
        <v>221</v>
      </c>
      <c r="F2" t="s">
        <v>222</v>
      </c>
      <c r="G2" t="b">
        <f>IF(E2="Include", TRUE, FALSE)</f>
        <v>0</v>
      </c>
      <c r="H2" t="str">
        <f>VLOOKUP(A2,ID_Lookup!A:A,1,FALSE)</f>
        <v>J500</v>
      </c>
    </row>
    <row r="3" spans="1:8" x14ac:dyDescent="0.35">
      <c r="A3" t="s">
        <v>7</v>
      </c>
      <c r="B3">
        <v>2019</v>
      </c>
      <c r="C3" t="s">
        <v>8</v>
      </c>
      <c r="D3" t="s">
        <v>161</v>
      </c>
      <c r="E3" t="s">
        <v>221</v>
      </c>
      <c r="F3" t="s">
        <v>222</v>
      </c>
      <c r="G3" t="b">
        <f t="shared" ref="G3:G66" si="0">IF(E3="Include", TRUE, FALSE)</f>
        <v>0</v>
      </c>
      <c r="H3" t="str">
        <f>VLOOKUP(A3,ID_Lookup!A:A,1,FALSE)</f>
        <v>J501</v>
      </c>
    </row>
    <row r="4" spans="1:8" x14ac:dyDescent="0.35">
      <c r="A4" t="s">
        <v>10</v>
      </c>
      <c r="B4">
        <v>2019</v>
      </c>
      <c r="C4" t="s">
        <v>11</v>
      </c>
      <c r="D4" t="s">
        <v>162</v>
      </c>
      <c r="E4" t="s">
        <v>160</v>
      </c>
      <c r="F4" t="s">
        <v>223</v>
      </c>
      <c r="G4" t="b">
        <f t="shared" si="0"/>
        <v>1</v>
      </c>
      <c r="H4" t="str">
        <f>VLOOKUP(A4,ID_Lookup!A:A,1,FALSE)</f>
        <v>J502</v>
      </c>
    </row>
    <row r="5" spans="1:8" x14ac:dyDescent="0.35">
      <c r="A5" t="s">
        <v>13</v>
      </c>
      <c r="B5">
        <v>2019</v>
      </c>
      <c r="C5" t="s">
        <v>14</v>
      </c>
      <c r="D5" t="s">
        <v>163</v>
      </c>
      <c r="E5" t="s">
        <v>160</v>
      </c>
      <c r="F5" t="s">
        <v>224</v>
      </c>
      <c r="G5" t="b">
        <f t="shared" si="0"/>
        <v>1</v>
      </c>
      <c r="H5" t="str">
        <f>VLOOKUP(A5,ID_Lookup!A:A,1,FALSE)</f>
        <v>J503</v>
      </c>
    </row>
    <row r="6" spans="1:8" x14ac:dyDescent="0.35">
      <c r="A6" t="s">
        <v>16</v>
      </c>
      <c r="B6">
        <v>2019</v>
      </c>
      <c r="C6" t="s">
        <v>17</v>
      </c>
      <c r="D6" t="s">
        <v>164</v>
      </c>
      <c r="E6" t="s">
        <v>160</v>
      </c>
      <c r="F6" t="s">
        <v>224</v>
      </c>
      <c r="G6" t="b">
        <f t="shared" si="0"/>
        <v>1</v>
      </c>
      <c r="H6" t="str">
        <f>VLOOKUP(A6,ID_Lookup!A:A,1,FALSE)</f>
        <v>J504</v>
      </c>
    </row>
    <row r="7" spans="1:8" x14ac:dyDescent="0.35">
      <c r="A7" t="s">
        <v>19</v>
      </c>
      <c r="B7">
        <v>2019</v>
      </c>
      <c r="C7" t="s">
        <v>20</v>
      </c>
      <c r="D7" t="s">
        <v>165</v>
      </c>
      <c r="E7" t="s">
        <v>160</v>
      </c>
      <c r="F7" t="s">
        <v>224</v>
      </c>
      <c r="G7" t="b">
        <f t="shared" si="0"/>
        <v>1</v>
      </c>
      <c r="H7" t="str">
        <f>VLOOKUP(A7,ID_Lookup!A:A,1,FALSE)</f>
        <v>J505</v>
      </c>
    </row>
    <row r="8" spans="1:8" x14ac:dyDescent="0.35">
      <c r="A8" t="s">
        <v>22</v>
      </c>
      <c r="B8">
        <v>2019</v>
      </c>
      <c r="C8" t="s">
        <v>23</v>
      </c>
      <c r="D8" t="s">
        <v>166</v>
      </c>
      <c r="E8" t="s">
        <v>160</v>
      </c>
      <c r="F8" t="s">
        <v>224</v>
      </c>
      <c r="G8" t="b">
        <f t="shared" si="0"/>
        <v>1</v>
      </c>
      <c r="H8" t="str">
        <f>VLOOKUP(A8,ID_Lookup!A:A,1,FALSE)</f>
        <v>J506</v>
      </c>
    </row>
    <row r="9" spans="1:8" x14ac:dyDescent="0.35">
      <c r="A9" t="s">
        <v>25</v>
      </c>
      <c r="B9">
        <v>2019</v>
      </c>
      <c r="C9" t="s">
        <v>167</v>
      </c>
      <c r="D9" t="s">
        <v>168</v>
      </c>
      <c r="E9" t="s">
        <v>221</v>
      </c>
      <c r="F9" t="s">
        <v>225</v>
      </c>
      <c r="G9" t="b">
        <f t="shared" si="0"/>
        <v>0</v>
      </c>
      <c r="H9" t="str">
        <f>VLOOKUP(A9,ID_Lookup!A:A,1,FALSE)</f>
        <v>J507</v>
      </c>
    </row>
    <row r="10" spans="1:8" x14ac:dyDescent="0.35">
      <c r="A10" t="s">
        <v>28</v>
      </c>
      <c r="B10">
        <v>2019</v>
      </c>
      <c r="C10" t="s">
        <v>29</v>
      </c>
      <c r="D10" t="s">
        <v>169</v>
      </c>
      <c r="E10" t="s">
        <v>160</v>
      </c>
      <c r="F10" t="s">
        <v>223</v>
      </c>
      <c r="G10" t="b">
        <f t="shared" si="0"/>
        <v>1</v>
      </c>
      <c r="H10" t="str">
        <f>VLOOKUP(A10,ID_Lookup!A:A,1,FALSE)</f>
        <v>J508</v>
      </c>
    </row>
    <row r="11" spans="1:8" x14ac:dyDescent="0.35">
      <c r="A11" t="s">
        <v>31</v>
      </c>
      <c r="B11">
        <v>2019</v>
      </c>
      <c r="C11" t="s">
        <v>32</v>
      </c>
      <c r="D11" t="s">
        <v>170</v>
      </c>
      <c r="E11" t="s">
        <v>160</v>
      </c>
      <c r="F11" t="s">
        <v>226</v>
      </c>
      <c r="G11" t="b">
        <f t="shared" si="0"/>
        <v>1</v>
      </c>
      <c r="H11" t="str">
        <f>VLOOKUP(A11,ID_Lookup!A:A,1,FALSE)</f>
        <v>J509</v>
      </c>
    </row>
    <row r="12" spans="1:8" x14ac:dyDescent="0.35">
      <c r="A12" t="s">
        <v>34</v>
      </c>
      <c r="B12">
        <v>2019</v>
      </c>
      <c r="C12" t="s">
        <v>171</v>
      </c>
      <c r="D12" t="s">
        <v>172</v>
      </c>
      <c r="E12" t="s">
        <v>221</v>
      </c>
      <c r="F12" t="s">
        <v>225</v>
      </c>
      <c r="G12" t="b">
        <f t="shared" si="0"/>
        <v>0</v>
      </c>
      <c r="H12" t="str">
        <f>VLOOKUP(A12,ID_Lookup!A:A,1,FALSE)</f>
        <v>J510</v>
      </c>
    </row>
    <row r="13" spans="1:8" x14ac:dyDescent="0.35">
      <c r="A13" t="s">
        <v>37</v>
      </c>
      <c r="B13">
        <v>2019</v>
      </c>
      <c r="C13" t="s">
        <v>38</v>
      </c>
      <c r="D13" t="s">
        <v>39</v>
      </c>
      <c r="E13" t="s">
        <v>160</v>
      </c>
      <c r="F13" t="s">
        <v>223</v>
      </c>
      <c r="G13" t="b">
        <f t="shared" si="0"/>
        <v>1</v>
      </c>
      <c r="H13" t="str">
        <f>VLOOKUP(A13,ID_Lookup!A:A,1,FALSE)</f>
        <v>J511</v>
      </c>
    </row>
    <row r="14" spans="1:8" x14ac:dyDescent="0.35">
      <c r="A14" t="s">
        <v>40</v>
      </c>
      <c r="B14">
        <v>2019</v>
      </c>
      <c r="C14" t="s">
        <v>41</v>
      </c>
      <c r="D14" t="s">
        <v>42</v>
      </c>
      <c r="E14" t="s">
        <v>160</v>
      </c>
      <c r="F14" t="s">
        <v>223</v>
      </c>
      <c r="G14" t="b">
        <f t="shared" si="0"/>
        <v>1</v>
      </c>
      <c r="H14" t="str">
        <f>VLOOKUP(A14,ID_Lookup!A:A,1,FALSE)</f>
        <v>J512</v>
      </c>
    </row>
    <row r="15" spans="1:8" x14ac:dyDescent="0.35">
      <c r="A15" t="s">
        <v>43</v>
      </c>
      <c r="B15">
        <v>2019</v>
      </c>
      <c r="C15" t="s">
        <v>173</v>
      </c>
      <c r="D15" t="s">
        <v>174</v>
      </c>
      <c r="E15" t="s">
        <v>160</v>
      </c>
      <c r="F15" t="s">
        <v>224</v>
      </c>
      <c r="G15" t="b">
        <f t="shared" si="0"/>
        <v>1</v>
      </c>
      <c r="H15" t="str">
        <f>VLOOKUP(A15,ID_Lookup!A:A,1,FALSE)</f>
        <v>J513</v>
      </c>
    </row>
    <row r="16" spans="1:8" x14ac:dyDescent="0.35">
      <c r="A16" t="s">
        <v>46</v>
      </c>
      <c r="B16">
        <v>2019</v>
      </c>
      <c r="C16" t="s">
        <v>175</v>
      </c>
      <c r="D16" t="s">
        <v>176</v>
      </c>
      <c r="E16" t="s">
        <v>160</v>
      </c>
      <c r="F16" t="s">
        <v>224</v>
      </c>
      <c r="G16" t="b">
        <f t="shared" si="0"/>
        <v>1</v>
      </c>
      <c r="H16" t="str">
        <f>VLOOKUP(A16,ID_Lookup!A:A,1,FALSE)</f>
        <v>J514</v>
      </c>
    </row>
    <row r="17" spans="1:8" x14ac:dyDescent="0.35">
      <c r="A17" t="s">
        <v>49</v>
      </c>
      <c r="B17">
        <v>2019</v>
      </c>
      <c r="C17" t="s">
        <v>50</v>
      </c>
      <c r="D17" t="s">
        <v>177</v>
      </c>
      <c r="E17" t="s">
        <v>160</v>
      </c>
      <c r="F17" t="s">
        <v>223</v>
      </c>
      <c r="G17" t="b">
        <f t="shared" si="0"/>
        <v>1</v>
      </c>
      <c r="H17" t="str">
        <f>VLOOKUP(A17,ID_Lookup!A:A,1,FALSE)</f>
        <v>J515</v>
      </c>
    </row>
    <row r="18" spans="1:8" x14ac:dyDescent="0.35">
      <c r="A18" t="s">
        <v>52</v>
      </c>
      <c r="B18">
        <v>2019</v>
      </c>
      <c r="C18" t="s">
        <v>53</v>
      </c>
      <c r="D18" t="s">
        <v>178</v>
      </c>
      <c r="E18" t="s">
        <v>160</v>
      </c>
      <c r="F18" t="s">
        <v>224</v>
      </c>
      <c r="G18" t="b">
        <f t="shared" si="0"/>
        <v>1</v>
      </c>
      <c r="H18" t="str">
        <f>VLOOKUP(A18,ID_Lookup!A:A,1,FALSE)</f>
        <v>J516</v>
      </c>
    </row>
    <row r="19" spans="1:8" s="2" customFormat="1" hidden="1" x14ac:dyDescent="0.35">
      <c r="A19" s="2" t="s">
        <v>55</v>
      </c>
      <c r="B19" s="2">
        <v>2019</v>
      </c>
      <c r="C19" s="2" t="s">
        <v>56</v>
      </c>
      <c r="D19" s="2" t="s">
        <v>179</v>
      </c>
      <c r="E19" s="2" t="s">
        <v>221</v>
      </c>
      <c r="F19" s="2" t="s">
        <v>227</v>
      </c>
      <c r="G19" t="b">
        <f t="shared" si="0"/>
        <v>0</v>
      </c>
      <c r="H19" t="e">
        <f>VLOOKUP(A19,ID_Lookup!A:A,1,FALSE)</f>
        <v>#N/A</v>
      </c>
    </row>
    <row r="20" spans="1:8" x14ac:dyDescent="0.35">
      <c r="A20" t="s">
        <v>57</v>
      </c>
      <c r="B20">
        <v>2019</v>
      </c>
      <c r="C20" t="s">
        <v>58</v>
      </c>
      <c r="D20" t="s">
        <v>180</v>
      </c>
      <c r="E20" t="s">
        <v>221</v>
      </c>
      <c r="F20" t="s">
        <v>222</v>
      </c>
      <c r="G20" t="b">
        <f t="shared" si="0"/>
        <v>0</v>
      </c>
      <c r="H20" t="str">
        <f>VLOOKUP(A20,ID_Lookup!A:A,1,FALSE)</f>
        <v>J518</v>
      </c>
    </row>
    <row r="21" spans="1:8" x14ac:dyDescent="0.35">
      <c r="A21" t="s">
        <v>60</v>
      </c>
      <c r="B21">
        <v>2019</v>
      </c>
      <c r="C21" t="s">
        <v>61</v>
      </c>
      <c r="D21" t="s">
        <v>181</v>
      </c>
      <c r="E21" t="s">
        <v>221</v>
      </c>
      <c r="F21" t="s">
        <v>222</v>
      </c>
      <c r="G21" t="b">
        <f t="shared" si="0"/>
        <v>0</v>
      </c>
      <c r="H21" t="str">
        <f>VLOOKUP(A21,ID_Lookup!A:A,1,FALSE)</f>
        <v>J519</v>
      </c>
    </row>
    <row r="22" spans="1:8" x14ac:dyDescent="0.35">
      <c r="A22" t="s">
        <v>63</v>
      </c>
      <c r="B22">
        <v>2019</v>
      </c>
      <c r="C22" t="s">
        <v>64</v>
      </c>
      <c r="D22" t="s">
        <v>65</v>
      </c>
      <c r="E22" t="s">
        <v>160</v>
      </c>
      <c r="F22" t="s">
        <v>223</v>
      </c>
      <c r="G22" t="b">
        <f t="shared" si="0"/>
        <v>1</v>
      </c>
      <c r="H22" t="str">
        <f>VLOOKUP(A22,ID_Lookup!A:A,1,FALSE)</f>
        <v>J520</v>
      </c>
    </row>
    <row r="23" spans="1:8" x14ac:dyDescent="0.35">
      <c r="A23" t="s">
        <v>66</v>
      </c>
      <c r="B23">
        <v>2019</v>
      </c>
      <c r="C23" t="s">
        <v>67</v>
      </c>
      <c r="D23" t="s">
        <v>182</v>
      </c>
      <c r="E23" t="s">
        <v>160</v>
      </c>
      <c r="F23" t="s">
        <v>226</v>
      </c>
      <c r="G23" t="b">
        <f t="shared" si="0"/>
        <v>1</v>
      </c>
      <c r="H23" t="str">
        <f>VLOOKUP(A23,ID_Lookup!A:A,1,FALSE)</f>
        <v>J521</v>
      </c>
    </row>
    <row r="24" spans="1:8" x14ac:dyDescent="0.35">
      <c r="A24" t="s">
        <v>69</v>
      </c>
      <c r="B24">
        <v>2019</v>
      </c>
      <c r="C24" t="s">
        <v>70</v>
      </c>
      <c r="D24" t="s">
        <v>183</v>
      </c>
      <c r="E24" t="s">
        <v>160</v>
      </c>
      <c r="F24" t="s">
        <v>228</v>
      </c>
      <c r="G24" t="b">
        <f t="shared" si="0"/>
        <v>1</v>
      </c>
      <c r="H24" t="str">
        <f>VLOOKUP(A24,ID_Lookup!A:A,1,FALSE)</f>
        <v>J522</v>
      </c>
    </row>
    <row r="25" spans="1:8" x14ac:dyDescent="0.35">
      <c r="A25" t="s">
        <v>72</v>
      </c>
      <c r="B25">
        <v>2019</v>
      </c>
      <c r="C25" t="s">
        <v>184</v>
      </c>
      <c r="D25" t="s">
        <v>185</v>
      </c>
      <c r="E25" t="s">
        <v>160</v>
      </c>
      <c r="F25" t="s">
        <v>224</v>
      </c>
      <c r="G25" t="b">
        <f t="shared" si="0"/>
        <v>1</v>
      </c>
      <c r="H25" t="str">
        <f>VLOOKUP(A25,ID_Lookup!A:A,1,FALSE)</f>
        <v>J523</v>
      </c>
    </row>
    <row r="26" spans="1:8" x14ac:dyDescent="0.35">
      <c r="A26" t="s">
        <v>75</v>
      </c>
      <c r="B26">
        <v>2019</v>
      </c>
      <c r="C26" t="s">
        <v>186</v>
      </c>
      <c r="D26" t="s">
        <v>187</v>
      </c>
      <c r="E26" t="s">
        <v>160</v>
      </c>
      <c r="F26" t="s">
        <v>224</v>
      </c>
      <c r="G26" t="b">
        <f t="shared" si="0"/>
        <v>1</v>
      </c>
      <c r="H26" t="str">
        <f>VLOOKUP(A26,ID_Lookup!A:A,1,FALSE)</f>
        <v>J524</v>
      </c>
    </row>
    <row r="27" spans="1:8" x14ac:dyDescent="0.35">
      <c r="A27" t="s">
        <v>78</v>
      </c>
      <c r="B27">
        <v>2019</v>
      </c>
      <c r="C27" t="s">
        <v>79</v>
      </c>
      <c r="D27" t="s">
        <v>80</v>
      </c>
      <c r="E27" t="s">
        <v>160</v>
      </c>
      <c r="F27" t="s">
        <v>223</v>
      </c>
      <c r="G27" t="b">
        <f t="shared" si="0"/>
        <v>1</v>
      </c>
      <c r="H27" t="str">
        <f>VLOOKUP(A27,ID_Lookup!A:A,1,FALSE)</f>
        <v>J525</v>
      </c>
    </row>
    <row r="28" spans="1:8" x14ac:dyDescent="0.35">
      <c r="A28" t="s">
        <v>81</v>
      </c>
      <c r="B28">
        <v>2019</v>
      </c>
      <c r="C28" t="s">
        <v>82</v>
      </c>
      <c r="D28" t="s">
        <v>83</v>
      </c>
      <c r="E28" t="s">
        <v>221</v>
      </c>
      <c r="F28" t="s">
        <v>227</v>
      </c>
      <c r="G28" t="b">
        <f t="shared" si="0"/>
        <v>0</v>
      </c>
      <c r="H28" t="str">
        <f>VLOOKUP(A28,ID_Lookup!A:A,1,FALSE)</f>
        <v>J526</v>
      </c>
    </row>
    <row r="29" spans="1:8" x14ac:dyDescent="0.35">
      <c r="A29" t="s">
        <v>84</v>
      </c>
      <c r="B29">
        <v>2019</v>
      </c>
      <c r="C29" t="s">
        <v>85</v>
      </c>
      <c r="D29" t="s">
        <v>188</v>
      </c>
      <c r="E29" t="s">
        <v>160</v>
      </c>
      <c r="F29" t="s">
        <v>223</v>
      </c>
      <c r="G29" t="b">
        <f t="shared" si="0"/>
        <v>1</v>
      </c>
      <c r="H29" t="str">
        <f>VLOOKUP(A29,ID_Lookup!A:A,1,FALSE)</f>
        <v>J527</v>
      </c>
    </row>
    <row r="30" spans="1:8" x14ac:dyDescent="0.35">
      <c r="A30" t="s">
        <v>87</v>
      </c>
      <c r="B30">
        <v>2019</v>
      </c>
      <c r="C30" t="s">
        <v>189</v>
      </c>
      <c r="D30" t="s">
        <v>190</v>
      </c>
      <c r="E30" t="s">
        <v>160</v>
      </c>
      <c r="F30" t="s">
        <v>224</v>
      </c>
      <c r="G30" t="b">
        <f t="shared" si="0"/>
        <v>1</v>
      </c>
      <c r="H30" t="str">
        <f>VLOOKUP(A30,ID_Lookup!A:A,1,FALSE)</f>
        <v>J528</v>
      </c>
    </row>
    <row r="31" spans="1:8" x14ac:dyDescent="0.35">
      <c r="A31" t="s">
        <v>90</v>
      </c>
      <c r="B31">
        <v>2019</v>
      </c>
      <c r="C31" t="s">
        <v>91</v>
      </c>
      <c r="D31" t="s">
        <v>191</v>
      </c>
      <c r="E31" t="s">
        <v>160</v>
      </c>
      <c r="F31" t="s">
        <v>224</v>
      </c>
      <c r="G31" t="b">
        <f t="shared" si="0"/>
        <v>1</v>
      </c>
      <c r="H31" t="str">
        <f>VLOOKUP(A31,ID_Lookup!A:A,1,FALSE)</f>
        <v>J529</v>
      </c>
    </row>
    <row r="32" spans="1:8" x14ac:dyDescent="0.35">
      <c r="A32" t="s">
        <v>93</v>
      </c>
      <c r="B32">
        <v>2019</v>
      </c>
      <c r="C32" t="s">
        <v>94</v>
      </c>
      <c r="D32" t="s">
        <v>192</v>
      </c>
      <c r="E32" t="s">
        <v>160</v>
      </c>
      <c r="F32" t="s">
        <v>224</v>
      </c>
      <c r="G32" t="b">
        <f t="shared" si="0"/>
        <v>1</v>
      </c>
      <c r="H32" t="str">
        <f>VLOOKUP(A32,ID_Lookup!A:A,1,FALSE)</f>
        <v>J530</v>
      </c>
    </row>
    <row r="33" spans="1:8" x14ac:dyDescent="0.35">
      <c r="A33" t="s">
        <v>96</v>
      </c>
      <c r="B33">
        <v>2019</v>
      </c>
      <c r="C33" t="s">
        <v>97</v>
      </c>
      <c r="D33" t="s">
        <v>193</v>
      </c>
      <c r="E33" t="s">
        <v>221</v>
      </c>
      <c r="F33" t="s">
        <v>229</v>
      </c>
      <c r="G33" t="b">
        <f t="shared" si="0"/>
        <v>0</v>
      </c>
      <c r="H33" t="str">
        <f>VLOOKUP(A33,ID_Lookup!A:A,1,FALSE)</f>
        <v>J531</v>
      </c>
    </row>
    <row r="34" spans="1:8" x14ac:dyDescent="0.35">
      <c r="A34" t="s">
        <v>99</v>
      </c>
      <c r="B34">
        <v>2019</v>
      </c>
      <c r="C34" t="s">
        <v>100</v>
      </c>
      <c r="D34" t="s">
        <v>101</v>
      </c>
      <c r="E34" t="s">
        <v>160</v>
      </c>
      <c r="F34" t="s">
        <v>223</v>
      </c>
      <c r="G34" t="b">
        <f t="shared" si="0"/>
        <v>1</v>
      </c>
      <c r="H34" t="str">
        <f>VLOOKUP(A34,ID_Lookup!A:A,1,FALSE)</f>
        <v>J532</v>
      </c>
    </row>
    <row r="35" spans="1:8" x14ac:dyDescent="0.35">
      <c r="A35" t="s">
        <v>102</v>
      </c>
      <c r="B35">
        <v>2019</v>
      </c>
      <c r="C35" t="s">
        <v>103</v>
      </c>
      <c r="D35" t="s">
        <v>194</v>
      </c>
      <c r="E35" t="s">
        <v>160</v>
      </c>
      <c r="F35" t="s">
        <v>224</v>
      </c>
      <c r="G35" t="b">
        <f t="shared" si="0"/>
        <v>1</v>
      </c>
      <c r="H35" t="str">
        <f>VLOOKUP(A35,ID_Lookup!A:A,1,FALSE)</f>
        <v>J533</v>
      </c>
    </row>
    <row r="36" spans="1:8" ht="409.5" x14ac:dyDescent="0.35">
      <c r="A36" t="s">
        <v>105</v>
      </c>
      <c r="B36">
        <v>2019</v>
      </c>
      <c r="C36" t="s">
        <v>106</v>
      </c>
      <c r="D36" s="1" t="s">
        <v>107</v>
      </c>
      <c r="E36" t="s">
        <v>160</v>
      </c>
      <c r="F36" t="s">
        <v>223</v>
      </c>
      <c r="G36" t="b">
        <f t="shared" si="0"/>
        <v>1</v>
      </c>
      <c r="H36" t="str">
        <f>VLOOKUP(A36,ID_Lookup!A:A,1,FALSE)</f>
        <v>J534</v>
      </c>
    </row>
    <row r="37" spans="1:8" x14ac:dyDescent="0.35">
      <c r="A37" t="s">
        <v>108</v>
      </c>
      <c r="B37">
        <v>2019</v>
      </c>
      <c r="C37" t="s">
        <v>109</v>
      </c>
      <c r="D37" t="s">
        <v>195</v>
      </c>
      <c r="E37" t="s">
        <v>160</v>
      </c>
      <c r="F37" t="s">
        <v>224</v>
      </c>
      <c r="G37" t="b">
        <f t="shared" si="0"/>
        <v>1</v>
      </c>
      <c r="H37" t="str">
        <f>VLOOKUP(A37,ID_Lookup!A:A,1,FALSE)</f>
        <v>J535</v>
      </c>
    </row>
    <row r="38" spans="1:8" x14ac:dyDescent="0.35">
      <c r="A38" t="s">
        <v>111</v>
      </c>
      <c r="B38">
        <v>2019</v>
      </c>
      <c r="C38" t="s">
        <v>112</v>
      </c>
      <c r="D38" t="s">
        <v>196</v>
      </c>
      <c r="E38" t="s">
        <v>160</v>
      </c>
      <c r="F38" t="s">
        <v>230</v>
      </c>
      <c r="G38" t="b">
        <f t="shared" si="0"/>
        <v>1</v>
      </c>
      <c r="H38" t="str">
        <f>VLOOKUP(A38,ID_Lookup!A:A,1,FALSE)</f>
        <v>J536</v>
      </c>
    </row>
    <row r="39" spans="1:8" x14ac:dyDescent="0.35">
      <c r="A39" t="s">
        <v>114</v>
      </c>
      <c r="B39">
        <v>2019</v>
      </c>
      <c r="C39" t="s">
        <v>115</v>
      </c>
      <c r="D39" t="s">
        <v>197</v>
      </c>
      <c r="E39" t="s">
        <v>160</v>
      </c>
      <c r="F39" t="s">
        <v>223</v>
      </c>
      <c r="G39" t="b">
        <f t="shared" si="0"/>
        <v>1</v>
      </c>
      <c r="H39" t="str">
        <f>VLOOKUP(A39,ID_Lookup!A:A,1,FALSE)</f>
        <v>J537</v>
      </c>
    </row>
    <row r="40" spans="1:8" x14ac:dyDescent="0.35">
      <c r="A40" t="s">
        <v>117</v>
      </c>
      <c r="B40">
        <v>2019</v>
      </c>
      <c r="C40" t="s">
        <v>118</v>
      </c>
      <c r="D40" t="s">
        <v>198</v>
      </c>
      <c r="E40" t="s">
        <v>221</v>
      </c>
      <c r="F40" t="s">
        <v>225</v>
      </c>
      <c r="G40" t="b">
        <f t="shared" si="0"/>
        <v>0</v>
      </c>
      <c r="H40" t="str">
        <f>VLOOKUP(A40,ID_Lookup!A:A,1,FALSE)</f>
        <v>J538</v>
      </c>
    </row>
    <row r="41" spans="1:8" x14ac:dyDescent="0.35">
      <c r="A41" t="s">
        <v>120</v>
      </c>
      <c r="B41">
        <v>2019</v>
      </c>
      <c r="C41" t="s">
        <v>199</v>
      </c>
      <c r="D41" t="s">
        <v>200</v>
      </c>
      <c r="E41" t="s">
        <v>221</v>
      </c>
      <c r="F41" t="s">
        <v>231</v>
      </c>
      <c r="G41" t="b">
        <f t="shared" si="0"/>
        <v>0</v>
      </c>
      <c r="H41" t="str">
        <f>VLOOKUP(A41,ID_Lookup!A:A,1,FALSE)</f>
        <v>J539</v>
      </c>
    </row>
    <row r="42" spans="1:8" x14ac:dyDescent="0.35">
      <c r="A42" t="s">
        <v>123</v>
      </c>
      <c r="B42">
        <v>2019</v>
      </c>
      <c r="C42" t="s">
        <v>124</v>
      </c>
      <c r="D42" t="s">
        <v>201</v>
      </c>
      <c r="E42" t="s">
        <v>160</v>
      </c>
      <c r="F42" t="s">
        <v>224</v>
      </c>
      <c r="G42" t="b">
        <f t="shared" si="0"/>
        <v>1</v>
      </c>
      <c r="H42" t="str">
        <f>VLOOKUP(A42,ID_Lookup!A:A,1,FALSE)</f>
        <v>J540</v>
      </c>
    </row>
    <row r="43" spans="1:8" ht="409.5" x14ac:dyDescent="0.35">
      <c r="A43" t="s">
        <v>126</v>
      </c>
      <c r="B43">
        <v>2019</v>
      </c>
      <c r="C43" t="s">
        <v>127</v>
      </c>
      <c r="D43" s="1" t="s">
        <v>128</v>
      </c>
      <c r="E43" t="s">
        <v>160</v>
      </c>
      <c r="F43" t="s">
        <v>223</v>
      </c>
      <c r="G43" t="b">
        <f t="shared" si="0"/>
        <v>1</v>
      </c>
      <c r="H43" t="str">
        <f>VLOOKUP(A43,ID_Lookup!A:A,1,FALSE)</f>
        <v>J541</v>
      </c>
    </row>
    <row r="44" spans="1:8" x14ac:dyDescent="0.35">
      <c r="A44" t="s">
        <v>129</v>
      </c>
      <c r="B44">
        <v>2019</v>
      </c>
      <c r="C44" t="s">
        <v>202</v>
      </c>
      <c r="D44" t="s">
        <v>203</v>
      </c>
      <c r="E44" t="s">
        <v>160</v>
      </c>
      <c r="F44" t="s">
        <v>223</v>
      </c>
      <c r="G44" t="b">
        <f t="shared" si="0"/>
        <v>1</v>
      </c>
      <c r="H44" t="str">
        <f>VLOOKUP(A44,ID_Lookup!A:A,1,FALSE)</f>
        <v>J542</v>
      </c>
    </row>
    <row r="45" spans="1:8" x14ac:dyDescent="0.35">
      <c r="A45" t="s">
        <v>132</v>
      </c>
      <c r="B45">
        <v>2019</v>
      </c>
      <c r="C45" t="s">
        <v>133</v>
      </c>
      <c r="D45" t="s">
        <v>204</v>
      </c>
      <c r="E45" t="s">
        <v>160</v>
      </c>
      <c r="F45" t="s">
        <v>223</v>
      </c>
      <c r="G45" t="b">
        <f t="shared" si="0"/>
        <v>1</v>
      </c>
      <c r="H45" t="str">
        <f>VLOOKUP(A45,ID_Lookup!A:A,1,FALSE)</f>
        <v>J543</v>
      </c>
    </row>
    <row r="46" spans="1:8" x14ac:dyDescent="0.35">
      <c r="A46" t="s">
        <v>135</v>
      </c>
      <c r="B46">
        <v>2019</v>
      </c>
      <c r="C46" t="s">
        <v>136</v>
      </c>
      <c r="D46" t="s">
        <v>137</v>
      </c>
      <c r="E46" t="s">
        <v>160</v>
      </c>
      <c r="F46" t="s">
        <v>226</v>
      </c>
      <c r="G46" t="b">
        <f t="shared" si="0"/>
        <v>1</v>
      </c>
      <c r="H46" t="str">
        <f>VLOOKUP(A46,ID_Lookup!A:A,1,FALSE)</f>
        <v>J544</v>
      </c>
    </row>
    <row r="47" spans="1:8" x14ac:dyDescent="0.35">
      <c r="A47" t="s">
        <v>138</v>
      </c>
      <c r="B47">
        <v>2019</v>
      </c>
      <c r="C47" t="s">
        <v>139</v>
      </c>
      <c r="D47" t="s">
        <v>140</v>
      </c>
      <c r="E47" t="s">
        <v>160</v>
      </c>
      <c r="F47" t="s">
        <v>226</v>
      </c>
      <c r="G47" t="b">
        <f t="shared" si="0"/>
        <v>1</v>
      </c>
      <c r="H47" t="str">
        <f>VLOOKUP(A47,ID_Lookup!A:A,1,FALSE)</f>
        <v>J545</v>
      </c>
    </row>
    <row r="48" spans="1:8" x14ac:dyDescent="0.35">
      <c r="A48" t="s">
        <v>141</v>
      </c>
      <c r="B48">
        <v>2019</v>
      </c>
      <c r="C48" t="s">
        <v>142</v>
      </c>
      <c r="D48" t="s">
        <v>205</v>
      </c>
      <c r="E48" t="s">
        <v>160</v>
      </c>
      <c r="F48" t="s">
        <v>223</v>
      </c>
      <c r="G48" t="b">
        <f t="shared" si="0"/>
        <v>1</v>
      </c>
      <c r="H48" t="str">
        <f>VLOOKUP(A48,ID_Lookup!A:A,1,FALSE)</f>
        <v>J546</v>
      </c>
    </row>
    <row r="49" spans="1:8" x14ac:dyDescent="0.35">
      <c r="A49" t="s">
        <v>144</v>
      </c>
      <c r="B49">
        <v>2019</v>
      </c>
      <c r="C49" t="s">
        <v>145</v>
      </c>
      <c r="D49" t="s">
        <v>146</v>
      </c>
      <c r="E49" t="s">
        <v>160</v>
      </c>
      <c r="F49" t="s">
        <v>223</v>
      </c>
      <c r="G49" t="b">
        <f t="shared" si="0"/>
        <v>1</v>
      </c>
      <c r="H49" t="str">
        <f>VLOOKUP(A49,ID_Lookup!A:A,1,FALSE)</f>
        <v>J547</v>
      </c>
    </row>
    <row r="50" spans="1:8" x14ac:dyDescent="0.35">
      <c r="A50" t="s">
        <v>147</v>
      </c>
      <c r="B50">
        <v>2019</v>
      </c>
      <c r="C50" t="s">
        <v>206</v>
      </c>
      <c r="D50" t="s">
        <v>207</v>
      </c>
      <c r="E50" t="s">
        <v>221</v>
      </c>
      <c r="F50" t="s">
        <v>232</v>
      </c>
      <c r="G50" t="b">
        <f t="shared" si="0"/>
        <v>0</v>
      </c>
      <c r="H50" t="str">
        <f>VLOOKUP(A50,ID_Lookup!A:A,1,FALSE)</f>
        <v>J548</v>
      </c>
    </row>
    <row r="51" spans="1:8" x14ac:dyDescent="0.35">
      <c r="A51" t="s">
        <v>150</v>
      </c>
      <c r="B51">
        <v>2019</v>
      </c>
      <c r="C51" t="s">
        <v>151</v>
      </c>
      <c r="D51" t="s">
        <v>152</v>
      </c>
      <c r="E51" t="s">
        <v>160</v>
      </c>
      <c r="F51" t="s">
        <v>226</v>
      </c>
      <c r="G51" t="b">
        <f t="shared" si="0"/>
        <v>1</v>
      </c>
      <c r="H51" t="str">
        <f>VLOOKUP(A51,ID_Lookup!A:A,1,FALSE)</f>
        <v>J549</v>
      </c>
    </row>
    <row r="52" spans="1:8" x14ac:dyDescent="0.35">
      <c r="A52" t="s">
        <v>153</v>
      </c>
      <c r="B52">
        <v>2019</v>
      </c>
      <c r="C52" t="s">
        <v>154</v>
      </c>
      <c r="D52" t="s">
        <v>208</v>
      </c>
      <c r="E52" t="s">
        <v>221</v>
      </c>
      <c r="F52" t="s">
        <v>233</v>
      </c>
      <c r="G52" t="b">
        <f t="shared" si="0"/>
        <v>0</v>
      </c>
      <c r="H52" t="str">
        <f>VLOOKUP(A52,ID_Lookup!A:A,1,FALSE)</f>
        <v>J550</v>
      </c>
    </row>
    <row r="53" spans="1:8" x14ac:dyDescent="0.35">
      <c r="A53" t="s">
        <v>271</v>
      </c>
      <c r="B53">
        <v>2019</v>
      </c>
      <c r="C53" t="s">
        <v>272</v>
      </c>
      <c r="D53" t="s">
        <v>273</v>
      </c>
      <c r="E53" t="s">
        <v>160</v>
      </c>
      <c r="F53" t="s">
        <v>230</v>
      </c>
      <c r="G53" t="b">
        <f t="shared" si="0"/>
        <v>1</v>
      </c>
      <c r="H53" t="str">
        <f>VLOOKUP(A53,ID_Lookup!A:A,1,FALSE)</f>
        <v>J551</v>
      </c>
    </row>
    <row r="54" spans="1:8" x14ac:dyDescent="0.35">
      <c r="A54" t="s">
        <v>274</v>
      </c>
      <c r="B54">
        <v>2019</v>
      </c>
      <c r="C54" t="s">
        <v>275</v>
      </c>
      <c r="D54" t="s">
        <v>276</v>
      </c>
      <c r="E54" t="s">
        <v>160</v>
      </c>
      <c r="F54" t="s">
        <v>714</v>
      </c>
      <c r="G54" t="b">
        <f t="shared" si="0"/>
        <v>1</v>
      </c>
      <c r="H54" t="str">
        <f>VLOOKUP(A54,ID_Lookup!A:A,1,FALSE)</f>
        <v>J552</v>
      </c>
    </row>
    <row r="55" spans="1:8" x14ac:dyDescent="0.35">
      <c r="A55" t="s">
        <v>277</v>
      </c>
      <c r="B55">
        <v>2019</v>
      </c>
      <c r="C55" t="s">
        <v>278</v>
      </c>
      <c r="D55" t="s">
        <v>279</v>
      </c>
      <c r="E55" t="s">
        <v>160</v>
      </c>
      <c r="F55" t="s">
        <v>224</v>
      </c>
      <c r="G55" t="b">
        <f t="shared" si="0"/>
        <v>1</v>
      </c>
      <c r="H55" t="str">
        <f>VLOOKUP(A55,ID_Lookup!A:A,1,FALSE)</f>
        <v>J553</v>
      </c>
    </row>
    <row r="56" spans="1:8" x14ac:dyDescent="0.35">
      <c r="A56" t="s">
        <v>280</v>
      </c>
      <c r="B56">
        <v>2019</v>
      </c>
      <c r="C56" t="s">
        <v>281</v>
      </c>
      <c r="D56" t="s">
        <v>282</v>
      </c>
      <c r="E56" t="s">
        <v>160</v>
      </c>
      <c r="F56" t="s">
        <v>223</v>
      </c>
      <c r="G56" t="b">
        <f t="shared" si="0"/>
        <v>1</v>
      </c>
      <c r="H56" t="str">
        <f>VLOOKUP(A56,ID_Lookup!A:A,1,FALSE)</f>
        <v>J554</v>
      </c>
    </row>
    <row r="57" spans="1:8" x14ac:dyDescent="0.35">
      <c r="A57" t="s">
        <v>283</v>
      </c>
      <c r="B57">
        <v>2019</v>
      </c>
      <c r="C57" t="s">
        <v>284</v>
      </c>
      <c r="D57" t="s">
        <v>285</v>
      </c>
      <c r="E57" t="s">
        <v>160</v>
      </c>
      <c r="F57" t="s">
        <v>223</v>
      </c>
      <c r="G57" t="b">
        <f t="shared" si="0"/>
        <v>1</v>
      </c>
      <c r="H57" t="str">
        <f>VLOOKUP(A57,ID_Lookup!A:A,1,FALSE)</f>
        <v>J555</v>
      </c>
    </row>
    <row r="58" spans="1:8" x14ac:dyDescent="0.35">
      <c r="A58" t="s">
        <v>286</v>
      </c>
      <c r="B58">
        <v>2019</v>
      </c>
      <c r="C58" t="s">
        <v>287</v>
      </c>
      <c r="D58" t="s">
        <v>288</v>
      </c>
      <c r="E58" t="s">
        <v>160</v>
      </c>
      <c r="F58" t="s">
        <v>223</v>
      </c>
      <c r="G58" t="b">
        <f t="shared" si="0"/>
        <v>1</v>
      </c>
      <c r="H58" t="str">
        <f>VLOOKUP(A58,ID_Lookup!A:A,1,FALSE)</f>
        <v>J556</v>
      </c>
    </row>
    <row r="59" spans="1:8" x14ac:dyDescent="0.35">
      <c r="A59" t="s">
        <v>289</v>
      </c>
      <c r="B59">
        <v>2019</v>
      </c>
      <c r="C59" t="s">
        <v>290</v>
      </c>
      <c r="D59" t="s">
        <v>291</v>
      </c>
      <c r="E59" t="s">
        <v>160</v>
      </c>
      <c r="F59" t="s">
        <v>226</v>
      </c>
      <c r="G59" t="b">
        <f t="shared" si="0"/>
        <v>1</v>
      </c>
      <c r="H59" t="str">
        <f>VLOOKUP(A59,ID_Lookup!A:A,1,FALSE)</f>
        <v>J557</v>
      </c>
    </row>
    <row r="60" spans="1:8" x14ac:dyDescent="0.35">
      <c r="A60" t="s">
        <v>292</v>
      </c>
      <c r="B60">
        <v>2019</v>
      </c>
      <c r="C60" t="s">
        <v>293</v>
      </c>
      <c r="D60" t="s">
        <v>294</v>
      </c>
      <c r="E60" t="s">
        <v>160</v>
      </c>
      <c r="F60" t="s">
        <v>224</v>
      </c>
      <c r="G60" t="b">
        <f t="shared" si="0"/>
        <v>1</v>
      </c>
      <c r="H60" t="str">
        <f>VLOOKUP(A60,ID_Lookup!A:A,1,FALSE)</f>
        <v>J558</v>
      </c>
    </row>
    <row r="61" spans="1:8" x14ac:dyDescent="0.35">
      <c r="A61" t="s">
        <v>295</v>
      </c>
      <c r="B61">
        <v>2019</v>
      </c>
      <c r="C61" t="s">
        <v>296</v>
      </c>
      <c r="D61" t="s">
        <v>297</v>
      </c>
      <c r="E61" t="s">
        <v>160</v>
      </c>
      <c r="F61" t="s">
        <v>223</v>
      </c>
      <c r="G61" t="b">
        <f t="shared" si="0"/>
        <v>1</v>
      </c>
      <c r="H61" t="str">
        <f>VLOOKUP(A61,ID_Lookup!A:A,1,FALSE)</f>
        <v>J559</v>
      </c>
    </row>
    <row r="62" spans="1:8" x14ac:dyDescent="0.35">
      <c r="A62" t="s">
        <v>298</v>
      </c>
      <c r="B62">
        <v>2019</v>
      </c>
      <c r="C62" t="s">
        <v>299</v>
      </c>
      <c r="D62" t="s">
        <v>300</v>
      </c>
      <c r="E62" t="s">
        <v>221</v>
      </c>
      <c r="F62" t="s">
        <v>222</v>
      </c>
      <c r="G62" t="b">
        <f t="shared" si="0"/>
        <v>0</v>
      </c>
      <c r="H62" t="str">
        <f>VLOOKUP(A62,ID_Lookup!A:A,1,FALSE)</f>
        <v>J560</v>
      </c>
    </row>
    <row r="63" spans="1:8" x14ac:dyDescent="0.35">
      <c r="A63" t="s">
        <v>301</v>
      </c>
      <c r="B63">
        <v>2019</v>
      </c>
      <c r="C63" t="s">
        <v>302</v>
      </c>
      <c r="D63" t="s">
        <v>303</v>
      </c>
      <c r="E63" t="s">
        <v>160</v>
      </c>
      <c r="F63" t="s">
        <v>224</v>
      </c>
      <c r="G63" t="b">
        <f t="shared" si="0"/>
        <v>1</v>
      </c>
      <c r="H63" t="str">
        <f>VLOOKUP(A63,ID_Lookup!A:A,1,FALSE)</f>
        <v>J561</v>
      </c>
    </row>
    <row r="64" spans="1:8" x14ac:dyDescent="0.35">
      <c r="A64" t="s">
        <v>304</v>
      </c>
      <c r="B64">
        <v>2019</v>
      </c>
      <c r="C64" t="s">
        <v>305</v>
      </c>
      <c r="D64" t="s">
        <v>306</v>
      </c>
      <c r="E64" t="s">
        <v>160</v>
      </c>
      <c r="F64" t="s">
        <v>226</v>
      </c>
      <c r="G64" t="b">
        <f t="shared" si="0"/>
        <v>1</v>
      </c>
      <c r="H64" t="str">
        <f>VLOOKUP(A64,ID_Lookup!A:A,1,FALSE)</f>
        <v>J562</v>
      </c>
    </row>
    <row r="65" spans="1:8" x14ac:dyDescent="0.35">
      <c r="A65" t="s">
        <v>307</v>
      </c>
      <c r="B65">
        <v>2019</v>
      </c>
      <c r="C65" t="s">
        <v>308</v>
      </c>
      <c r="D65" t="s">
        <v>309</v>
      </c>
      <c r="E65" t="s">
        <v>160</v>
      </c>
      <c r="F65" t="s">
        <v>226</v>
      </c>
      <c r="G65" t="b">
        <f t="shared" si="0"/>
        <v>1</v>
      </c>
      <c r="H65" t="str">
        <f>VLOOKUP(A65,ID_Lookup!A:A,1,FALSE)</f>
        <v>J563</v>
      </c>
    </row>
    <row r="66" spans="1:8" x14ac:dyDescent="0.35">
      <c r="A66" t="s">
        <v>310</v>
      </c>
      <c r="B66">
        <v>2019</v>
      </c>
      <c r="C66" t="s">
        <v>311</v>
      </c>
      <c r="D66" t="s">
        <v>312</v>
      </c>
      <c r="E66" t="s">
        <v>160</v>
      </c>
      <c r="F66" t="s">
        <v>224</v>
      </c>
      <c r="G66" t="b">
        <f t="shared" si="0"/>
        <v>1</v>
      </c>
      <c r="H66" t="str">
        <f>VLOOKUP(A66,ID_Lookup!A:A,1,FALSE)</f>
        <v>J564</v>
      </c>
    </row>
    <row r="67" spans="1:8" x14ac:dyDescent="0.35">
      <c r="A67" t="s">
        <v>313</v>
      </c>
      <c r="B67">
        <v>2019</v>
      </c>
      <c r="C67" t="s">
        <v>314</v>
      </c>
      <c r="D67" t="s">
        <v>315</v>
      </c>
      <c r="E67" t="s">
        <v>160</v>
      </c>
      <c r="F67" t="s">
        <v>226</v>
      </c>
      <c r="G67" t="b">
        <f t="shared" ref="G67:G130" si="1">IF(E67="Include", TRUE, FALSE)</f>
        <v>1</v>
      </c>
      <c r="H67" t="str">
        <f>VLOOKUP(A67,ID_Lookup!A:A,1,FALSE)</f>
        <v>J565</v>
      </c>
    </row>
    <row r="68" spans="1:8" x14ac:dyDescent="0.35">
      <c r="A68" t="s">
        <v>316</v>
      </c>
      <c r="B68">
        <v>2019</v>
      </c>
      <c r="C68" t="s">
        <v>317</v>
      </c>
      <c r="D68" t="s">
        <v>318</v>
      </c>
      <c r="E68" t="s">
        <v>160</v>
      </c>
      <c r="F68" t="s">
        <v>224</v>
      </c>
      <c r="G68" t="b">
        <f t="shared" si="1"/>
        <v>1</v>
      </c>
      <c r="H68" t="str">
        <f>VLOOKUP(A68,ID_Lookup!A:A,1,FALSE)</f>
        <v>J566</v>
      </c>
    </row>
    <row r="69" spans="1:8" x14ac:dyDescent="0.35">
      <c r="A69" t="s">
        <v>319</v>
      </c>
      <c r="B69">
        <v>2019</v>
      </c>
      <c r="C69" t="s">
        <v>320</v>
      </c>
      <c r="D69" t="s">
        <v>321</v>
      </c>
      <c r="E69" t="s">
        <v>160</v>
      </c>
      <c r="F69" t="s">
        <v>224</v>
      </c>
      <c r="G69" t="b">
        <f t="shared" si="1"/>
        <v>1</v>
      </c>
      <c r="H69" t="str">
        <f>VLOOKUP(A69,ID_Lookup!A:A,1,FALSE)</f>
        <v>J567</v>
      </c>
    </row>
    <row r="70" spans="1:8" x14ac:dyDescent="0.35">
      <c r="A70" t="s">
        <v>322</v>
      </c>
      <c r="B70">
        <v>2019</v>
      </c>
      <c r="C70" t="s">
        <v>323</v>
      </c>
      <c r="D70" t="s">
        <v>324</v>
      </c>
      <c r="E70" t="s">
        <v>221</v>
      </c>
      <c r="F70" t="s">
        <v>715</v>
      </c>
      <c r="G70" t="b">
        <f t="shared" si="1"/>
        <v>0</v>
      </c>
      <c r="H70" t="str">
        <f>VLOOKUP(A70,ID_Lookup!A:A,1,FALSE)</f>
        <v>J568</v>
      </c>
    </row>
    <row r="71" spans="1:8" x14ac:dyDescent="0.35">
      <c r="A71" t="s">
        <v>325</v>
      </c>
      <c r="B71">
        <v>2019</v>
      </c>
      <c r="C71" t="s">
        <v>326</v>
      </c>
      <c r="D71" t="s">
        <v>327</v>
      </c>
      <c r="E71" t="s">
        <v>221</v>
      </c>
      <c r="F71" t="s">
        <v>716</v>
      </c>
      <c r="G71" t="b">
        <f t="shared" si="1"/>
        <v>0</v>
      </c>
      <c r="H71" t="str">
        <f>VLOOKUP(A71,ID_Lookup!A:A,1,FALSE)</f>
        <v>J569</v>
      </c>
    </row>
    <row r="72" spans="1:8" x14ac:dyDescent="0.35">
      <c r="A72" t="s">
        <v>328</v>
      </c>
      <c r="B72">
        <v>2019</v>
      </c>
      <c r="C72" t="s">
        <v>329</v>
      </c>
      <c r="D72" t="s">
        <v>330</v>
      </c>
      <c r="E72" t="s">
        <v>160</v>
      </c>
      <c r="F72" t="s">
        <v>224</v>
      </c>
      <c r="G72" t="b">
        <f t="shared" si="1"/>
        <v>1</v>
      </c>
      <c r="H72" t="str">
        <f>VLOOKUP(A72,ID_Lookup!A:A,1,FALSE)</f>
        <v>J570</v>
      </c>
    </row>
    <row r="73" spans="1:8" x14ac:dyDescent="0.35">
      <c r="A73" t="s">
        <v>331</v>
      </c>
      <c r="B73">
        <v>2019</v>
      </c>
      <c r="C73" t="s">
        <v>332</v>
      </c>
      <c r="D73" t="s">
        <v>333</v>
      </c>
      <c r="E73" t="s">
        <v>160</v>
      </c>
      <c r="F73" t="s">
        <v>717</v>
      </c>
      <c r="G73" t="b">
        <f t="shared" si="1"/>
        <v>1</v>
      </c>
      <c r="H73" t="str">
        <f>VLOOKUP(A73,ID_Lookup!A:A,1,FALSE)</f>
        <v>J571</v>
      </c>
    </row>
    <row r="74" spans="1:8" x14ac:dyDescent="0.35">
      <c r="A74" t="s">
        <v>334</v>
      </c>
      <c r="B74">
        <v>2019</v>
      </c>
      <c r="C74" t="s">
        <v>335</v>
      </c>
      <c r="D74" t="s">
        <v>336</v>
      </c>
      <c r="E74" t="s">
        <v>221</v>
      </c>
      <c r="F74" t="s">
        <v>718</v>
      </c>
      <c r="G74" t="b">
        <f t="shared" si="1"/>
        <v>0</v>
      </c>
      <c r="H74" t="str">
        <f>VLOOKUP(A74,ID_Lookup!A:A,1,FALSE)</f>
        <v>J572</v>
      </c>
    </row>
    <row r="75" spans="1:8" x14ac:dyDescent="0.35">
      <c r="A75" t="s">
        <v>337</v>
      </c>
      <c r="B75">
        <v>2019</v>
      </c>
      <c r="C75" t="s">
        <v>338</v>
      </c>
      <c r="D75" t="s">
        <v>339</v>
      </c>
      <c r="E75" t="s">
        <v>160</v>
      </c>
      <c r="F75" t="s">
        <v>226</v>
      </c>
      <c r="G75" t="b">
        <f t="shared" si="1"/>
        <v>1</v>
      </c>
      <c r="H75" t="str">
        <f>VLOOKUP(A75,ID_Lookup!A:A,1,FALSE)</f>
        <v>J573</v>
      </c>
    </row>
    <row r="76" spans="1:8" x14ac:dyDescent="0.35">
      <c r="A76" t="s">
        <v>340</v>
      </c>
      <c r="B76">
        <v>2019</v>
      </c>
      <c r="C76" t="s">
        <v>341</v>
      </c>
      <c r="D76" t="s">
        <v>342</v>
      </c>
      <c r="E76" t="s">
        <v>160</v>
      </c>
      <c r="F76" t="s">
        <v>226</v>
      </c>
      <c r="G76" t="b">
        <f t="shared" si="1"/>
        <v>1</v>
      </c>
      <c r="H76" t="str">
        <f>VLOOKUP(A76,ID_Lookup!A:A,1,FALSE)</f>
        <v>J574</v>
      </c>
    </row>
    <row r="77" spans="1:8" x14ac:dyDescent="0.35">
      <c r="A77" t="s">
        <v>343</v>
      </c>
      <c r="B77">
        <v>2019</v>
      </c>
      <c r="C77" t="s">
        <v>344</v>
      </c>
      <c r="D77" t="s">
        <v>345</v>
      </c>
      <c r="E77" t="s">
        <v>160</v>
      </c>
      <c r="F77" t="s">
        <v>226</v>
      </c>
      <c r="G77" t="b">
        <f t="shared" si="1"/>
        <v>1</v>
      </c>
      <c r="H77" t="str">
        <f>VLOOKUP(A77,ID_Lookup!A:A,1,FALSE)</f>
        <v>J575</v>
      </c>
    </row>
    <row r="78" spans="1:8" x14ac:dyDescent="0.35">
      <c r="A78" t="s">
        <v>346</v>
      </c>
      <c r="B78">
        <v>2019</v>
      </c>
      <c r="C78" t="s">
        <v>347</v>
      </c>
      <c r="D78" t="s">
        <v>348</v>
      </c>
      <c r="E78" t="s">
        <v>160</v>
      </c>
      <c r="F78" t="s">
        <v>223</v>
      </c>
      <c r="G78" t="b">
        <f t="shared" si="1"/>
        <v>1</v>
      </c>
      <c r="H78" t="str">
        <f>VLOOKUP(A78,ID_Lookup!A:A,1,FALSE)</f>
        <v>J576</v>
      </c>
    </row>
    <row r="79" spans="1:8" x14ac:dyDescent="0.35">
      <c r="A79" t="s">
        <v>349</v>
      </c>
      <c r="B79">
        <v>2019</v>
      </c>
      <c r="C79" t="s">
        <v>350</v>
      </c>
      <c r="D79" t="s">
        <v>351</v>
      </c>
      <c r="E79" t="s">
        <v>221</v>
      </c>
      <c r="F79" t="s">
        <v>715</v>
      </c>
      <c r="G79" t="b">
        <f t="shared" si="1"/>
        <v>0</v>
      </c>
      <c r="H79" t="str">
        <f>VLOOKUP(A79,ID_Lookup!A:A,1,FALSE)</f>
        <v>J577</v>
      </c>
    </row>
    <row r="80" spans="1:8" x14ac:dyDescent="0.35">
      <c r="A80" t="s">
        <v>352</v>
      </c>
      <c r="B80">
        <v>2019</v>
      </c>
      <c r="C80" t="s">
        <v>353</v>
      </c>
      <c r="D80" t="s">
        <v>354</v>
      </c>
      <c r="E80" t="s">
        <v>221</v>
      </c>
      <c r="F80" t="s">
        <v>719</v>
      </c>
      <c r="G80" t="b">
        <f t="shared" si="1"/>
        <v>0</v>
      </c>
      <c r="H80" t="str">
        <f>VLOOKUP(A80,ID_Lookup!A:A,1,FALSE)</f>
        <v>J578</v>
      </c>
    </row>
    <row r="81" spans="1:8" x14ac:dyDescent="0.35">
      <c r="A81" t="s">
        <v>355</v>
      </c>
      <c r="B81">
        <v>2019</v>
      </c>
      <c r="C81" t="s">
        <v>356</v>
      </c>
      <c r="D81" t="s">
        <v>357</v>
      </c>
      <c r="E81" t="s">
        <v>221</v>
      </c>
      <c r="F81" t="s">
        <v>715</v>
      </c>
      <c r="G81" t="b">
        <f t="shared" si="1"/>
        <v>0</v>
      </c>
      <c r="H81" t="str">
        <f>VLOOKUP(A81,ID_Lookup!A:A,1,FALSE)</f>
        <v>J579</v>
      </c>
    </row>
    <row r="82" spans="1:8" x14ac:dyDescent="0.35">
      <c r="A82" t="s">
        <v>358</v>
      </c>
      <c r="B82">
        <v>2019</v>
      </c>
      <c r="C82" t="s">
        <v>359</v>
      </c>
      <c r="D82" t="s">
        <v>360</v>
      </c>
      <c r="E82" t="s">
        <v>221</v>
      </c>
      <c r="F82" t="s">
        <v>715</v>
      </c>
      <c r="G82" t="b">
        <f t="shared" si="1"/>
        <v>0</v>
      </c>
      <c r="H82" t="str">
        <f>VLOOKUP(A82,ID_Lookup!A:A,1,FALSE)</f>
        <v>J580</v>
      </c>
    </row>
    <row r="83" spans="1:8" x14ac:dyDescent="0.35">
      <c r="A83" t="s">
        <v>361</v>
      </c>
      <c r="B83">
        <v>2019</v>
      </c>
      <c r="C83" t="s">
        <v>362</v>
      </c>
      <c r="D83" t="s">
        <v>363</v>
      </c>
      <c r="E83" t="s">
        <v>160</v>
      </c>
      <c r="F83" t="s">
        <v>223</v>
      </c>
      <c r="G83" t="b">
        <f t="shared" si="1"/>
        <v>1</v>
      </c>
      <c r="H83" t="str">
        <f>VLOOKUP(A83,ID_Lookup!A:A,1,FALSE)</f>
        <v>J581</v>
      </c>
    </row>
    <row r="84" spans="1:8" hidden="1" x14ac:dyDescent="0.35">
      <c r="A84" t="s">
        <v>364</v>
      </c>
      <c r="B84">
        <v>2019</v>
      </c>
      <c r="C84" t="s">
        <v>365</v>
      </c>
      <c r="D84" t="s">
        <v>366</v>
      </c>
      <c r="E84" t="s">
        <v>160</v>
      </c>
      <c r="F84" t="s">
        <v>224</v>
      </c>
      <c r="G84" t="b">
        <f t="shared" si="1"/>
        <v>1</v>
      </c>
      <c r="H84" t="e">
        <f>VLOOKUP(A84,ID_Lookup!A:A,1,FALSE)</f>
        <v>#N/A</v>
      </c>
    </row>
    <row r="85" spans="1:8" x14ac:dyDescent="0.35">
      <c r="A85" t="s">
        <v>367</v>
      </c>
      <c r="B85">
        <v>2019</v>
      </c>
      <c r="C85" t="s">
        <v>368</v>
      </c>
      <c r="D85" t="s">
        <v>369</v>
      </c>
      <c r="E85" t="s">
        <v>160</v>
      </c>
      <c r="F85" t="s">
        <v>224</v>
      </c>
      <c r="G85" t="b">
        <f t="shared" si="1"/>
        <v>1</v>
      </c>
      <c r="H85" t="str">
        <f>VLOOKUP(A85,ID_Lookup!A:A,1,FALSE)</f>
        <v>J583</v>
      </c>
    </row>
    <row r="86" spans="1:8" hidden="1" x14ac:dyDescent="0.35">
      <c r="A86" t="s">
        <v>370</v>
      </c>
      <c r="B86">
        <v>2019</v>
      </c>
      <c r="C86" t="s">
        <v>371</v>
      </c>
      <c r="D86" t="s">
        <v>372</v>
      </c>
      <c r="E86" t="s">
        <v>160</v>
      </c>
      <c r="F86" t="s">
        <v>226</v>
      </c>
      <c r="G86" t="b">
        <f t="shared" si="1"/>
        <v>1</v>
      </c>
      <c r="H86" t="e">
        <f>VLOOKUP(A86,ID_Lookup!A:A,1,FALSE)</f>
        <v>#N/A</v>
      </c>
    </row>
    <row r="87" spans="1:8" x14ac:dyDescent="0.35">
      <c r="A87" t="s">
        <v>373</v>
      </c>
      <c r="B87">
        <v>2019</v>
      </c>
      <c r="C87" t="s">
        <v>374</v>
      </c>
      <c r="D87" t="s">
        <v>375</v>
      </c>
      <c r="E87" t="s">
        <v>221</v>
      </c>
      <c r="F87" t="s">
        <v>231</v>
      </c>
      <c r="G87" t="b">
        <f t="shared" si="1"/>
        <v>0</v>
      </c>
      <c r="H87" t="str">
        <f>VLOOKUP(A87,ID_Lookup!A:A,1,FALSE)</f>
        <v>J585</v>
      </c>
    </row>
    <row r="88" spans="1:8" x14ac:dyDescent="0.35">
      <c r="A88" t="s">
        <v>376</v>
      </c>
      <c r="B88">
        <v>2019</v>
      </c>
      <c r="C88" t="s">
        <v>377</v>
      </c>
      <c r="D88" t="s">
        <v>378</v>
      </c>
      <c r="E88" t="s">
        <v>221</v>
      </c>
      <c r="F88" t="s">
        <v>231</v>
      </c>
      <c r="G88" t="b">
        <f t="shared" si="1"/>
        <v>0</v>
      </c>
      <c r="H88" t="str">
        <f>VLOOKUP(A88,ID_Lookup!A:A,1,FALSE)</f>
        <v>J586</v>
      </c>
    </row>
    <row r="89" spans="1:8" x14ac:dyDescent="0.35">
      <c r="A89" t="s">
        <v>379</v>
      </c>
      <c r="B89">
        <v>2019</v>
      </c>
      <c r="C89" t="s">
        <v>380</v>
      </c>
      <c r="D89" t="s">
        <v>381</v>
      </c>
      <c r="E89" t="s">
        <v>160</v>
      </c>
      <c r="F89" t="s">
        <v>720</v>
      </c>
      <c r="G89" t="b">
        <f t="shared" si="1"/>
        <v>1</v>
      </c>
      <c r="H89" t="str">
        <f>VLOOKUP(A89,ID_Lookup!A:A,1,FALSE)</f>
        <v>J587</v>
      </c>
    </row>
    <row r="90" spans="1:8" x14ac:dyDescent="0.35">
      <c r="A90" t="s">
        <v>382</v>
      </c>
      <c r="B90">
        <v>2019</v>
      </c>
      <c r="C90" t="s">
        <v>383</v>
      </c>
      <c r="D90" t="s">
        <v>384</v>
      </c>
      <c r="E90" t="s">
        <v>160</v>
      </c>
      <c r="F90" t="s">
        <v>721</v>
      </c>
      <c r="G90" t="b">
        <f t="shared" si="1"/>
        <v>1</v>
      </c>
      <c r="H90" t="str">
        <f>VLOOKUP(A90,ID_Lookup!A:A,1,FALSE)</f>
        <v>J588</v>
      </c>
    </row>
    <row r="91" spans="1:8" x14ac:dyDescent="0.35">
      <c r="A91" t="s">
        <v>385</v>
      </c>
      <c r="B91">
        <v>2019</v>
      </c>
      <c r="C91" t="s">
        <v>386</v>
      </c>
      <c r="D91" t="s">
        <v>387</v>
      </c>
      <c r="E91" t="s">
        <v>221</v>
      </c>
      <c r="F91" t="s">
        <v>722</v>
      </c>
      <c r="G91" t="b">
        <f t="shared" si="1"/>
        <v>0</v>
      </c>
      <c r="H91" t="str">
        <f>VLOOKUP(A91,ID_Lookup!A:A,1,FALSE)</f>
        <v>J589</v>
      </c>
    </row>
    <row r="92" spans="1:8" x14ac:dyDescent="0.35">
      <c r="A92" t="s">
        <v>388</v>
      </c>
      <c r="B92">
        <v>2019</v>
      </c>
      <c r="C92" t="s">
        <v>389</v>
      </c>
      <c r="D92" t="s">
        <v>390</v>
      </c>
      <c r="E92" t="s">
        <v>160</v>
      </c>
      <c r="F92" t="s">
        <v>720</v>
      </c>
      <c r="G92" t="b">
        <f t="shared" si="1"/>
        <v>1</v>
      </c>
      <c r="H92" t="str">
        <f>VLOOKUP(A92,ID_Lookup!A:A,1,FALSE)</f>
        <v>J590</v>
      </c>
    </row>
    <row r="93" spans="1:8" x14ac:dyDescent="0.35">
      <c r="A93" t="s">
        <v>391</v>
      </c>
      <c r="B93">
        <v>2019</v>
      </c>
      <c r="C93" t="s">
        <v>392</v>
      </c>
      <c r="D93" t="s">
        <v>393</v>
      </c>
      <c r="E93" t="s">
        <v>160</v>
      </c>
      <c r="F93" t="s">
        <v>224</v>
      </c>
      <c r="G93" t="b">
        <f t="shared" si="1"/>
        <v>1</v>
      </c>
      <c r="H93" t="str">
        <f>VLOOKUP(A93,ID_Lookup!A:A,1,FALSE)</f>
        <v>J591</v>
      </c>
    </row>
    <row r="94" spans="1:8" x14ac:dyDescent="0.35">
      <c r="A94" t="s">
        <v>394</v>
      </c>
      <c r="B94">
        <v>2019</v>
      </c>
      <c r="C94" t="s">
        <v>395</v>
      </c>
      <c r="D94" t="s">
        <v>396</v>
      </c>
      <c r="E94" t="s">
        <v>160</v>
      </c>
      <c r="F94" t="s">
        <v>223</v>
      </c>
      <c r="G94" t="b">
        <f t="shared" si="1"/>
        <v>1</v>
      </c>
      <c r="H94" t="str">
        <f>VLOOKUP(A94,ID_Lookup!A:A,1,FALSE)</f>
        <v>J592</v>
      </c>
    </row>
    <row r="95" spans="1:8" x14ac:dyDescent="0.35">
      <c r="A95" t="s">
        <v>397</v>
      </c>
      <c r="B95">
        <v>2019</v>
      </c>
      <c r="C95" t="s">
        <v>398</v>
      </c>
      <c r="D95" t="s">
        <v>399</v>
      </c>
      <c r="E95" t="s">
        <v>160</v>
      </c>
      <c r="F95" t="s">
        <v>223</v>
      </c>
      <c r="G95" t="b">
        <f t="shared" si="1"/>
        <v>1</v>
      </c>
      <c r="H95" t="str">
        <f>VLOOKUP(A95,ID_Lookup!A:A,1,FALSE)</f>
        <v>J593</v>
      </c>
    </row>
    <row r="96" spans="1:8" x14ac:dyDescent="0.35">
      <c r="A96" t="s">
        <v>400</v>
      </c>
      <c r="B96">
        <v>2019</v>
      </c>
      <c r="C96" t="s">
        <v>401</v>
      </c>
      <c r="D96" t="s">
        <v>402</v>
      </c>
      <c r="E96" t="s">
        <v>160</v>
      </c>
      <c r="F96" t="s">
        <v>721</v>
      </c>
      <c r="G96" t="b">
        <f t="shared" si="1"/>
        <v>1</v>
      </c>
      <c r="H96" t="str">
        <f>VLOOKUP(A96,ID_Lookup!A:A,1,FALSE)</f>
        <v>J594</v>
      </c>
    </row>
    <row r="97" spans="1:8" x14ac:dyDescent="0.35">
      <c r="A97" t="s">
        <v>403</v>
      </c>
      <c r="B97">
        <v>2019</v>
      </c>
      <c r="C97" t="s">
        <v>404</v>
      </c>
      <c r="D97" t="s">
        <v>405</v>
      </c>
      <c r="E97" t="s">
        <v>160</v>
      </c>
      <c r="F97" t="s">
        <v>224</v>
      </c>
      <c r="G97" t="b">
        <f t="shared" si="1"/>
        <v>1</v>
      </c>
      <c r="H97" t="str">
        <f>VLOOKUP(A97,ID_Lookup!A:A,1,FALSE)</f>
        <v>J595</v>
      </c>
    </row>
    <row r="98" spans="1:8" x14ac:dyDescent="0.35">
      <c r="A98" t="s">
        <v>406</v>
      </c>
      <c r="B98">
        <v>2019</v>
      </c>
      <c r="C98" t="s">
        <v>407</v>
      </c>
      <c r="D98" t="s">
        <v>408</v>
      </c>
      <c r="E98" t="s">
        <v>221</v>
      </c>
      <c r="F98" t="s">
        <v>723</v>
      </c>
      <c r="G98" t="b">
        <f t="shared" si="1"/>
        <v>0</v>
      </c>
      <c r="H98" t="str">
        <f>VLOOKUP(A98,ID_Lookup!A:A,1,FALSE)</f>
        <v>J596</v>
      </c>
    </row>
    <row r="99" spans="1:8" x14ac:dyDescent="0.35">
      <c r="A99" t="s">
        <v>409</v>
      </c>
      <c r="B99">
        <v>2019</v>
      </c>
      <c r="C99" t="s">
        <v>410</v>
      </c>
      <c r="D99" t="s">
        <v>411</v>
      </c>
      <c r="E99" t="s">
        <v>221</v>
      </c>
      <c r="F99" t="s">
        <v>231</v>
      </c>
      <c r="G99" t="b">
        <f t="shared" si="1"/>
        <v>0</v>
      </c>
      <c r="H99" t="str">
        <f>VLOOKUP(A99,ID_Lookup!A:A,1,FALSE)</f>
        <v>J597</v>
      </c>
    </row>
    <row r="100" spans="1:8" x14ac:dyDescent="0.35">
      <c r="A100" t="s">
        <v>412</v>
      </c>
      <c r="B100">
        <v>2019</v>
      </c>
      <c r="C100" t="s">
        <v>413</v>
      </c>
      <c r="D100" t="s">
        <v>414</v>
      </c>
      <c r="E100" t="s">
        <v>160</v>
      </c>
      <c r="F100" t="s">
        <v>223</v>
      </c>
      <c r="G100" t="b">
        <f t="shared" si="1"/>
        <v>1</v>
      </c>
      <c r="H100" t="str">
        <f>VLOOKUP(A100,ID_Lookup!A:A,1,FALSE)</f>
        <v>J598</v>
      </c>
    </row>
    <row r="101" spans="1:8" x14ac:dyDescent="0.35">
      <c r="A101" t="s">
        <v>415</v>
      </c>
      <c r="B101">
        <v>2019</v>
      </c>
      <c r="C101" t="s">
        <v>416</v>
      </c>
      <c r="D101" t="s">
        <v>417</v>
      </c>
      <c r="E101" t="s">
        <v>160</v>
      </c>
      <c r="F101" t="s">
        <v>224</v>
      </c>
      <c r="G101" t="b">
        <f t="shared" si="1"/>
        <v>1</v>
      </c>
      <c r="H101" t="str">
        <f>VLOOKUP(A101,ID_Lookup!A:A,1,FALSE)</f>
        <v>J599</v>
      </c>
    </row>
    <row r="102" spans="1:8" x14ac:dyDescent="0.35">
      <c r="A102" t="s">
        <v>418</v>
      </c>
      <c r="B102">
        <v>2021</v>
      </c>
      <c r="C102" t="s">
        <v>419</v>
      </c>
      <c r="D102" t="s">
        <v>420</v>
      </c>
      <c r="E102" t="s">
        <v>160</v>
      </c>
      <c r="F102" t="s">
        <v>724</v>
      </c>
      <c r="G102" t="b">
        <f t="shared" si="1"/>
        <v>1</v>
      </c>
      <c r="H102" t="str">
        <f>VLOOKUP(A102,ID_Lookup!A:A,1,FALSE)</f>
        <v>J2830</v>
      </c>
    </row>
    <row r="103" spans="1:8" x14ac:dyDescent="0.35">
      <c r="A103" t="s">
        <v>421</v>
      </c>
      <c r="B103">
        <v>2021</v>
      </c>
      <c r="C103" t="s">
        <v>422</v>
      </c>
      <c r="D103" t="s">
        <v>423</v>
      </c>
      <c r="E103" t="s">
        <v>221</v>
      </c>
      <c r="F103" t="s">
        <v>231</v>
      </c>
      <c r="G103" t="b">
        <f t="shared" si="1"/>
        <v>0</v>
      </c>
      <c r="H103" t="str">
        <f>VLOOKUP(A103,ID_Lookup!A:A,1,FALSE)</f>
        <v>J2831</v>
      </c>
    </row>
    <row r="104" spans="1:8" x14ac:dyDescent="0.35">
      <c r="A104" t="s">
        <v>424</v>
      </c>
      <c r="B104">
        <v>2021</v>
      </c>
      <c r="C104" t="s">
        <v>425</v>
      </c>
      <c r="D104" t="s">
        <v>426</v>
      </c>
      <c r="E104" t="s">
        <v>160</v>
      </c>
      <c r="F104" t="s">
        <v>223</v>
      </c>
      <c r="G104" t="b">
        <f t="shared" si="1"/>
        <v>1</v>
      </c>
      <c r="H104" t="str">
        <f>VLOOKUP(A104,ID_Lookup!A:A,1,FALSE)</f>
        <v>J2832</v>
      </c>
    </row>
    <row r="105" spans="1:8" x14ac:dyDescent="0.35">
      <c r="A105" t="s">
        <v>427</v>
      </c>
      <c r="B105">
        <v>2021</v>
      </c>
      <c r="C105" t="s">
        <v>428</v>
      </c>
      <c r="D105" t="s">
        <v>429</v>
      </c>
      <c r="E105" t="s">
        <v>160</v>
      </c>
      <c r="F105" t="s">
        <v>223</v>
      </c>
      <c r="G105" t="b">
        <f t="shared" si="1"/>
        <v>1</v>
      </c>
      <c r="H105" t="str">
        <f>VLOOKUP(A105,ID_Lookup!A:A,1,FALSE)</f>
        <v>J2833</v>
      </c>
    </row>
    <row r="106" spans="1:8" x14ac:dyDescent="0.35">
      <c r="A106" t="s">
        <v>430</v>
      </c>
      <c r="B106">
        <v>2021</v>
      </c>
      <c r="C106" t="s">
        <v>431</v>
      </c>
      <c r="D106" t="s">
        <v>432</v>
      </c>
      <c r="E106" t="s">
        <v>221</v>
      </c>
      <c r="F106" t="s">
        <v>227</v>
      </c>
      <c r="G106" t="b">
        <f t="shared" si="1"/>
        <v>0</v>
      </c>
      <c r="H106" t="str">
        <f>VLOOKUP(A106,ID_Lookup!A:A,1,FALSE)</f>
        <v>J2834</v>
      </c>
    </row>
    <row r="107" spans="1:8" x14ac:dyDescent="0.35">
      <c r="A107" t="s">
        <v>433</v>
      </c>
      <c r="B107">
        <v>2021</v>
      </c>
      <c r="C107" t="s">
        <v>434</v>
      </c>
      <c r="D107" t="s">
        <v>435</v>
      </c>
      <c r="E107" t="s">
        <v>221</v>
      </c>
      <c r="F107" t="s">
        <v>231</v>
      </c>
      <c r="G107" t="b">
        <f t="shared" si="1"/>
        <v>0</v>
      </c>
      <c r="H107" t="str">
        <f>VLOOKUP(A107,ID_Lookup!A:A,1,FALSE)</f>
        <v>J2835</v>
      </c>
    </row>
    <row r="108" spans="1:8" x14ac:dyDescent="0.35">
      <c r="A108" t="s">
        <v>436</v>
      </c>
      <c r="B108">
        <v>2021</v>
      </c>
      <c r="C108" t="s">
        <v>437</v>
      </c>
      <c r="D108" t="s">
        <v>438</v>
      </c>
      <c r="E108" t="s">
        <v>160</v>
      </c>
      <c r="F108" t="s">
        <v>725</v>
      </c>
      <c r="G108" t="b">
        <f t="shared" si="1"/>
        <v>1</v>
      </c>
      <c r="H108" t="str">
        <f>VLOOKUP(A108,ID_Lookup!A:A,1,FALSE)</f>
        <v>J2836</v>
      </c>
    </row>
    <row r="109" spans="1:8" x14ac:dyDescent="0.35">
      <c r="A109" t="s">
        <v>439</v>
      </c>
      <c r="B109">
        <v>2021</v>
      </c>
      <c r="C109" t="s">
        <v>440</v>
      </c>
      <c r="D109" t="s">
        <v>441</v>
      </c>
      <c r="E109" t="s">
        <v>221</v>
      </c>
      <c r="F109" t="s">
        <v>726</v>
      </c>
      <c r="G109" t="b">
        <f t="shared" si="1"/>
        <v>0</v>
      </c>
      <c r="H109" t="str">
        <f>VLOOKUP(A109,ID_Lookup!A:A,1,FALSE)</f>
        <v>J2837</v>
      </c>
    </row>
    <row r="110" spans="1:8" x14ac:dyDescent="0.35">
      <c r="A110" t="s">
        <v>442</v>
      </c>
      <c r="B110">
        <v>2021</v>
      </c>
      <c r="C110" t="s">
        <v>443</v>
      </c>
      <c r="D110" t="s">
        <v>444</v>
      </c>
      <c r="E110" t="s">
        <v>221</v>
      </c>
      <c r="F110" t="s">
        <v>726</v>
      </c>
      <c r="G110" t="b">
        <f t="shared" si="1"/>
        <v>0</v>
      </c>
      <c r="H110" t="str">
        <f>VLOOKUP(A110,ID_Lookup!A:A,1,FALSE)</f>
        <v>J2838</v>
      </c>
    </row>
    <row r="111" spans="1:8" x14ac:dyDescent="0.35">
      <c r="A111" t="s">
        <v>445</v>
      </c>
      <c r="B111">
        <v>2021</v>
      </c>
      <c r="C111" t="s">
        <v>446</v>
      </c>
      <c r="D111" t="s">
        <v>447</v>
      </c>
      <c r="E111" t="s">
        <v>221</v>
      </c>
      <c r="F111" t="s">
        <v>726</v>
      </c>
      <c r="G111" t="b">
        <f t="shared" si="1"/>
        <v>0</v>
      </c>
      <c r="H111" t="str">
        <f>VLOOKUP(A111,ID_Lookup!A:A,1,FALSE)</f>
        <v>J2839</v>
      </c>
    </row>
    <row r="112" spans="1:8" x14ac:dyDescent="0.35">
      <c r="A112" t="s">
        <v>448</v>
      </c>
      <c r="B112">
        <v>2021</v>
      </c>
      <c r="C112" t="s">
        <v>449</v>
      </c>
      <c r="D112" t="s">
        <v>450</v>
      </c>
      <c r="E112" t="s">
        <v>160</v>
      </c>
      <c r="F112" t="s">
        <v>725</v>
      </c>
      <c r="G112" t="b">
        <f t="shared" si="1"/>
        <v>1</v>
      </c>
      <c r="H112" t="str">
        <f>VLOOKUP(A112,ID_Lookup!A:A,1,FALSE)</f>
        <v>J2840</v>
      </c>
    </row>
    <row r="113" spans="1:8" x14ac:dyDescent="0.35">
      <c r="A113" t="s">
        <v>451</v>
      </c>
      <c r="B113">
        <v>2021</v>
      </c>
      <c r="C113" t="s">
        <v>452</v>
      </c>
      <c r="D113" t="s">
        <v>453</v>
      </c>
      <c r="E113" t="s">
        <v>160</v>
      </c>
      <c r="F113" t="s">
        <v>224</v>
      </c>
      <c r="G113" t="b">
        <f t="shared" si="1"/>
        <v>1</v>
      </c>
      <c r="H113" t="str">
        <f>VLOOKUP(A113,ID_Lookup!A:A,1,FALSE)</f>
        <v>J2841</v>
      </c>
    </row>
    <row r="114" spans="1:8" x14ac:dyDescent="0.35">
      <c r="A114" t="s">
        <v>454</v>
      </c>
      <c r="B114">
        <v>2021</v>
      </c>
      <c r="C114" t="s">
        <v>455</v>
      </c>
      <c r="D114" t="s">
        <v>456</v>
      </c>
      <c r="E114" t="s">
        <v>160</v>
      </c>
      <c r="F114" t="s">
        <v>725</v>
      </c>
      <c r="G114" t="b">
        <f t="shared" si="1"/>
        <v>1</v>
      </c>
      <c r="H114" t="str">
        <f>VLOOKUP(A114,ID_Lookup!A:A,1,FALSE)</f>
        <v>J2842</v>
      </c>
    </row>
    <row r="115" spans="1:8" x14ac:dyDescent="0.35">
      <c r="A115" t="s">
        <v>457</v>
      </c>
      <c r="B115">
        <v>2021</v>
      </c>
      <c r="C115" t="s">
        <v>458</v>
      </c>
      <c r="D115" t="s">
        <v>459</v>
      </c>
      <c r="E115" t="s">
        <v>160</v>
      </c>
      <c r="F115" t="s">
        <v>223</v>
      </c>
      <c r="G115" t="b">
        <f t="shared" si="1"/>
        <v>1</v>
      </c>
      <c r="H115" t="str">
        <f>VLOOKUP(A115,ID_Lookup!A:A,1,FALSE)</f>
        <v>J2843</v>
      </c>
    </row>
    <row r="116" spans="1:8" x14ac:dyDescent="0.35">
      <c r="A116" t="s">
        <v>460</v>
      </c>
      <c r="B116">
        <v>2021</v>
      </c>
      <c r="C116" t="s">
        <v>461</v>
      </c>
      <c r="D116" t="s">
        <v>462</v>
      </c>
      <c r="E116" t="s">
        <v>160</v>
      </c>
      <c r="F116" t="s">
        <v>725</v>
      </c>
      <c r="G116" t="b">
        <f t="shared" si="1"/>
        <v>1</v>
      </c>
      <c r="H116" t="str">
        <f>VLOOKUP(A116,ID_Lookup!A:A,1,FALSE)</f>
        <v>J2844</v>
      </c>
    </row>
    <row r="117" spans="1:8" x14ac:dyDescent="0.35">
      <c r="A117" t="s">
        <v>463</v>
      </c>
      <c r="B117">
        <v>2021</v>
      </c>
      <c r="C117" t="s">
        <v>464</v>
      </c>
      <c r="D117" t="s">
        <v>465</v>
      </c>
      <c r="E117" t="s">
        <v>160</v>
      </c>
      <c r="F117" t="s">
        <v>223</v>
      </c>
      <c r="G117" t="b">
        <f t="shared" si="1"/>
        <v>1</v>
      </c>
      <c r="H117" t="str">
        <f>VLOOKUP(A117,ID_Lookup!A:A,1,FALSE)</f>
        <v>J2845</v>
      </c>
    </row>
    <row r="118" spans="1:8" x14ac:dyDescent="0.35">
      <c r="A118" t="s">
        <v>466</v>
      </c>
      <c r="B118">
        <v>2021</v>
      </c>
      <c r="C118" t="s">
        <v>467</v>
      </c>
      <c r="D118" t="s">
        <v>468</v>
      </c>
      <c r="E118" t="s">
        <v>160</v>
      </c>
      <c r="F118" t="s">
        <v>727</v>
      </c>
      <c r="G118" t="b">
        <f t="shared" si="1"/>
        <v>1</v>
      </c>
      <c r="H118" t="str">
        <f>VLOOKUP(A118,ID_Lookup!A:A,1,FALSE)</f>
        <v>J2846</v>
      </c>
    </row>
    <row r="119" spans="1:8" x14ac:dyDescent="0.35">
      <c r="A119" t="s">
        <v>469</v>
      </c>
      <c r="B119">
        <v>2021</v>
      </c>
      <c r="C119" t="s">
        <v>470</v>
      </c>
      <c r="D119" t="s">
        <v>471</v>
      </c>
      <c r="E119" t="s">
        <v>160</v>
      </c>
      <c r="F119" t="s">
        <v>223</v>
      </c>
      <c r="G119" t="b">
        <f t="shared" si="1"/>
        <v>1</v>
      </c>
      <c r="H119" t="str">
        <f>VLOOKUP(A119,ID_Lookup!A:A,1,FALSE)</f>
        <v>J2847</v>
      </c>
    </row>
    <row r="120" spans="1:8" x14ac:dyDescent="0.35">
      <c r="A120" t="s">
        <v>472</v>
      </c>
      <c r="B120">
        <v>2021</v>
      </c>
      <c r="C120" t="s">
        <v>473</v>
      </c>
      <c r="D120" t="s">
        <v>474</v>
      </c>
      <c r="E120" t="s">
        <v>160</v>
      </c>
      <c r="F120" t="s">
        <v>721</v>
      </c>
      <c r="G120" t="b">
        <f t="shared" si="1"/>
        <v>1</v>
      </c>
      <c r="H120" t="str">
        <f>VLOOKUP(A120,ID_Lookup!A:A,1,FALSE)</f>
        <v>J2848</v>
      </c>
    </row>
    <row r="121" spans="1:8" x14ac:dyDescent="0.35">
      <c r="A121" t="s">
        <v>475</v>
      </c>
      <c r="B121">
        <v>2021</v>
      </c>
      <c r="C121" t="s">
        <v>476</v>
      </c>
      <c r="D121" t="s">
        <v>477</v>
      </c>
      <c r="E121" t="s">
        <v>221</v>
      </c>
      <c r="F121" t="s">
        <v>728</v>
      </c>
      <c r="G121" t="b">
        <f t="shared" si="1"/>
        <v>0</v>
      </c>
      <c r="H121" t="str">
        <f>VLOOKUP(A121,ID_Lookup!A:A,1,FALSE)</f>
        <v>J2849</v>
      </c>
    </row>
    <row r="122" spans="1:8" x14ac:dyDescent="0.35">
      <c r="A122" t="s">
        <v>478</v>
      </c>
      <c r="B122">
        <v>2021</v>
      </c>
      <c r="C122" t="s">
        <v>479</v>
      </c>
      <c r="D122" t="s">
        <v>480</v>
      </c>
      <c r="E122" t="s">
        <v>160</v>
      </c>
      <c r="F122" t="s">
        <v>725</v>
      </c>
      <c r="G122" t="b">
        <f t="shared" si="1"/>
        <v>1</v>
      </c>
      <c r="H122" t="str">
        <f>VLOOKUP(A122,ID_Lookup!A:A,1,FALSE)</f>
        <v>J2850</v>
      </c>
    </row>
    <row r="123" spans="1:8" x14ac:dyDescent="0.35">
      <c r="A123" t="s">
        <v>481</v>
      </c>
      <c r="B123">
        <v>2021</v>
      </c>
      <c r="C123" t="s">
        <v>482</v>
      </c>
      <c r="D123" t="s">
        <v>483</v>
      </c>
      <c r="E123" t="s">
        <v>160</v>
      </c>
      <c r="F123" t="s">
        <v>729</v>
      </c>
      <c r="G123" t="b">
        <f t="shared" si="1"/>
        <v>1</v>
      </c>
      <c r="H123" t="str">
        <f>VLOOKUP(A123,ID_Lookup!A:A,1,FALSE)</f>
        <v>J2851</v>
      </c>
    </row>
    <row r="124" spans="1:8" x14ac:dyDescent="0.35">
      <c r="A124" t="s">
        <v>484</v>
      </c>
      <c r="B124">
        <v>2021</v>
      </c>
      <c r="C124" t="s">
        <v>485</v>
      </c>
      <c r="D124" t="s">
        <v>486</v>
      </c>
      <c r="E124" t="s">
        <v>160</v>
      </c>
      <c r="F124" t="s">
        <v>729</v>
      </c>
      <c r="G124" t="b">
        <f t="shared" si="1"/>
        <v>1</v>
      </c>
      <c r="H124" t="str">
        <f>VLOOKUP(A124,ID_Lookup!A:A,1,FALSE)</f>
        <v>J2852</v>
      </c>
    </row>
    <row r="125" spans="1:8" x14ac:dyDescent="0.35">
      <c r="A125" t="s">
        <v>487</v>
      </c>
      <c r="B125">
        <v>2021</v>
      </c>
      <c r="C125" t="s">
        <v>488</v>
      </c>
      <c r="D125" t="s">
        <v>489</v>
      </c>
      <c r="E125" t="s">
        <v>160</v>
      </c>
      <c r="F125" t="s">
        <v>224</v>
      </c>
      <c r="G125" t="b">
        <f t="shared" si="1"/>
        <v>1</v>
      </c>
      <c r="H125" t="str">
        <f>VLOOKUP(A125,ID_Lookup!A:A,1,FALSE)</f>
        <v>J2853</v>
      </c>
    </row>
    <row r="126" spans="1:8" x14ac:dyDescent="0.35">
      <c r="A126" t="s">
        <v>490</v>
      </c>
      <c r="B126">
        <v>2021</v>
      </c>
      <c r="C126" t="s">
        <v>491</v>
      </c>
      <c r="D126" t="s">
        <v>492</v>
      </c>
      <c r="E126" t="s">
        <v>221</v>
      </c>
      <c r="F126" t="s">
        <v>728</v>
      </c>
      <c r="G126" t="b">
        <f t="shared" si="1"/>
        <v>0</v>
      </c>
      <c r="H126" t="str">
        <f>VLOOKUP(A126,ID_Lookup!A:A,1,FALSE)</f>
        <v>J2854</v>
      </c>
    </row>
    <row r="127" spans="1:8" x14ac:dyDescent="0.35">
      <c r="A127" t="s">
        <v>493</v>
      </c>
      <c r="B127">
        <v>2021</v>
      </c>
      <c r="C127" t="s">
        <v>494</v>
      </c>
      <c r="D127" t="s">
        <v>495</v>
      </c>
      <c r="E127" t="s">
        <v>160</v>
      </c>
      <c r="F127" t="s">
        <v>223</v>
      </c>
      <c r="G127" t="b">
        <f t="shared" si="1"/>
        <v>1</v>
      </c>
      <c r="H127" t="str">
        <f>VLOOKUP(A127,ID_Lookup!A:A,1,FALSE)</f>
        <v>J2855</v>
      </c>
    </row>
    <row r="128" spans="1:8" x14ac:dyDescent="0.35">
      <c r="A128" t="s">
        <v>496</v>
      </c>
      <c r="B128">
        <v>2021</v>
      </c>
      <c r="C128" t="s">
        <v>497</v>
      </c>
      <c r="D128" t="s">
        <v>498</v>
      </c>
      <c r="E128" t="s">
        <v>160</v>
      </c>
      <c r="F128" t="s">
        <v>223</v>
      </c>
      <c r="G128" t="b">
        <f t="shared" si="1"/>
        <v>1</v>
      </c>
      <c r="H128" t="str">
        <f>VLOOKUP(A128,ID_Lookup!A:A,1,FALSE)</f>
        <v>J2856</v>
      </c>
    </row>
    <row r="129" spans="1:8" x14ac:dyDescent="0.35">
      <c r="A129" t="s">
        <v>499</v>
      </c>
      <c r="B129">
        <v>2021</v>
      </c>
      <c r="C129" t="s">
        <v>500</v>
      </c>
      <c r="D129" t="s">
        <v>501</v>
      </c>
      <c r="E129" t="s">
        <v>160</v>
      </c>
      <c r="F129" t="s">
        <v>224</v>
      </c>
      <c r="G129" t="b">
        <f t="shared" si="1"/>
        <v>1</v>
      </c>
      <c r="H129" t="str">
        <f>VLOOKUP(A129,ID_Lookup!A:A,1,FALSE)</f>
        <v>J2857</v>
      </c>
    </row>
    <row r="130" spans="1:8" x14ac:dyDescent="0.35">
      <c r="A130" t="s">
        <v>502</v>
      </c>
      <c r="B130">
        <v>2021</v>
      </c>
      <c r="C130" t="s">
        <v>503</v>
      </c>
      <c r="D130" t="s">
        <v>504</v>
      </c>
      <c r="E130" t="s">
        <v>160</v>
      </c>
      <c r="F130" t="s">
        <v>224</v>
      </c>
      <c r="G130" t="b">
        <f t="shared" si="1"/>
        <v>1</v>
      </c>
      <c r="H130" t="str">
        <f>VLOOKUP(A130,ID_Lookup!A:A,1,FALSE)</f>
        <v>J2858</v>
      </c>
    </row>
    <row r="131" spans="1:8" x14ac:dyDescent="0.35">
      <c r="A131" t="s">
        <v>505</v>
      </c>
      <c r="B131">
        <v>2021</v>
      </c>
      <c r="C131" t="s">
        <v>506</v>
      </c>
      <c r="D131" t="s">
        <v>507</v>
      </c>
      <c r="E131" t="s">
        <v>221</v>
      </c>
      <c r="F131" t="s">
        <v>715</v>
      </c>
      <c r="G131" t="b">
        <f t="shared" ref="G131:G194" si="2">IF(E131="Include", TRUE, FALSE)</f>
        <v>0</v>
      </c>
      <c r="H131" t="str">
        <f>VLOOKUP(A131,ID_Lookup!A:A,1,FALSE)</f>
        <v>J2859</v>
      </c>
    </row>
    <row r="132" spans="1:8" x14ac:dyDescent="0.35">
      <c r="A132" t="s">
        <v>508</v>
      </c>
      <c r="B132">
        <v>2021</v>
      </c>
      <c r="C132" t="s">
        <v>509</v>
      </c>
      <c r="D132" t="s">
        <v>510</v>
      </c>
      <c r="E132" t="s">
        <v>221</v>
      </c>
      <c r="F132" t="s">
        <v>715</v>
      </c>
      <c r="G132" t="b">
        <f t="shared" si="2"/>
        <v>0</v>
      </c>
      <c r="H132" t="str">
        <f>VLOOKUP(A132,ID_Lookup!A:A,1,FALSE)</f>
        <v>J2860</v>
      </c>
    </row>
    <row r="133" spans="1:8" x14ac:dyDescent="0.35">
      <c r="A133" t="s">
        <v>511</v>
      </c>
      <c r="B133">
        <v>2021</v>
      </c>
      <c r="C133" t="s">
        <v>512</v>
      </c>
      <c r="D133" t="s">
        <v>513</v>
      </c>
      <c r="E133" t="s">
        <v>160</v>
      </c>
      <c r="F133" t="s">
        <v>730</v>
      </c>
      <c r="G133" t="b">
        <f t="shared" si="2"/>
        <v>1</v>
      </c>
      <c r="H133" t="str">
        <f>VLOOKUP(A133,ID_Lookup!A:A,1,FALSE)</f>
        <v>J2861</v>
      </c>
    </row>
    <row r="134" spans="1:8" x14ac:dyDescent="0.35">
      <c r="A134" t="s">
        <v>514</v>
      </c>
      <c r="B134">
        <v>2021</v>
      </c>
      <c r="C134" t="s">
        <v>515</v>
      </c>
      <c r="D134" t="s">
        <v>516</v>
      </c>
      <c r="E134" t="s">
        <v>160</v>
      </c>
      <c r="F134" t="s">
        <v>717</v>
      </c>
      <c r="G134" t="b">
        <f t="shared" si="2"/>
        <v>1</v>
      </c>
      <c r="H134" t="str">
        <f>VLOOKUP(A134,ID_Lookup!A:A,1,FALSE)</f>
        <v>J2862</v>
      </c>
    </row>
    <row r="135" spans="1:8" x14ac:dyDescent="0.35">
      <c r="A135" t="s">
        <v>517</v>
      </c>
      <c r="B135">
        <v>2021</v>
      </c>
      <c r="C135" t="s">
        <v>518</v>
      </c>
      <c r="D135" t="s">
        <v>519</v>
      </c>
      <c r="E135" t="s">
        <v>160</v>
      </c>
      <c r="F135" t="s">
        <v>223</v>
      </c>
      <c r="G135" t="b">
        <f t="shared" si="2"/>
        <v>1</v>
      </c>
      <c r="H135" t="str">
        <f>VLOOKUP(A135,ID_Lookup!A:A,1,FALSE)</f>
        <v>J2863</v>
      </c>
    </row>
    <row r="136" spans="1:8" x14ac:dyDescent="0.35">
      <c r="A136" t="s">
        <v>520</v>
      </c>
      <c r="B136">
        <v>2021</v>
      </c>
      <c r="C136" t="s">
        <v>521</v>
      </c>
      <c r="D136" t="s">
        <v>522</v>
      </c>
      <c r="E136" t="s">
        <v>160</v>
      </c>
      <c r="F136" t="s">
        <v>223</v>
      </c>
      <c r="G136" t="b">
        <f t="shared" si="2"/>
        <v>1</v>
      </c>
      <c r="H136" t="str">
        <f>VLOOKUP(A136,ID_Lookup!A:A,1,FALSE)</f>
        <v>J2864</v>
      </c>
    </row>
    <row r="137" spans="1:8" x14ac:dyDescent="0.35">
      <c r="A137" t="s">
        <v>523</v>
      </c>
      <c r="B137">
        <v>2021</v>
      </c>
      <c r="C137" t="s">
        <v>524</v>
      </c>
      <c r="D137" t="s">
        <v>525</v>
      </c>
      <c r="E137" t="s">
        <v>221</v>
      </c>
      <c r="F137" t="s">
        <v>231</v>
      </c>
      <c r="G137" t="b">
        <f t="shared" si="2"/>
        <v>0</v>
      </c>
      <c r="H137" t="str">
        <f>VLOOKUP(A137,ID_Lookup!A:A,1,FALSE)</f>
        <v>J2865</v>
      </c>
    </row>
    <row r="138" spans="1:8" x14ac:dyDescent="0.35">
      <c r="A138" t="s">
        <v>526</v>
      </c>
      <c r="B138">
        <v>2021</v>
      </c>
      <c r="C138" t="s">
        <v>527</v>
      </c>
      <c r="D138" t="s">
        <v>528</v>
      </c>
      <c r="E138" t="s">
        <v>160</v>
      </c>
      <c r="F138" t="s">
        <v>223</v>
      </c>
      <c r="G138" t="b">
        <f t="shared" si="2"/>
        <v>1</v>
      </c>
      <c r="H138" t="str">
        <f>VLOOKUP(A138,ID_Lookup!A:A,1,FALSE)</f>
        <v>J2866</v>
      </c>
    </row>
    <row r="139" spans="1:8" x14ac:dyDescent="0.35">
      <c r="A139" t="s">
        <v>529</v>
      </c>
      <c r="B139">
        <v>2021</v>
      </c>
      <c r="C139" t="s">
        <v>530</v>
      </c>
      <c r="D139" t="s">
        <v>531</v>
      </c>
      <c r="E139" t="s">
        <v>221</v>
      </c>
      <c r="F139" t="s">
        <v>231</v>
      </c>
      <c r="G139" t="b">
        <f t="shared" si="2"/>
        <v>0</v>
      </c>
      <c r="H139" t="str">
        <f>VLOOKUP(A139,ID_Lookup!A:A,1,FALSE)</f>
        <v>J2867</v>
      </c>
    </row>
    <row r="140" spans="1:8" x14ac:dyDescent="0.35">
      <c r="A140" t="s">
        <v>532</v>
      </c>
      <c r="B140">
        <v>2021</v>
      </c>
      <c r="C140" t="s">
        <v>533</v>
      </c>
      <c r="D140" t="s">
        <v>534</v>
      </c>
      <c r="E140" t="s">
        <v>221</v>
      </c>
      <c r="F140" t="s">
        <v>231</v>
      </c>
      <c r="G140" t="b">
        <f t="shared" si="2"/>
        <v>0</v>
      </c>
      <c r="H140" t="str">
        <f>VLOOKUP(A140,ID_Lookup!A:A,1,FALSE)</f>
        <v>J2868</v>
      </c>
    </row>
    <row r="141" spans="1:8" x14ac:dyDescent="0.35">
      <c r="A141" t="s">
        <v>535</v>
      </c>
      <c r="B141">
        <v>2021</v>
      </c>
      <c r="C141" t="s">
        <v>536</v>
      </c>
      <c r="D141" t="s">
        <v>537</v>
      </c>
      <c r="E141" t="s">
        <v>160</v>
      </c>
      <c r="F141" t="s">
        <v>725</v>
      </c>
      <c r="G141" t="b">
        <f t="shared" si="2"/>
        <v>1</v>
      </c>
      <c r="H141" t="str">
        <f>VLOOKUP(A141,ID_Lookup!A:A,1,FALSE)</f>
        <v>J2869</v>
      </c>
    </row>
    <row r="142" spans="1:8" x14ac:dyDescent="0.35">
      <c r="A142" t="s">
        <v>538</v>
      </c>
      <c r="B142">
        <v>2021</v>
      </c>
      <c r="C142" t="s">
        <v>539</v>
      </c>
      <c r="D142" t="s">
        <v>540</v>
      </c>
      <c r="E142" t="s">
        <v>221</v>
      </c>
      <c r="F142" t="s">
        <v>231</v>
      </c>
      <c r="G142" t="b">
        <f t="shared" si="2"/>
        <v>0</v>
      </c>
      <c r="H142" t="str">
        <f>VLOOKUP(A142,ID_Lookup!A:A,1,FALSE)</f>
        <v>J2870</v>
      </c>
    </row>
    <row r="143" spans="1:8" x14ac:dyDescent="0.35">
      <c r="A143" t="s">
        <v>541</v>
      </c>
      <c r="B143">
        <v>2021</v>
      </c>
      <c r="C143" t="s">
        <v>542</v>
      </c>
      <c r="D143" t="s">
        <v>543</v>
      </c>
      <c r="E143" t="s">
        <v>221</v>
      </c>
      <c r="F143" t="s">
        <v>728</v>
      </c>
      <c r="G143" t="b">
        <f t="shared" si="2"/>
        <v>0</v>
      </c>
      <c r="H143" t="str">
        <f>VLOOKUP(A143,ID_Lookup!A:A,1,FALSE)</f>
        <v>J2871</v>
      </c>
    </row>
    <row r="144" spans="1:8" x14ac:dyDescent="0.35">
      <c r="A144" t="s">
        <v>544</v>
      </c>
      <c r="B144">
        <v>2021</v>
      </c>
      <c r="C144" t="s">
        <v>545</v>
      </c>
      <c r="D144" t="s">
        <v>546</v>
      </c>
      <c r="E144" t="s">
        <v>160</v>
      </c>
      <c r="F144" t="s">
        <v>226</v>
      </c>
      <c r="G144" t="b">
        <f t="shared" si="2"/>
        <v>1</v>
      </c>
      <c r="H144" t="str">
        <f>VLOOKUP(A144,ID_Lookup!A:A,1,FALSE)</f>
        <v>J2872</v>
      </c>
    </row>
    <row r="145" spans="1:8" x14ac:dyDescent="0.35">
      <c r="A145" t="s">
        <v>547</v>
      </c>
      <c r="B145">
        <v>2021</v>
      </c>
      <c r="C145" t="s">
        <v>548</v>
      </c>
      <c r="D145" t="s">
        <v>549</v>
      </c>
      <c r="E145" t="s">
        <v>160</v>
      </c>
      <c r="F145" t="s">
        <v>731</v>
      </c>
      <c r="G145" t="b">
        <f t="shared" si="2"/>
        <v>1</v>
      </c>
      <c r="H145" t="str">
        <f>VLOOKUP(A145,ID_Lookup!A:A,1,FALSE)</f>
        <v>J2873</v>
      </c>
    </row>
    <row r="146" spans="1:8" x14ac:dyDescent="0.35">
      <c r="A146" t="s">
        <v>550</v>
      </c>
      <c r="B146">
        <v>2021</v>
      </c>
      <c r="C146" t="s">
        <v>551</v>
      </c>
      <c r="D146" t="s">
        <v>552</v>
      </c>
      <c r="E146" t="s">
        <v>160</v>
      </c>
      <c r="F146" t="s">
        <v>731</v>
      </c>
      <c r="G146" t="b">
        <f t="shared" si="2"/>
        <v>1</v>
      </c>
      <c r="H146" t="str">
        <f>VLOOKUP(A146,ID_Lookup!A:A,1,FALSE)</f>
        <v>J2874</v>
      </c>
    </row>
    <row r="147" spans="1:8" x14ac:dyDescent="0.35">
      <c r="A147" t="s">
        <v>553</v>
      </c>
      <c r="B147">
        <v>2021</v>
      </c>
      <c r="C147" t="s">
        <v>554</v>
      </c>
      <c r="D147" t="s">
        <v>555</v>
      </c>
      <c r="E147" t="s">
        <v>221</v>
      </c>
      <c r="F147" t="s">
        <v>231</v>
      </c>
      <c r="G147" t="b">
        <f t="shared" si="2"/>
        <v>0</v>
      </c>
      <c r="H147" t="str">
        <f>VLOOKUP(A147,ID_Lookup!A:A,1,FALSE)</f>
        <v>J2875</v>
      </c>
    </row>
    <row r="148" spans="1:8" x14ac:dyDescent="0.35">
      <c r="A148" t="s">
        <v>556</v>
      </c>
      <c r="B148">
        <v>2021</v>
      </c>
      <c r="C148" t="s">
        <v>557</v>
      </c>
      <c r="D148" t="s">
        <v>558</v>
      </c>
      <c r="E148" t="s">
        <v>160</v>
      </c>
      <c r="F148" t="s">
        <v>226</v>
      </c>
      <c r="G148" t="b">
        <f t="shared" si="2"/>
        <v>1</v>
      </c>
      <c r="H148" t="str">
        <f>VLOOKUP(A148,ID_Lookup!A:A,1,FALSE)</f>
        <v>J2876</v>
      </c>
    </row>
    <row r="149" spans="1:8" x14ac:dyDescent="0.35">
      <c r="A149" t="s">
        <v>559</v>
      </c>
      <c r="B149">
        <v>2021</v>
      </c>
      <c r="C149" t="s">
        <v>560</v>
      </c>
      <c r="D149" t="s">
        <v>561</v>
      </c>
      <c r="E149" t="s">
        <v>160</v>
      </c>
      <c r="F149" t="s">
        <v>721</v>
      </c>
      <c r="G149" t="b">
        <f t="shared" si="2"/>
        <v>1</v>
      </c>
      <c r="H149" t="str">
        <f>VLOOKUP(A149,ID_Lookup!A:A,1,FALSE)</f>
        <v>J2877</v>
      </c>
    </row>
    <row r="150" spans="1:8" x14ac:dyDescent="0.35">
      <c r="A150" t="s">
        <v>562</v>
      </c>
      <c r="B150">
        <v>2021</v>
      </c>
      <c r="C150" t="s">
        <v>563</v>
      </c>
      <c r="D150" t="s">
        <v>564</v>
      </c>
      <c r="E150" t="s">
        <v>160</v>
      </c>
      <c r="F150" t="s">
        <v>224</v>
      </c>
      <c r="G150" t="b">
        <f t="shared" si="2"/>
        <v>1</v>
      </c>
      <c r="H150" t="str">
        <f>VLOOKUP(A150,ID_Lookup!A:A,1,FALSE)</f>
        <v>J2878</v>
      </c>
    </row>
    <row r="151" spans="1:8" x14ac:dyDescent="0.35">
      <c r="A151" t="s">
        <v>565</v>
      </c>
      <c r="B151">
        <v>2021</v>
      </c>
      <c r="C151" t="s">
        <v>566</v>
      </c>
      <c r="D151" t="s">
        <v>567</v>
      </c>
      <c r="E151" t="s">
        <v>160</v>
      </c>
      <c r="F151" t="s">
        <v>732</v>
      </c>
      <c r="G151" t="b">
        <f t="shared" si="2"/>
        <v>1</v>
      </c>
      <c r="H151" t="str">
        <f>VLOOKUP(A151,ID_Lookup!A:A,1,FALSE)</f>
        <v>J2879</v>
      </c>
    </row>
    <row r="152" spans="1:8" x14ac:dyDescent="0.35">
      <c r="A152" t="s">
        <v>568</v>
      </c>
      <c r="B152">
        <v>2021</v>
      </c>
      <c r="C152" t="s">
        <v>569</v>
      </c>
      <c r="D152" t="s">
        <v>549</v>
      </c>
      <c r="E152" t="s">
        <v>160</v>
      </c>
      <c r="F152" t="s">
        <v>223</v>
      </c>
      <c r="G152" t="b">
        <f t="shared" si="2"/>
        <v>1</v>
      </c>
      <c r="H152" t="str">
        <f>VLOOKUP(A152,ID_Lookup!A:A,1,FALSE)</f>
        <v>J2880</v>
      </c>
    </row>
    <row r="153" spans="1:8" x14ac:dyDescent="0.35">
      <c r="A153" t="s">
        <v>570</v>
      </c>
      <c r="B153">
        <v>2021</v>
      </c>
      <c r="C153" t="s">
        <v>571</v>
      </c>
      <c r="D153" t="s">
        <v>572</v>
      </c>
      <c r="E153" t="s">
        <v>160</v>
      </c>
      <c r="F153" t="s">
        <v>223</v>
      </c>
      <c r="G153" t="b">
        <f t="shared" si="2"/>
        <v>1</v>
      </c>
      <c r="H153" t="str">
        <f>VLOOKUP(A153,ID_Lookup!A:A,1,FALSE)</f>
        <v>J2881</v>
      </c>
    </row>
    <row r="154" spans="1:8" x14ac:dyDescent="0.35">
      <c r="A154" t="s">
        <v>573</v>
      </c>
      <c r="B154">
        <v>2021</v>
      </c>
      <c r="C154" t="s">
        <v>574</v>
      </c>
      <c r="D154" t="s">
        <v>575</v>
      </c>
      <c r="E154" t="s">
        <v>221</v>
      </c>
      <c r="F154" t="s">
        <v>231</v>
      </c>
      <c r="G154" t="b">
        <f t="shared" si="2"/>
        <v>0</v>
      </c>
      <c r="H154" t="str">
        <f>VLOOKUP(A154,ID_Lookup!A:A,1,FALSE)</f>
        <v>J2882</v>
      </c>
    </row>
    <row r="155" spans="1:8" x14ac:dyDescent="0.35">
      <c r="A155" t="s">
        <v>576</v>
      </c>
      <c r="B155">
        <v>2021</v>
      </c>
      <c r="C155" t="s">
        <v>577</v>
      </c>
      <c r="D155" t="s">
        <v>578</v>
      </c>
      <c r="E155" t="s">
        <v>160</v>
      </c>
      <c r="F155" t="s">
        <v>224</v>
      </c>
      <c r="G155" t="b">
        <f t="shared" si="2"/>
        <v>1</v>
      </c>
      <c r="H155" t="str">
        <f>VLOOKUP(A155,ID_Lookup!A:A,1,FALSE)</f>
        <v>J2883</v>
      </c>
    </row>
    <row r="156" spans="1:8" x14ac:dyDescent="0.35">
      <c r="A156" t="s">
        <v>579</v>
      </c>
      <c r="B156">
        <v>2021</v>
      </c>
      <c r="C156" t="s">
        <v>580</v>
      </c>
      <c r="D156" t="s">
        <v>581</v>
      </c>
      <c r="E156" t="s">
        <v>160</v>
      </c>
      <c r="F156" t="s">
        <v>223</v>
      </c>
      <c r="G156" t="b">
        <f t="shared" si="2"/>
        <v>1</v>
      </c>
      <c r="H156" t="str">
        <f>VLOOKUP(A156,ID_Lookup!A:A,1,FALSE)</f>
        <v>J2884</v>
      </c>
    </row>
    <row r="157" spans="1:8" x14ac:dyDescent="0.35">
      <c r="A157" t="s">
        <v>582</v>
      </c>
      <c r="B157">
        <v>2021</v>
      </c>
      <c r="C157" t="s">
        <v>583</v>
      </c>
      <c r="D157" t="s">
        <v>584</v>
      </c>
      <c r="E157" t="s">
        <v>160</v>
      </c>
      <c r="F157" t="s">
        <v>733</v>
      </c>
      <c r="G157" t="b">
        <f t="shared" si="2"/>
        <v>1</v>
      </c>
      <c r="H157" t="str">
        <f>VLOOKUP(A157,ID_Lookup!A:A,1,FALSE)</f>
        <v>J2885</v>
      </c>
    </row>
    <row r="158" spans="1:8" x14ac:dyDescent="0.35">
      <c r="A158" t="s">
        <v>585</v>
      </c>
      <c r="B158">
        <v>2021</v>
      </c>
      <c r="C158" t="s">
        <v>586</v>
      </c>
      <c r="D158" t="s">
        <v>587</v>
      </c>
      <c r="E158" t="s">
        <v>221</v>
      </c>
      <c r="F158" t="s">
        <v>728</v>
      </c>
      <c r="G158" t="b">
        <f t="shared" si="2"/>
        <v>0</v>
      </c>
      <c r="H158" t="str">
        <f>VLOOKUP(A158,ID_Lookup!A:A,1,FALSE)</f>
        <v>J2886</v>
      </c>
    </row>
    <row r="159" spans="1:8" x14ac:dyDescent="0.35">
      <c r="A159" t="s">
        <v>588</v>
      </c>
      <c r="B159">
        <v>2021</v>
      </c>
      <c r="C159" t="s">
        <v>589</v>
      </c>
      <c r="D159" t="s">
        <v>590</v>
      </c>
      <c r="E159" t="s">
        <v>221</v>
      </c>
      <c r="F159" t="s">
        <v>728</v>
      </c>
      <c r="G159" t="b">
        <f t="shared" si="2"/>
        <v>0</v>
      </c>
      <c r="H159" t="str">
        <f>VLOOKUP(A159,ID_Lookup!A:A,1,FALSE)</f>
        <v>J2887</v>
      </c>
    </row>
    <row r="160" spans="1:8" x14ac:dyDescent="0.35">
      <c r="A160" t="s">
        <v>591</v>
      </c>
      <c r="B160">
        <v>2021</v>
      </c>
      <c r="C160" t="s">
        <v>592</v>
      </c>
      <c r="D160" t="s">
        <v>593</v>
      </c>
      <c r="E160" t="s">
        <v>160</v>
      </c>
      <c r="F160" t="s">
        <v>224</v>
      </c>
      <c r="G160" t="b">
        <f t="shared" si="2"/>
        <v>1</v>
      </c>
      <c r="H160" t="str">
        <f>VLOOKUP(A160,ID_Lookup!A:A,1,FALSE)</f>
        <v>J2888</v>
      </c>
    </row>
    <row r="161" spans="1:8" x14ac:dyDescent="0.35">
      <c r="A161" t="s">
        <v>594</v>
      </c>
      <c r="B161">
        <v>2021</v>
      </c>
      <c r="C161" t="s">
        <v>595</v>
      </c>
      <c r="D161" t="s">
        <v>596</v>
      </c>
      <c r="E161" t="s">
        <v>160</v>
      </c>
      <c r="F161" t="s">
        <v>721</v>
      </c>
      <c r="G161" t="b">
        <f t="shared" si="2"/>
        <v>1</v>
      </c>
      <c r="H161" t="str">
        <f>VLOOKUP(A161,ID_Lookup!A:A,1,FALSE)</f>
        <v>J2889</v>
      </c>
    </row>
    <row r="162" spans="1:8" x14ac:dyDescent="0.35">
      <c r="A162" t="s">
        <v>597</v>
      </c>
      <c r="B162">
        <v>2021</v>
      </c>
      <c r="C162" t="s">
        <v>598</v>
      </c>
      <c r="D162" t="s">
        <v>599</v>
      </c>
      <c r="E162" t="s">
        <v>221</v>
      </c>
      <c r="F162" t="s">
        <v>734</v>
      </c>
      <c r="G162" t="b">
        <f t="shared" si="2"/>
        <v>0</v>
      </c>
      <c r="H162" t="str">
        <f>VLOOKUP(A162,ID_Lookup!A:A,1,FALSE)</f>
        <v>J2890</v>
      </c>
    </row>
    <row r="163" spans="1:8" x14ac:dyDescent="0.35">
      <c r="A163" t="s">
        <v>600</v>
      </c>
      <c r="B163">
        <v>2021</v>
      </c>
      <c r="C163" t="s">
        <v>601</v>
      </c>
      <c r="D163" t="s">
        <v>602</v>
      </c>
      <c r="E163" t="s">
        <v>160</v>
      </c>
      <c r="F163" t="s">
        <v>735</v>
      </c>
      <c r="G163" t="b">
        <f t="shared" si="2"/>
        <v>1</v>
      </c>
      <c r="H163" t="str">
        <f>VLOOKUP(A163,ID_Lookup!A:A,1,FALSE)</f>
        <v>J2891</v>
      </c>
    </row>
    <row r="164" spans="1:8" x14ac:dyDescent="0.35">
      <c r="A164" t="s">
        <v>603</v>
      </c>
      <c r="B164">
        <v>2021</v>
      </c>
      <c r="C164" t="s">
        <v>604</v>
      </c>
      <c r="D164" t="s">
        <v>605</v>
      </c>
      <c r="E164" t="s">
        <v>221</v>
      </c>
      <c r="F164" t="s">
        <v>231</v>
      </c>
      <c r="G164" t="b">
        <f t="shared" si="2"/>
        <v>0</v>
      </c>
      <c r="H164" t="str">
        <f>VLOOKUP(A164,ID_Lookup!A:A,1,FALSE)</f>
        <v>J2892</v>
      </c>
    </row>
    <row r="165" spans="1:8" x14ac:dyDescent="0.35">
      <c r="A165" t="s">
        <v>606</v>
      </c>
      <c r="B165">
        <v>2021</v>
      </c>
      <c r="C165" t="s">
        <v>607</v>
      </c>
      <c r="D165" t="s">
        <v>608</v>
      </c>
      <c r="E165" t="s">
        <v>160</v>
      </c>
      <c r="F165" t="s">
        <v>725</v>
      </c>
      <c r="G165" t="b">
        <f t="shared" si="2"/>
        <v>1</v>
      </c>
      <c r="H165" t="str">
        <f>VLOOKUP(A165,ID_Lookup!A:A,1,FALSE)</f>
        <v>J2893</v>
      </c>
    </row>
    <row r="166" spans="1:8" x14ac:dyDescent="0.35">
      <c r="A166" t="s">
        <v>609</v>
      </c>
      <c r="B166">
        <v>2021</v>
      </c>
      <c r="C166" t="s">
        <v>610</v>
      </c>
      <c r="D166" t="s">
        <v>611</v>
      </c>
      <c r="E166" t="s">
        <v>221</v>
      </c>
      <c r="F166" t="s">
        <v>231</v>
      </c>
      <c r="G166" t="b">
        <f t="shared" si="2"/>
        <v>0</v>
      </c>
      <c r="H166" t="str">
        <f>VLOOKUP(A166,ID_Lookup!A:A,1,FALSE)</f>
        <v>J2894</v>
      </c>
    </row>
    <row r="167" spans="1:8" x14ac:dyDescent="0.35">
      <c r="A167" t="s">
        <v>612</v>
      </c>
      <c r="B167">
        <v>2021</v>
      </c>
      <c r="C167" t="s">
        <v>613</v>
      </c>
      <c r="D167" t="s">
        <v>614</v>
      </c>
      <c r="E167" t="s">
        <v>160</v>
      </c>
      <c r="F167" t="s">
        <v>736</v>
      </c>
      <c r="G167" t="b">
        <f t="shared" si="2"/>
        <v>1</v>
      </c>
      <c r="H167" t="str">
        <f>VLOOKUP(A167,ID_Lookup!A:A,1,FALSE)</f>
        <v>J2895</v>
      </c>
    </row>
    <row r="168" spans="1:8" x14ac:dyDescent="0.35">
      <c r="A168" t="s">
        <v>615</v>
      </c>
      <c r="B168">
        <v>2021</v>
      </c>
      <c r="C168" t="s">
        <v>616</v>
      </c>
      <c r="D168" t="s">
        <v>617</v>
      </c>
      <c r="E168" t="s">
        <v>160</v>
      </c>
      <c r="F168" t="s">
        <v>736</v>
      </c>
      <c r="G168" t="b">
        <f t="shared" si="2"/>
        <v>1</v>
      </c>
      <c r="H168" t="str">
        <f>VLOOKUP(A168,ID_Lookup!A:A,1,FALSE)</f>
        <v>J2896</v>
      </c>
    </row>
    <row r="169" spans="1:8" x14ac:dyDescent="0.35">
      <c r="A169" t="s">
        <v>618</v>
      </c>
      <c r="B169">
        <v>2021</v>
      </c>
      <c r="C169" t="s">
        <v>619</v>
      </c>
      <c r="D169" t="s">
        <v>620</v>
      </c>
      <c r="E169" t="s">
        <v>160</v>
      </c>
      <c r="F169" t="s">
        <v>224</v>
      </c>
      <c r="G169" t="b">
        <f t="shared" si="2"/>
        <v>1</v>
      </c>
      <c r="H169" t="str">
        <f>VLOOKUP(A169,ID_Lookup!A:A,1,FALSE)</f>
        <v>J2897</v>
      </c>
    </row>
    <row r="170" spans="1:8" x14ac:dyDescent="0.35">
      <c r="A170" t="s">
        <v>621</v>
      </c>
      <c r="B170">
        <v>2021</v>
      </c>
      <c r="C170" t="s">
        <v>622</v>
      </c>
      <c r="D170" t="s">
        <v>623</v>
      </c>
      <c r="E170" t="s">
        <v>160</v>
      </c>
      <c r="F170" t="s">
        <v>725</v>
      </c>
      <c r="G170" t="b">
        <f t="shared" si="2"/>
        <v>1</v>
      </c>
      <c r="H170" t="str">
        <f>VLOOKUP(A170,ID_Lookup!A:A,1,FALSE)</f>
        <v>J2898</v>
      </c>
    </row>
    <row r="171" spans="1:8" x14ac:dyDescent="0.35">
      <c r="A171" t="s">
        <v>624</v>
      </c>
      <c r="B171">
        <v>2021</v>
      </c>
      <c r="C171" t="s">
        <v>625</v>
      </c>
      <c r="D171" t="s">
        <v>626</v>
      </c>
      <c r="E171" t="s">
        <v>160</v>
      </c>
      <c r="F171" t="s">
        <v>224</v>
      </c>
      <c r="G171" t="b">
        <f t="shared" si="2"/>
        <v>1</v>
      </c>
      <c r="H171" t="str">
        <f>VLOOKUP(A171,ID_Lookup!A:A,1,FALSE)</f>
        <v>J2899</v>
      </c>
    </row>
    <row r="172" spans="1:8" x14ac:dyDescent="0.35">
      <c r="A172" t="s">
        <v>627</v>
      </c>
      <c r="B172">
        <v>2021</v>
      </c>
      <c r="C172" t="s">
        <v>628</v>
      </c>
      <c r="D172" t="s">
        <v>629</v>
      </c>
      <c r="E172" t="s">
        <v>221</v>
      </c>
      <c r="F172" t="s">
        <v>231</v>
      </c>
      <c r="G172" t="b">
        <f t="shared" si="2"/>
        <v>0</v>
      </c>
      <c r="H172" t="str">
        <f>VLOOKUP(A172,ID_Lookup!A:A,1,FALSE)</f>
        <v>J2900</v>
      </c>
    </row>
    <row r="173" spans="1:8" x14ac:dyDescent="0.35">
      <c r="A173" t="s">
        <v>630</v>
      </c>
      <c r="B173">
        <v>2021</v>
      </c>
      <c r="C173" t="s">
        <v>631</v>
      </c>
      <c r="D173" t="s">
        <v>632</v>
      </c>
      <c r="E173" t="s">
        <v>221</v>
      </c>
      <c r="F173" t="s">
        <v>227</v>
      </c>
      <c r="G173" t="b">
        <f t="shared" si="2"/>
        <v>0</v>
      </c>
      <c r="H173" t="str">
        <f>VLOOKUP(A173,ID_Lookup!A:A,1,FALSE)</f>
        <v>J2901</v>
      </c>
    </row>
    <row r="174" spans="1:8" x14ac:dyDescent="0.35">
      <c r="A174" t="s">
        <v>633</v>
      </c>
      <c r="B174">
        <v>2021</v>
      </c>
      <c r="C174" t="s">
        <v>634</v>
      </c>
      <c r="D174" t="s">
        <v>635</v>
      </c>
      <c r="E174" t="s">
        <v>160</v>
      </c>
      <c r="F174" t="s">
        <v>223</v>
      </c>
      <c r="G174" t="b">
        <f t="shared" si="2"/>
        <v>1</v>
      </c>
      <c r="H174" t="str">
        <f>VLOOKUP(A174,ID_Lookup!A:A,1,FALSE)</f>
        <v>J2902</v>
      </c>
    </row>
    <row r="175" spans="1:8" x14ac:dyDescent="0.35">
      <c r="A175" t="s">
        <v>636</v>
      </c>
      <c r="B175">
        <v>2021</v>
      </c>
      <c r="C175" t="s">
        <v>637</v>
      </c>
      <c r="D175" t="s">
        <v>549</v>
      </c>
      <c r="E175" t="s">
        <v>221</v>
      </c>
      <c r="F175" t="s">
        <v>715</v>
      </c>
      <c r="G175" t="b">
        <f t="shared" si="2"/>
        <v>0</v>
      </c>
      <c r="H175" t="str">
        <f>VLOOKUP(A175,ID_Lookup!A:A,1,FALSE)</f>
        <v>J2903</v>
      </c>
    </row>
    <row r="176" spans="1:8" x14ac:dyDescent="0.35">
      <c r="A176" t="s">
        <v>638</v>
      </c>
      <c r="B176">
        <v>2021</v>
      </c>
      <c r="C176" t="s">
        <v>639</v>
      </c>
      <c r="D176" t="s">
        <v>640</v>
      </c>
      <c r="E176" t="s">
        <v>221</v>
      </c>
      <c r="F176" t="s">
        <v>231</v>
      </c>
      <c r="G176" t="b">
        <f t="shared" si="2"/>
        <v>0</v>
      </c>
      <c r="H176" t="str">
        <f>VLOOKUP(A176,ID_Lookup!A:A,1,FALSE)</f>
        <v>J2904</v>
      </c>
    </row>
    <row r="177" spans="1:8" x14ac:dyDescent="0.35">
      <c r="A177" t="s">
        <v>641</v>
      </c>
      <c r="B177">
        <v>2021</v>
      </c>
      <c r="C177" t="s">
        <v>642</v>
      </c>
      <c r="D177" t="s">
        <v>643</v>
      </c>
      <c r="E177" t="s">
        <v>221</v>
      </c>
      <c r="F177" t="s">
        <v>231</v>
      </c>
      <c r="G177" t="b">
        <f t="shared" si="2"/>
        <v>0</v>
      </c>
      <c r="H177" t="str">
        <f>VLOOKUP(A177,ID_Lookup!A:A,1,FALSE)</f>
        <v>J2905</v>
      </c>
    </row>
    <row r="178" spans="1:8" x14ac:dyDescent="0.35">
      <c r="A178" t="s">
        <v>644</v>
      </c>
      <c r="B178">
        <v>2021</v>
      </c>
      <c r="C178" t="s">
        <v>645</v>
      </c>
      <c r="D178" t="s">
        <v>646</v>
      </c>
      <c r="E178" t="s">
        <v>221</v>
      </c>
      <c r="F178" t="s">
        <v>728</v>
      </c>
      <c r="G178" t="b">
        <f t="shared" si="2"/>
        <v>0</v>
      </c>
      <c r="H178" t="str">
        <f>VLOOKUP(A178,ID_Lookup!A:A,1,FALSE)</f>
        <v>J2906</v>
      </c>
    </row>
    <row r="179" spans="1:8" x14ac:dyDescent="0.35">
      <c r="A179" t="s">
        <v>647</v>
      </c>
      <c r="B179">
        <v>2021</v>
      </c>
      <c r="C179" t="s">
        <v>648</v>
      </c>
      <c r="D179" t="s">
        <v>649</v>
      </c>
      <c r="E179" t="s">
        <v>160</v>
      </c>
      <c r="F179" t="s">
        <v>721</v>
      </c>
      <c r="G179" t="b">
        <f t="shared" si="2"/>
        <v>1</v>
      </c>
      <c r="H179" t="str">
        <f>VLOOKUP(A179,ID_Lookup!A:A,1,FALSE)</f>
        <v>J2907</v>
      </c>
    </row>
    <row r="180" spans="1:8" x14ac:dyDescent="0.35">
      <c r="A180" t="s">
        <v>650</v>
      </c>
      <c r="B180">
        <v>2021</v>
      </c>
      <c r="C180" t="s">
        <v>651</v>
      </c>
      <c r="D180" t="s">
        <v>652</v>
      </c>
      <c r="E180" t="s">
        <v>160</v>
      </c>
      <c r="F180" t="s">
        <v>223</v>
      </c>
      <c r="G180" t="b">
        <f t="shared" si="2"/>
        <v>1</v>
      </c>
      <c r="H180" t="str">
        <f>VLOOKUP(A180,ID_Lookup!A:A,1,FALSE)</f>
        <v>J2908</v>
      </c>
    </row>
    <row r="181" spans="1:8" x14ac:dyDescent="0.35">
      <c r="A181" t="s">
        <v>653</v>
      </c>
      <c r="B181">
        <v>2021</v>
      </c>
      <c r="C181" t="s">
        <v>651</v>
      </c>
      <c r="D181" t="s">
        <v>654</v>
      </c>
      <c r="E181" t="s">
        <v>160</v>
      </c>
      <c r="F181" t="s">
        <v>223</v>
      </c>
      <c r="G181" t="b">
        <f t="shared" si="2"/>
        <v>1</v>
      </c>
      <c r="H181" t="str">
        <f>VLOOKUP(A181,ID_Lookup!A:A,1,FALSE)</f>
        <v>J2909</v>
      </c>
    </row>
    <row r="182" spans="1:8" x14ac:dyDescent="0.35">
      <c r="A182" t="s">
        <v>655</v>
      </c>
      <c r="B182">
        <v>2021</v>
      </c>
      <c r="C182" t="s">
        <v>656</v>
      </c>
      <c r="D182" t="s">
        <v>657</v>
      </c>
      <c r="E182" t="s">
        <v>160</v>
      </c>
      <c r="F182" t="s">
        <v>223</v>
      </c>
      <c r="G182" t="b">
        <f t="shared" si="2"/>
        <v>1</v>
      </c>
      <c r="H182" t="str">
        <f>VLOOKUP(A182,ID_Lookup!A:A,1,FALSE)</f>
        <v>J2910</v>
      </c>
    </row>
    <row r="183" spans="1:8" x14ac:dyDescent="0.35">
      <c r="A183" t="s">
        <v>658</v>
      </c>
      <c r="B183">
        <v>2025</v>
      </c>
      <c r="C183" t="s">
        <v>659</v>
      </c>
      <c r="D183" t="s">
        <v>660</v>
      </c>
      <c r="E183" t="s">
        <v>160</v>
      </c>
      <c r="F183" t="s">
        <v>721</v>
      </c>
      <c r="G183" t="b">
        <f t="shared" si="2"/>
        <v>1</v>
      </c>
      <c r="H183" t="str">
        <f>VLOOKUP(A183,ID_Lookup!A:A,1,FALSE)</f>
        <v>J6200</v>
      </c>
    </row>
    <row r="184" spans="1:8" x14ac:dyDescent="0.35">
      <c r="A184" t="s">
        <v>661</v>
      </c>
      <c r="B184">
        <v>2025</v>
      </c>
      <c r="C184" t="s">
        <v>659</v>
      </c>
      <c r="D184" t="s">
        <v>662</v>
      </c>
      <c r="E184" t="s">
        <v>160</v>
      </c>
      <c r="F184" t="s">
        <v>721</v>
      </c>
      <c r="G184" t="b">
        <f t="shared" si="2"/>
        <v>1</v>
      </c>
      <c r="H184" t="str">
        <f>VLOOKUP(A184,ID_Lookup!A:A,1,FALSE)</f>
        <v>J6201</v>
      </c>
    </row>
    <row r="185" spans="1:8" x14ac:dyDescent="0.35">
      <c r="A185" t="s">
        <v>663</v>
      </c>
      <c r="B185">
        <v>2025</v>
      </c>
      <c r="C185" t="s">
        <v>664</v>
      </c>
      <c r="D185" t="s">
        <v>665</v>
      </c>
      <c r="E185" t="s">
        <v>221</v>
      </c>
      <c r="F185" t="s">
        <v>728</v>
      </c>
      <c r="G185" t="b">
        <f t="shared" si="2"/>
        <v>0</v>
      </c>
      <c r="H185" t="str">
        <f>VLOOKUP(A185,ID_Lookup!A:A,1,FALSE)</f>
        <v>J6202</v>
      </c>
    </row>
    <row r="186" spans="1:8" x14ac:dyDescent="0.35">
      <c r="A186" t="s">
        <v>666</v>
      </c>
      <c r="B186">
        <v>2025</v>
      </c>
      <c r="C186" t="s">
        <v>667</v>
      </c>
      <c r="D186" t="s">
        <v>668</v>
      </c>
      <c r="E186" t="s">
        <v>160</v>
      </c>
      <c r="F186" t="s">
        <v>224</v>
      </c>
      <c r="G186" t="b">
        <f t="shared" si="2"/>
        <v>1</v>
      </c>
      <c r="H186" t="str">
        <f>VLOOKUP(A186,ID_Lookup!A:A,1,FALSE)</f>
        <v>J6203</v>
      </c>
    </row>
    <row r="187" spans="1:8" x14ac:dyDescent="0.35">
      <c r="A187" t="s">
        <v>669</v>
      </c>
      <c r="B187">
        <v>2025</v>
      </c>
      <c r="C187" t="s">
        <v>670</v>
      </c>
      <c r="D187" t="s">
        <v>671</v>
      </c>
      <c r="E187" t="s">
        <v>160</v>
      </c>
      <c r="F187" t="s">
        <v>224</v>
      </c>
      <c r="G187" t="b">
        <f t="shared" si="2"/>
        <v>1</v>
      </c>
      <c r="H187" t="str">
        <f>VLOOKUP(A187,ID_Lookup!A:A,1,FALSE)</f>
        <v>J6204</v>
      </c>
    </row>
    <row r="188" spans="1:8" x14ac:dyDescent="0.35">
      <c r="A188" t="s">
        <v>672</v>
      </c>
      <c r="B188">
        <v>2025</v>
      </c>
      <c r="C188" t="s">
        <v>673</v>
      </c>
      <c r="D188" t="s">
        <v>674</v>
      </c>
      <c r="E188" t="s">
        <v>221</v>
      </c>
      <c r="F188" t="s">
        <v>728</v>
      </c>
      <c r="G188" t="b">
        <f t="shared" si="2"/>
        <v>0</v>
      </c>
      <c r="H188" t="str">
        <f>VLOOKUP(A188,ID_Lookup!A:A,1,FALSE)</f>
        <v>J6205</v>
      </c>
    </row>
    <row r="189" spans="1:8" x14ac:dyDescent="0.35">
      <c r="A189" t="s">
        <v>675</v>
      </c>
      <c r="B189">
        <v>2025</v>
      </c>
      <c r="C189" t="s">
        <v>676</v>
      </c>
      <c r="D189" t="s">
        <v>677</v>
      </c>
      <c r="E189" t="s">
        <v>221</v>
      </c>
      <c r="F189" t="s">
        <v>728</v>
      </c>
      <c r="G189" t="b">
        <f t="shared" si="2"/>
        <v>0</v>
      </c>
      <c r="H189" t="str">
        <f>VLOOKUP(A189,ID_Lookup!A:A,1,FALSE)</f>
        <v>J6206</v>
      </c>
    </row>
    <row r="190" spans="1:8" x14ac:dyDescent="0.35">
      <c r="A190" t="s">
        <v>678</v>
      </c>
      <c r="B190">
        <v>2025</v>
      </c>
      <c r="C190" t="s">
        <v>679</v>
      </c>
      <c r="D190" t="s">
        <v>680</v>
      </c>
      <c r="E190" t="s">
        <v>160</v>
      </c>
      <c r="F190" t="s">
        <v>226</v>
      </c>
      <c r="G190" t="b">
        <f t="shared" si="2"/>
        <v>1</v>
      </c>
      <c r="H190" t="str">
        <f>VLOOKUP(A190,ID_Lookup!A:A,1,FALSE)</f>
        <v>J6207</v>
      </c>
    </row>
    <row r="191" spans="1:8" x14ac:dyDescent="0.35">
      <c r="A191" t="s">
        <v>681</v>
      </c>
      <c r="B191">
        <v>2025</v>
      </c>
      <c r="C191" t="s">
        <v>682</v>
      </c>
      <c r="D191" t="s">
        <v>683</v>
      </c>
      <c r="E191" t="s">
        <v>221</v>
      </c>
      <c r="F191" t="s">
        <v>728</v>
      </c>
      <c r="G191" t="b">
        <f t="shared" si="2"/>
        <v>0</v>
      </c>
      <c r="H191" t="str">
        <f>VLOOKUP(A191,ID_Lookup!A:A,1,FALSE)</f>
        <v>J6208</v>
      </c>
    </row>
    <row r="192" spans="1:8" x14ac:dyDescent="0.35">
      <c r="A192" t="s">
        <v>684</v>
      </c>
      <c r="B192">
        <v>2025</v>
      </c>
      <c r="C192" t="s">
        <v>685</v>
      </c>
      <c r="D192" t="s">
        <v>686</v>
      </c>
      <c r="E192" t="s">
        <v>160</v>
      </c>
      <c r="F192" t="s">
        <v>737</v>
      </c>
      <c r="G192" t="b">
        <f t="shared" si="2"/>
        <v>1</v>
      </c>
      <c r="H192" t="str">
        <f>VLOOKUP(A192,ID_Lookup!A:A,1,FALSE)</f>
        <v>J6209</v>
      </c>
    </row>
    <row r="193" spans="1:8" x14ac:dyDescent="0.35">
      <c r="A193" t="s">
        <v>687</v>
      </c>
      <c r="B193">
        <v>2025</v>
      </c>
      <c r="C193" t="s">
        <v>688</v>
      </c>
      <c r="D193" t="s">
        <v>689</v>
      </c>
      <c r="E193" t="s">
        <v>160</v>
      </c>
      <c r="F193" t="s">
        <v>223</v>
      </c>
      <c r="G193" t="b">
        <f t="shared" si="2"/>
        <v>1</v>
      </c>
      <c r="H193" t="str">
        <f>VLOOKUP(A193,ID_Lookup!A:A,1,FALSE)</f>
        <v>J6210</v>
      </c>
    </row>
    <row r="194" spans="1:8" x14ac:dyDescent="0.35">
      <c r="A194" t="s">
        <v>690</v>
      </c>
      <c r="B194">
        <v>2025</v>
      </c>
      <c r="C194" t="s">
        <v>691</v>
      </c>
      <c r="D194" t="s">
        <v>692</v>
      </c>
      <c r="E194" t="s">
        <v>160</v>
      </c>
      <c r="F194" t="s">
        <v>224</v>
      </c>
      <c r="G194" t="b">
        <f t="shared" si="2"/>
        <v>1</v>
      </c>
      <c r="H194" t="str">
        <f>VLOOKUP(A194,ID_Lookup!A:A,1,FALSE)</f>
        <v>J6211</v>
      </c>
    </row>
    <row r="195" spans="1:8" x14ac:dyDescent="0.35">
      <c r="A195" t="s">
        <v>693</v>
      </c>
      <c r="B195">
        <v>2025</v>
      </c>
      <c r="C195" t="s">
        <v>694</v>
      </c>
      <c r="D195" t="s">
        <v>695</v>
      </c>
      <c r="E195" t="s">
        <v>160</v>
      </c>
      <c r="F195" t="s">
        <v>223</v>
      </c>
      <c r="G195" t="b">
        <f t="shared" ref="G195:G201" si="3">IF(E195="Include", TRUE, FALSE)</f>
        <v>1</v>
      </c>
      <c r="H195" t="str">
        <f>VLOOKUP(A195,ID_Lookup!A:A,1,FALSE)</f>
        <v>J6212</v>
      </c>
    </row>
    <row r="196" spans="1:8" x14ac:dyDescent="0.35">
      <c r="A196" t="s">
        <v>696</v>
      </c>
      <c r="B196">
        <v>2025</v>
      </c>
      <c r="C196" t="s">
        <v>697</v>
      </c>
      <c r="D196" t="s">
        <v>698</v>
      </c>
      <c r="E196" t="s">
        <v>160</v>
      </c>
      <c r="F196" t="s">
        <v>721</v>
      </c>
      <c r="G196" t="b">
        <f t="shared" si="3"/>
        <v>1</v>
      </c>
      <c r="H196" t="str">
        <f>VLOOKUP(A196,ID_Lookup!A:A,1,FALSE)</f>
        <v>J6213</v>
      </c>
    </row>
    <row r="197" spans="1:8" x14ac:dyDescent="0.35">
      <c r="A197" t="s">
        <v>699</v>
      </c>
      <c r="B197">
        <v>2025</v>
      </c>
      <c r="C197" t="s">
        <v>700</v>
      </c>
      <c r="D197" t="s">
        <v>701</v>
      </c>
      <c r="E197" t="s">
        <v>221</v>
      </c>
      <c r="F197" t="s">
        <v>738</v>
      </c>
      <c r="G197" t="b">
        <f t="shared" si="3"/>
        <v>0</v>
      </c>
      <c r="H197" t="str">
        <f>VLOOKUP(A197,ID_Lookup!A:A,1,FALSE)</f>
        <v>J6214</v>
      </c>
    </row>
    <row r="198" spans="1:8" x14ac:dyDescent="0.35">
      <c r="A198" t="s">
        <v>702</v>
      </c>
      <c r="B198">
        <v>2025</v>
      </c>
      <c r="C198" t="s">
        <v>703</v>
      </c>
      <c r="D198" t="s">
        <v>704</v>
      </c>
      <c r="E198" t="s">
        <v>221</v>
      </c>
      <c r="F198" t="s">
        <v>738</v>
      </c>
      <c r="G198" t="b">
        <f t="shared" si="3"/>
        <v>0</v>
      </c>
      <c r="H198" t="str">
        <f>VLOOKUP(A198,ID_Lookup!A:A,1,FALSE)</f>
        <v>J6215</v>
      </c>
    </row>
    <row r="199" spans="1:8" x14ac:dyDescent="0.35">
      <c r="A199" t="s">
        <v>705</v>
      </c>
      <c r="B199">
        <v>2025</v>
      </c>
      <c r="C199" t="s">
        <v>706</v>
      </c>
      <c r="D199" t="s">
        <v>707</v>
      </c>
      <c r="E199" t="s">
        <v>221</v>
      </c>
      <c r="F199" t="s">
        <v>231</v>
      </c>
      <c r="G199" t="b">
        <f t="shared" si="3"/>
        <v>0</v>
      </c>
      <c r="H199" t="str">
        <f>VLOOKUP(A199,ID_Lookup!A:A,1,FALSE)</f>
        <v>J6216</v>
      </c>
    </row>
    <row r="200" spans="1:8" x14ac:dyDescent="0.35">
      <c r="A200" t="s">
        <v>708</v>
      </c>
      <c r="B200">
        <v>2025</v>
      </c>
      <c r="C200" t="s">
        <v>709</v>
      </c>
      <c r="D200" t="s">
        <v>710</v>
      </c>
      <c r="E200" t="s">
        <v>160</v>
      </c>
      <c r="F200" t="s">
        <v>224</v>
      </c>
      <c r="G200" t="b">
        <f t="shared" si="3"/>
        <v>1</v>
      </c>
      <c r="H200" t="str">
        <f>VLOOKUP(A200,ID_Lookup!A:A,1,FALSE)</f>
        <v>J6217</v>
      </c>
    </row>
    <row r="201" spans="1:8" x14ac:dyDescent="0.35">
      <c r="A201" t="s">
        <v>711</v>
      </c>
      <c r="B201">
        <v>2025</v>
      </c>
      <c r="C201" t="s">
        <v>712</v>
      </c>
      <c r="D201" t="s">
        <v>713</v>
      </c>
      <c r="E201" t="s">
        <v>160</v>
      </c>
      <c r="F201" t="s">
        <v>224</v>
      </c>
      <c r="G201" t="b">
        <f t="shared" si="3"/>
        <v>1</v>
      </c>
      <c r="H201" t="str">
        <f>VLOOKUP(A201,ID_Lookup!A:A,1,FALSE)</f>
        <v>J6218</v>
      </c>
    </row>
  </sheetData>
  <autoFilter ref="A1:H201" xr:uid="{5D3E4052-2545-45A0-857B-B79114EE9774}">
    <filterColumn colId="7">
      <filters>
        <filter val="J2830"/>
        <filter val="J2831"/>
        <filter val="J2832"/>
        <filter val="J2833"/>
        <filter val="J2834"/>
        <filter val="J2835"/>
        <filter val="J2836"/>
        <filter val="J2837"/>
        <filter val="J2838"/>
        <filter val="J2839"/>
        <filter val="J2840"/>
        <filter val="J2841"/>
        <filter val="J2842"/>
        <filter val="J2843"/>
        <filter val="J2844"/>
        <filter val="J2845"/>
        <filter val="J2846"/>
        <filter val="J2847"/>
        <filter val="J2848"/>
        <filter val="J2849"/>
        <filter val="J2850"/>
        <filter val="J2851"/>
        <filter val="J2852"/>
        <filter val="J2853"/>
        <filter val="J2854"/>
        <filter val="J2855"/>
        <filter val="J2856"/>
        <filter val="J2857"/>
        <filter val="J2858"/>
        <filter val="J2859"/>
        <filter val="J2860"/>
        <filter val="J2861"/>
        <filter val="J2862"/>
        <filter val="J2863"/>
        <filter val="J2864"/>
        <filter val="J2865"/>
        <filter val="J2866"/>
        <filter val="J2867"/>
        <filter val="J2868"/>
        <filter val="J2869"/>
        <filter val="J2870"/>
        <filter val="J2871"/>
        <filter val="J2872"/>
        <filter val="J2873"/>
        <filter val="J2874"/>
        <filter val="J2875"/>
        <filter val="J2876"/>
        <filter val="J2877"/>
        <filter val="J2878"/>
        <filter val="J2879"/>
        <filter val="J2880"/>
        <filter val="J2881"/>
        <filter val="J2882"/>
        <filter val="J2883"/>
        <filter val="J2884"/>
        <filter val="J2885"/>
        <filter val="J2886"/>
        <filter val="J2887"/>
        <filter val="J2888"/>
        <filter val="J2889"/>
        <filter val="J2890"/>
        <filter val="J2891"/>
        <filter val="J2892"/>
        <filter val="J2893"/>
        <filter val="J2894"/>
        <filter val="J2895"/>
        <filter val="J2896"/>
        <filter val="J2897"/>
        <filter val="J2898"/>
        <filter val="J2899"/>
        <filter val="J2900"/>
        <filter val="J2901"/>
        <filter val="J2902"/>
        <filter val="J2903"/>
        <filter val="J2904"/>
        <filter val="J2905"/>
        <filter val="J2906"/>
        <filter val="J2907"/>
        <filter val="J2908"/>
        <filter val="J2909"/>
        <filter val="J2910"/>
        <filter val="J500"/>
        <filter val="J501"/>
        <filter val="J502"/>
        <filter val="J503"/>
        <filter val="J504"/>
        <filter val="J505"/>
        <filter val="J506"/>
        <filter val="J507"/>
        <filter val="J508"/>
        <filter val="J509"/>
        <filter val="J510"/>
        <filter val="J511"/>
        <filter val="J512"/>
        <filter val="J513"/>
        <filter val="J514"/>
        <filter val="J515"/>
        <filter val="J516"/>
        <filter val="J518"/>
        <filter val="J519"/>
        <filter val="J520"/>
        <filter val="J521"/>
        <filter val="J522"/>
        <filter val="J523"/>
        <filter val="J524"/>
        <filter val="J525"/>
        <filter val="J526"/>
        <filter val="J527"/>
        <filter val="J528"/>
        <filter val="J529"/>
        <filter val="J530"/>
        <filter val="J531"/>
        <filter val="J532"/>
        <filter val="J533"/>
        <filter val="J534"/>
        <filter val="J535"/>
        <filter val="J536"/>
        <filter val="J537"/>
        <filter val="J538"/>
        <filter val="J539"/>
        <filter val="J540"/>
        <filter val="J541"/>
        <filter val="J542"/>
        <filter val="J543"/>
        <filter val="J544"/>
        <filter val="J545"/>
        <filter val="J546"/>
        <filter val="J547"/>
        <filter val="J548"/>
        <filter val="J549"/>
        <filter val="J550"/>
        <filter val="J551"/>
        <filter val="J552"/>
        <filter val="J553"/>
        <filter val="J554"/>
        <filter val="J555"/>
        <filter val="J556"/>
        <filter val="J557"/>
        <filter val="J558"/>
        <filter val="J559"/>
        <filter val="J560"/>
        <filter val="J561"/>
        <filter val="J562"/>
        <filter val="J563"/>
        <filter val="J564"/>
        <filter val="J565"/>
        <filter val="J566"/>
        <filter val="J567"/>
        <filter val="J568"/>
        <filter val="J569"/>
        <filter val="J570"/>
        <filter val="J571"/>
        <filter val="J572"/>
        <filter val="J573"/>
        <filter val="J574"/>
        <filter val="J575"/>
        <filter val="J576"/>
        <filter val="J577"/>
        <filter val="J578"/>
        <filter val="J579"/>
        <filter val="J580"/>
        <filter val="J581"/>
        <filter val="J583"/>
        <filter val="J585"/>
        <filter val="J586"/>
        <filter val="J587"/>
        <filter val="J588"/>
        <filter val="J589"/>
        <filter val="J590"/>
        <filter val="J591"/>
        <filter val="J592"/>
        <filter val="J593"/>
        <filter val="J594"/>
        <filter val="J595"/>
        <filter val="J596"/>
        <filter val="J597"/>
        <filter val="J598"/>
        <filter val="J599"/>
        <filter val="J6200"/>
        <filter val="J6201"/>
        <filter val="J6202"/>
        <filter val="J6203"/>
        <filter val="J6204"/>
        <filter val="J6205"/>
        <filter val="J6206"/>
        <filter val="J6207"/>
        <filter val="J6208"/>
        <filter val="J6209"/>
        <filter val="J6210"/>
        <filter val="J6211"/>
        <filter val="J6212"/>
        <filter val="J6213"/>
        <filter val="J6214"/>
        <filter val="J6215"/>
        <filter val="J6216"/>
        <filter val="J6217"/>
        <filter val="J6218"/>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K198"/>
  <sheetViews>
    <sheetView workbookViewId="0">
      <selection activeCell="C104" sqref="A1:K198"/>
    </sheetView>
  </sheetViews>
  <sheetFormatPr defaultRowHeight="14.5" x14ac:dyDescent="0.35"/>
  <sheetData>
    <row r="1" spans="1:11" x14ac:dyDescent="0.35">
      <c r="A1" t="s">
        <v>0</v>
      </c>
      <c r="B1" t="s">
        <v>1</v>
      </c>
      <c r="C1" t="s">
        <v>2</v>
      </c>
      <c r="D1" t="s">
        <v>3</v>
      </c>
      <c r="E1" t="s">
        <v>234</v>
      </c>
      <c r="F1" t="s">
        <v>235</v>
      </c>
      <c r="G1" t="s">
        <v>236</v>
      </c>
      <c r="H1" t="s">
        <v>237</v>
      </c>
      <c r="I1" t="s">
        <v>157</v>
      </c>
      <c r="J1" t="s">
        <v>158</v>
      </c>
      <c r="K1" t="s">
        <v>246</v>
      </c>
    </row>
    <row r="2" spans="1:11" hidden="1" x14ac:dyDescent="0.35">
      <c r="A2" t="s">
        <v>4</v>
      </c>
      <c r="B2">
        <v>2019</v>
      </c>
      <c r="C2" t="s">
        <v>5</v>
      </c>
      <c r="D2" t="s">
        <v>6</v>
      </c>
      <c r="E2" t="b">
        <v>0</v>
      </c>
      <c r="F2" t="s">
        <v>247</v>
      </c>
      <c r="G2" t="s">
        <v>222</v>
      </c>
      <c r="H2">
        <v>1</v>
      </c>
      <c r="I2" t="s">
        <v>221</v>
      </c>
      <c r="J2" t="s">
        <v>222</v>
      </c>
      <c r="K2" t="b">
        <v>0</v>
      </c>
    </row>
    <row r="3" spans="1:11" hidden="1" x14ac:dyDescent="0.35">
      <c r="A3" t="s">
        <v>7</v>
      </c>
      <c r="B3">
        <v>2019</v>
      </c>
      <c r="C3" t="s">
        <v>8</v>
      </c>
      <c r="D3" t="s">
        <v>9</v>
      </c>
      <c r="E3" t="b">
        <v>0</v>
      </c>
      <c r="F3" t="s">
        <v>248</v>
      </c>
      <c r="G3" t="s">
        <v>222</v>
      </c>
      <c r="H3">
        <v>1</v>
      </c>
      <c r="I3" t="s">
        <v>221</v>
      </c>
      <c r="J3" t="s">
        <v>222</v>
      </c>
      <c r="K3" t="b">
        <v>0</v>
      </c>
    </row>
    <row r="4" spans="1:11" hidden="1" x14ac:dyDescent="0.35">
      <c r="A4" t="s">
        <v>10</v>
      </c>
      <c r="B4">
        <v>2019</v>
      </c>
      <c r="C4" t="s">
        <v>11</v>
      </c>
      <c r="D4" t="s">
        <v>12</v>
      </c>
      <c r="E4" t="b">
        <v>1</v>
      </c>
      <c r="F4" t="s">
        <v>249</v>
      </c>
      <c r="G4" t="s">
        <v>223</v>
      </c>
      <c r="H4">
        <v>1</v>
      </c>
      <c r="I4" t="s">
        <v>160</v>
      </c>
      <c r="J4" t="s">
        <v>223</v>
      </c>
      <c r="K4" t="b">
        <v>1</v>
      </c>
    </row>
    <row r="5" spans="1:11" hidden="1" x14ac:dyDescent="0.35">
      <c r="A5" t="s">
        <v>13</v>
      </c>
      <c r="B5">
        <v>2019</v>
      </c>
      <c r="C5" t="s">
        <v>14</v>
      </c>
      <c r="D5" t="s">
        <v>15</v>
      </c>
      <c r="E5" t="b">
        <v>1</v>
      </c>
      <c r="F5" t="s">
        <v>250</v>
      </c>
      <c r="G5" t="s">
        <v>238</v>
      </c>
      <c r="H5">
        <v>0.5</v>
      </c>
      <c r="I5" t="s">
        <v>160</v>
      </c>
      <c r="J5" t="s">
        <v>224</v>
      </c>
      <c r="K5" t="b">
        <v>1</v>
      </c>
    </row>
    <row r="6" spans="1:11" hidden="1" x14ac:dyDescent="0.35">
      <c r="A6" t="s">
        <v>16</v>
      </c>
      <c r="B6">
        <v>2019</v>
      </c>
      <c r="C6" t="s">
        <v>17</v>
      </c>
      <c r="D6" t="s">
        <v>18</v>
      </c>
      <c r="E6" t="b">
        <v>1</v>
      </c>
      <c r="F6" t="s">
        <v>251</v>
      </c>
      <c r="G6" t="s">
        <v>223</v>
      </c>
      <c r="H6">
        <v>1</v>
      </c>
      <c r="I6" t="s">
        <v>160</v>
      </c>
      <c r="J6" t="s">
        <v>224</v>
      </c>
      <c r="K6" t="b">
        <v>1</v>
      </c>
    </row>
    <row r="7" spans="1:11" hidden="1" x14ac:dyDescent="0.35">
      <c r="A7" t="s">
        <v>19</v>
      </c>
      <c r="B7">
        <v>2019</v>
      </c>
      <c r="C7" t="s">
        <v>20</v>
      </c>
      <c r="D7" t="s">
        <v>21</v>
      </c>
      <c r="E7" t="b">
        <v>1</v>
      </c>
      <c r="F7" t="s">
        <v>250</v>
      </c>
      <c r="G7" t="s">
        <v>238</v>
      </c>
      <c r="H7">
        <v>0.5</v>
      </c>
      <c r="I7" t="s">
        <v>160</v>
      </c>
      <c r="J7" t="s">
        <v>224</v>
      </c>
      <c r="K7" t="b">
        <v>1</v>
      </c>
    </row>
    <row r="8" spans="1:11" hidden="1" x14ac:dyDescent="0.35">
      <c r="A8" t="s">
        <v>22</v>
      </c>
      <c r="B8">
        <v>2019</v>
      </c>
      <c r="C8" t="s">
        <v>23</v>
      </c>
      <c r="D8" t="s">
        <v>24</v>
      </c>
      <c r="E8" t="b">
        <v>1</v>
      </c>
      <c r="F8" t="s">
        <v>250</v>
      </c>
      <c r="G8" t="s">
        <v>238</v>
      </c>
      <c r="H8">
        <v>0.5</v>
      </c>
      <c r="I8" t="s">
        <v>160</v>
      </c>
      <c r="J8" t="s">
        <v>224</v>
      </c>
      <c r="K8" t="b">
        <v>1</v>
      </c>
    </row>
    <row r="9" spans="1:11" x14ac:dyDescent="0.35">
      <c r="A9" t="s">
        <v>25</v>
      </c>
      <c r="B9">
        <v>2019</v>
      </c>
      <c r="C9" t="s">
        <v>26</v>
      </c>
      <c r="D9" t="s">
        <v>27</v>
      </c>
      <c r="E9" t="b">
        <v>1</v>
      </c>
      <c r="F9" t="s">
        <v>250</v>
      </c>
      <c r="G9" t="s">
        <v>238</v>
      </c>
      <c r="H9">
        <v>0.5</v>
      </c>
      <c r="I9" t="s">
        <v>221</v>
      </c>
      <c r="J9" t="s">
        <v>225</v>
      </c>
      <c r="K9" t="b">
        <v>0</v>
      </c>
    </row>
    <row r="10" spans="1:11" hidden="1" x14ac:dyDescent="0.35">
      <c r="A10" t="s">
        <v>28</v>
      </c>
      <c r="B10">
        <v>2019</v>
      </c>
      <c r="C10" t="s">
        <v>29</v>
      </c>
      <c r="D10" t="s">
        <v>30</v>
      </c>
      <c r="E10" t="b">
        <v>1</v>
      </c>
      <c r="F10" t="s">
        <v>252</v>
      </c>
      <c r="G10" t="s">
        <v>223</v>
      </c>
      <c r="H10">
        <v>1</v>
      </c>
      <c r="I10" t="s">
        <v>160</v>
      </c>
      <c r="J10" t="s">
        <v>223</v>
      </c>
      <c r="K10" t="b">
        <v>1</v>
      </c>
    </row>
    <row r="11" spans="1:11" hidden="1" x14ac:dyDescent="0.35">
      <c r="A11" t="s">
        <v>31</v>
      </c>
      <c r="B11">
        <v>2019</v>
      </c>
      <c r="C11" t="s">
        <v>32</v>
      </c>
      <c r="D11" t="s">
        <v>33</v>
      </c>
      <c r="E11" t="b">
        <v>1</v>
      </c>
      <c r="F11" t="s">
        <v>239</v>
      </c>
      <c r="G11" t="s">
        <v>223</v>
      </c>
      <c r="H11">
        <v>1</v>
      </c>
      <c r="I11" t="s">
        <v>160</v>
      </c>
      <c r="J11" t="s">
        <v>226</v>
      </c>
      <c r="K11" t="b">
        <v>1</v>
      </c>
    </row>
    <row r="12" spans="1:11" x14ac:dyDescent="0.35">
      <c r="A12" t="s">
        <v>34</v>
      </c>
      <c r="B12">
        <v>2019</v>
      </c>
      <c r="C12" t="s">
        <v>35</v>
      </c>
      <c r="D12" t="s">
        <v>36</v>
      </c>
      <c r="E12" t="b">
        <v>1</v>
      </c>
      <c r="F12" t="s">
        <v>250</v>
      </c>
      <c r="G12" t="s">
        <v>238</v>
      </c>
      <c r="H12">
        <v>0.5</v>
      </c>
      <c r="I12" t="s">
        <v>221</v>
      </c>
      <c r="J12" t="s">
        <v>225</v>
      </c>
      <c r="K12" t="b">
        <v>0</v>
      </c>
    </row>
    <row r="13" spans="1:11" hidden="1" x14ac:dyDescent="0.35">
      <c r="A13" t="s">
        <v>37</v>
      </c>
      <c r="B13">
        <v>2019</v>
      </c>
      <c r="C13" t="s">
        <v>38</v>
      </c>
      <c r="D13" t="s">
        <v>39</v>
      </c>
      <c r="E13" t="b">
        <v>1</v>
      </c>
      <c r="F13" t="s">
        <v>253</v>
      </c>
      <c r="G13" t="s">
        <v>223</v>
      </c>
      <c r="H13">
        <v>1</v>
      </c>
      <c r="I13" t="s">
        <v>160</v>
      </c>
      <c r="J13" t="s">
        <v>223</v>
      </c>
      <c r="K13" t="b">
        <v>1</v>
      </c>
    </row>
    <row r="14" spans="1:11" hidden="1" x14ac:dyDescent="0.35">
      <c r="A14" t="s">
        <v>40</v>
      </c>
      <c r="B14">
        <v>2019</v>
      </c>
      <c r="C14" t="s">
        <v>41</v>
      </c>
      <c r="D14" t="s">
        <v>42</v>
      </c>
      <c r="E14" t="b">
        <v>1</v>
      </c>
      <c r="F14" t="s">
        <v>254</v>
      </c>
      <c r="G14" t="s">
        <v>223</v>
      </c>
      <c r="H14">
        <v>0.95</v>
      </c>
      <c r="I14" t="s">
        <v>160</v>
      </c>
      <c r="J14" t="s">
        <v>223</v>
      </c>
      <c r="K14" t="b">
        <v>1</v>
      </c>
    </row>
    <row r="15" spans="1:11" hidden="1" x14ac:dyDescent="0.35">
      <c r="A15" t="s">
        <v>43</v>
      </c>
      <c r="B15">
        <v>2019</v>
      </c>
      <c r="C15" t="s">
        <v>44</v>
      </c>
      <c r="D15" t="s">
        <v>45</v>
      </c>
      <c r="E15" t="b">
        <v>1</v>
      </c>
      <c r="F15" t="s">
        <v>250</v>
      </c>
      <c r="G15" t="s">
        <v>238</v>
      </c>
      <c r="H15">
        <v>0.5</v>
      </c>
      <c r="I15" t="s">
        <v>160</v>
      </c>
      <c r="J15" t="s">
        <v>224</v>
      </c>
      <c r="K15" t="b">
        <v>1</v>
      </c>
    </row>
    <row r="16" spans="1:11" hidden="1" x14ac:dyDescent="0.35">
      <c r="A16" t="s">
        <v>46</v>
      </c>
      <c r="B16">
        <v>2019</v>
      </c>
      <c r="C16" t="s">
        <v>47</v>
      </c>
      <c r="D16" t="s">
        <v>48</v>
      </c>
      <c r="E16" t="b">
        <v>1</v>
      </c>
      <c r="F16" t="s">
        <v>240</v>
      </c>
      <c r="G16" t="s">
        <v>223</v>
      </c>
      <c r="H16">
        <v>1</v>
      </c>
      <c r="I16" t="s">
        <v>160</v>
      </c>
      <c r="J16" t="s">
        <v>224</v>
      </c>
      <c r="K16" t="b">
        <v>1</v>
      </c>
    </row>
    <row r="17" spans="1:11" hidden="1" x14ac:dyDescent="0.35">
      <c r="A17" t="s">
        <v>49</v>
      </c>
      <c r="B17">
        <v>2019</v>
      </c>
      <c r="C17" t="s">
        <v>50</v>
      </c>
      <c r="D17" t="s">
        <v>51</v>
      </c>
      <c r="E17" t="b">
        <v>1</v>
      </c>
      <c r="F17" t="s">
        <v>255</v>
      </c>
      <c r="G17" t="s">
        <v>223</v>
      </c>
      <c r="H17">
        <v>1</v>
      </c>
      <c r="I17" t="s">
        <v>160</v>
      </c>
      <c r="J17" t="s">
        <v>223</v>
      </c>
      <c r="K17" t="b">
        <v>1</v>
      </c>
    </row>
    <row r="18" spans="1:11" hidden="1" x14ac:dyDescent="0.35">
      <c r="A18" t="s">
        <v>52</v>
      </c>
      <c r="B18">
        <v>2019</v>
      </c>
      <c r="C18" t="s">
        <v>53</v>
      </c>
      <c r="D18" t="s">
        <v>54</v>
      </c>
      <c r="E18" t="b">
        <v>1</v>
      </c>
      <c r="F18" t="s">
        <v>250</v>
      </c>
      <c r="G18" t="s">
        <v>238</v>
      </c>
      <c r="H18">
        <v>0.5</v>
      </c>
      <c r="I18" t="s">
        <v>160</v>
      </c>
      <c r="J18" t="s">
        <v>224</v>
      </c>
      <c r="K18" t="b">
        <v>1</v>
      </c>
    </row>
    <row r="19" spans="1:11" hidden="1" x14ac:dyDescent="0.35">
      <c r="A19" t="s">
        <v>57</v>
      </c>
      <c r="B19">
        <v>2019</v>
      </c>
      <c r="C19" t="s">
        <v>58</v>
      </c>
      <c r="D19" t="s">
        <v>59</v>
      </c>
      <c r="E19" t="b">
        <v>0</v>
      </c>
      <c r="F19" t="s">
        <v>241</v>
      </c>
      <c r="G19" t="s">
        <v>222</v>
      </c>
      <c r="H19">
        <v>1</v>
      </c>
      <c r="I19" t="s">
        <v>221</v>
      </c>
      <c r="J19" t="s">
        <v>222</v>
      </c>
      <c r="K19" t="b">
        <v>0</v>
      </c>
    </row>
    <row r="20" spans="1:11" hidden="1" x14ac:dyDescent="0.35">
      <c r="A20" t="s">
        <v>60</v>
      </c>
      <c r="B20">
        <v>2019</v>
      </c>
      <c r="C20" t="s">
        <v>61</v>
      </c>
      <c r="D20" t="s">
        <v>62</v>
      </c>
      <c r="E20" t="b">
        <v>0</v>
      </c>
      <c r="F20" t="s">
        <v>256</v>
      </c>
      <c r="G20" t="s">
        <v>222</v>
      </c>
      <c r="H20">
        <v>0.9</v>
      </c>
      <c r="I20" t="s">
        <v>221</v>
      </c>
      <c r="J20" t="s">
        <v>222</v>
      </c>
      <c r="K20" t="b">
        <v>0</v>
      </c>
    </row>
    <row r="21" spans="1:11" hidden="1" x14ac:dyDescent="0.35">
      <c r="A21" t="s">
        <v>63</v>
      </c>
      <c r="B21">
        <v>2019</v>
      </c>
      <c r="C21" t="s">
        <v>64</v>
      </c>
      <c r="D21" t="s">
        <v>65</v>
      </c>
      <c r="E21" t="b">
        <v>1</v>
      </c>
      <c r="F21" t="s">
        <v>257</v>
      </c>
      <c r="G21" t="s">
        <v>223</v>
      </c>
      <c r="H21">
        <v>1</v>
      </c>
      <c r="I21" t="s">
        <v>160</v>
      </c>
      <c r="J21" t="s">
        <v>223</v>
      </c>
      <c r="K21" t="b">
        <v>1</v>
      </c>
    </row>
    <row r="22" spans="1:11" hidden="1" x14ac:dyDescent="0.35">
      <c r="A22" t="s">
        <v>66</v>
      </c>
      <c r="B22">
        <v>2019</v>
      </c>
      <c r="C22" t="s">
        <v>67</v>
      </c>
      <c r="D22" t="s">
        <v>68</v>
      </c>
      <c r="E22" t="b">
        <v>1</v>
      </c>
      <c r="F22" t="s">
        <v>258</v>
      </c>
      <c r="G22" t="s">
        <v>223</v>
      </c>
      <c r="H22">
        <v>1</v>
      </c>
      <c r="I22" t="s">
        <v>160</v>
      </c>
      <c r="J22" t="s">
        <v>226</v>
      </c>
      <c r="K22" t="b">
        <v>1</v>
      </c>
    </row>
    <row r="23" spans="1:11" hidden="1" x14ac:dyDescent="0.35">
      <c r="A23" t="s">
        <v>69</v>
      </c>
      <c r="B23">
        <v>2019</v>
      </c>
      <c r="C23" t="s">
        <v>70</v>
      </c>
      <c r="D23" t="s">
        <v>71</v>
      </c>
      <c r="E23" t="b">
        <v>1</v>
      </c>
      <c r="F23" t="s">
        <v>259</v>
      </c>
      <c r="G23" t="s">
        <v>223</v>
      </c>
      <c r="H23">
        <v>1</v>
      </c>
      <c r="I23" t="s">
        <v>160</v>
      </c>
      <c r="J23" t="s">
        <v>228</v>
      </c>
      <c r="K23" t="b">
        <v>1</v>
      </c>
    </row>
    <row r="24" spans="1:11" hidden="1" x14ac:dyDescent="0.35">
      <c r="A24" t="s">
        <v>72</v>
      </c>
      <c r="B24">
        <v>2019</v>
      </c>
      <c r="C24" t="s">
        <v>73</v>
      </c>
      <c r="D24" t="s">
        <v>74</v>
      </c>
      <c r="E24" t="b">
        <v>1</v>
      </c>
      <c r="F24" t="s">
        <v>250</v>
      </c>
      <c r="G24" t="s">
        <v>238</v>
      </c>
      <c r="H24">
        <v>0.5</v>
      </c>
      <c r="I24" t="s">
        <v>160</v>
      </c>
      <c r="J24" t="s">
        <v>224</v>
      </c>
      <c r="K24" t="b">
        <v>1</v>
      </c>
    </row>
    <row r="25" spans="1:11" hidden="1" x14ac:dyDescent="0.35">
      <c r="A25" t="s">
        <v>75</v>
      </c>
      <c r="B25">
        <v>2019</v>
      </c>
      <c r="C25" t="s">
        <v>76</v>
      </c>
      <c r="D25" t="s">
        <v>77</v>
      </c>
      <c r="E25" t="b">
        <v>1</v>
      </c>
      <c r="F25" t="s">
        <v>250</v>
      </c>
      <c r="G25" t="s">
        <v>238</v>
      </c>
      <c r="H25">
        <v>0.5</v>
      </c>
      <c r="I25" t="s">
        <v>160</v>
      </c>
      <c r="J25" t="s">
        <v>224</v>
      </c>
      <c r="K25" t="b">
        <v>1</v>
      </c>
    </row>
    <row r="26" spans="1:11" hidden="1" x14ac:dyDescent="0.35">
      <c r="A26" t="s">
        <v>78</v>
      </c>
      <c r="B26">
        <v>2019</v>
      </c>
      <c r="C26" t="s">
        <v>79</v>
      </c>
      <c r="D26" t="s">
        <v>80</v>
      </c>
      <c r="E26" t="b">
        <v>1</v>
      </c>
      <c r="F26" t="s">
        <v>260</v>
      </c>
      <c r="G26" t="s">
        <v>223</v>
      </c>
      <c r="H26">
        <v>1</v>
      </c>
      <c r="I26" t="s">
        <v>160</v>
      </c>
      <c r="J26" t="s">
        <v>223</v>
      </c>
      <c r="K26" t="b">
        <v>1</v>
      </c>
    </row>
    <row r="27" spans="1:11" x14ac:dyDescent="0.35">
      <c r="A27" t="s">
        <v>81</v>
      </c>
      <c r="B27">
        <v>2019</v>
      </c>
      <c r="C27" t="s">
        <v>82</v>
      </c>
      <c r="D27" t="s">
        <v>83</v>
      </c>
      <c r="E27" t="b">
        <v>1</v>
      </c>
      <c r="F27" t="s">
        <v>250</v>
      </c>
      <c r="G27" t="s">
        <v>238</v>
      </c>
      <c r="H27">
        <v>0.5</v>
      </c>
      <c r="I27" t="s">
        <v>221</v>
      </c>
      <c r="J27" t="s">
        <v>227</v>
      </c>
      <c r="K27" t="b">
        <v>0</v>
      </c>
    </row>
    <row r="28" spans="1:11" hidden="1" x14ac:dyDescent="0.35">
      <c r="A28" t="s">
        <v>84</v>
      </c>
      <c r="B28">
        <v>2019</v>
      </c>
      <c r="C28" t="s">
        <v>85</v>
      </c>
      <c r="D28" t="s">
        <v>86</v>
      </c>
      <c r="E28" t="b">
        <v>1</v>
      </c>
      <c r="F28" t="s">
        <v>250</v>
      </c>
      <c r="G28" t="s">
        <v>238</v>
      </c>
      <c r="H28">
        <v>0.5</v>
      </c>
      <c r="I28" t="s">
        <v>160</v>
      </c>
      <c r="J28" t="s">
        <v>223</v>
      </c>
      <c r="K28" t="b">
        <v>1</v>
      </c>
    </row>
    <row r="29" spans="1:11" hidden="1" x14ac:dyDescent="0.35">
      <c r="A29" t="s">
        <v>87</v>
      </c>
      <c r="B29">
        <v>2019</v>
      </c>
      <c r="C29" t="s">
        <v>88</v>
      </c>
      <c r="D29" t="s">
        <v>89</v>
      </c>
      <c r="E29" t="b">
        <v>1</v>
      </c>
      <c r="F29" t="s">
        <v>250</v>
      </c>
      <c r="G29" t="s">
        <v>238</v>
      </c>
      <c r="H29">
        <v>0.5</v>
      </c>
      <c r="I29" t="s">
        <v>160</v>
      </c>
      <c r="J29" t="s">
        <v>224</v>
      </c>
      <c r="K29" t="b">
        <v>1</v>
      </c>
    </row>
    <row r="30" spans="1:11" hidden="1" x14ac:dyDescent="0.35">
      <c r="A30" t="s">
        <v>90</v>
      </c>
      <c r="B30">
        <v>2019</v>
      </c>
      <c r="C30" t="s">
        <v>91</v>
      </c>
      <c r="D30" t="s">
        <v>92</v>
      </c>
      <c r="E30" t="b">
        <v>1</v>
      </c>
      <c r="F30" t="s">
        <v>250</v>
      </c>
      <c r="G30" t="s">
        <v>238</v>
      </c>
      <c r="H30">
        <v>0.5</v>
      </c>
      <c r="I30" t="s">
        <v>160</v>
      </c>
      <c r="J30" t="s">
        <v>224</v>
      </c>
      <c r="K30" t="b">
        <v>1</v>
      </c>
    </row>
    <row r="31" spans="1:11" hidden="1" x14ac:dyDescent="0.35">
      <c r="A31" t="s">
        <v>93</v>
      </c>
      <c r="B31">
        <v>2019</v>
      </c>
      <c r="C31" t="s">
        <v>94</v>
      </c>
      <c r="D31" t="s">
        <v>95</v>
      </c>
      <c r="E31" t="b">
        <v>1</v>
      </c>
      <c r="F31" t="s">
        <v>250</v>
      </c>
      <c r="G31" t="s">
        <v>238</v>
      </c>
      <c r="H31">
        <v>0.5</v>
      </c>
      <c r="I31" t="s">
        <v>160</v>
      </c>
      <c r="J31" t="s">
        <v>224</v>
      </c>
      <c r="K31" t="b">
        <v>1</v>
      </c>
    </row>
    <row r="32" spans="1:11" hidden="1" x14ac:dyDescent="0.35">
      <c r="A32" t="s">
        <v>96</v>
      </c>
      <c r="B32">
        <v>2019</v>
      </c>
      <c r="C32" t="s">
        <v>97</v>
      </c>
      <c r="D32" t="s">
        <v>98</v>
      </c>
      <c r="E32" t="b">
        <v>0</v>
      </c>
      <c r="F32" t="s">
        <v>261</v>
      </c>
      <c r="G32" t="s">
        <v>222</v>
      </c>
      <c r="H32">
        <v>1</v>
      </c>
      <c r="I32" t="s">
        <v>221</v>
      </c>
      <c r="J32" t="s">
        <v>229</v>
      </c>
      <c r="K32" t="b">
        <v>0</v>
      </c>
    </row>
    <row r="33" spans="1:11" hidden="1" x14ac:dyDescent="0.35">
      <c r="A33" t="s">
        <v>99</v>
      </c>
      <c r="B33">
        <v>2019</v>
      </c>
      <c r="C33" t="s">
        <v>100</v>
      </c>
      <c r="D33" t="s">
        <v>101</v>
      </c>
      <c r="E33" t="b">
        <v>1</v>
      </c>
      <c r="F33" t="s">
        <v>262</v>
      </c>
      <c r="G33" t="s">
        <v>223</v>
      </c>
      <c r="H33">
        <v>1</v>
      </c>
      <c r="I33" t="s">
        <v>160</v>
      </c>
      <c r="J33" t="s">
        <v>223</v>
      </c>
      <c r="K33" t="b">
        <v>1</v>
      </c>
    </row>
    <row r="34" spans="1:11" hidden="1" x14ac:dyDescent="0.35">
      <c r="A34" t="s">
        <v>102</v>
      </c>
      <c r="B34">
        <v>2019</v>
      </c>
      <c r="C34" t="s">
        <v>103</v>
      </c>
      <c r="D34" t="s">
        <v>104</v>
      </c>
      <c r="E34" t="b">
        <v>1</v>
      </c>
      <c r="F34" t="s">
        <v>242</v>
      </c>
      <c r="G34" t="s">
        <v>223</v>
      </c>
      <c r="H34">
        <v>1</v>
      </c>
      <c r="I34" t="s">
        <v>160</v>
      </c>
      <c r="J34" t="s">
        <v>224</v>
      </c>
      <c r="K34" t="b">
        <v>1</v>
      </c>
    </row>
    <row r="35" spans="1:11" ht="409.5" hidden="1" x14ac:dyDescent="0.35">
      <c r="A35" t="s">
        <v>105</v>
      </c>
      <c r="B35">
        <v>2019</v>
      </c>
      <c r="C35" t="s">
        <v>106</v>
      </c>
      <c r="D35" s="1" t="s">
        <v>107</v>
      </c>
      <c r="E35" t="b">
        <v>1</v>
      </c>
      <c r="F35" t="s">
        <v>243</v>
      </c>
      <c r="G35" t="s">
        <v>223</v>
      </c>
      <c r="H35">
        <v>1</v>
      </c>
      <c r="I35" t="s">
        <v>160</v>
      </c>
      <c r="J35" t="s">
        <v>223</v>
      </c>
      <c r="K35" t="b">
        <v>1</v>
      </c>
    </row>
    <row r="36" spans="1:11" hidden="1" x14ac:dyDescent="0.35">
      <c r="A36" t="s">
        <v>108</v>
      </c>
      <c r="B36">
        <v>2019</v>
      </c>
      <c r="C36" t="s">
        <v>109</v>
      </c>
      <c r="D36" t="s">
        <v>110</v>
      </c>
      <c r="E36" t="b">
        <v>1</v>
      </c>
      <c r="F36" t="s">
        <v>250</v>
      </c>
      <c r="G36" t="s">
        <v>238</v>
      </c>
      <c r="H36">
        <v>0.5</v>
      </c>
      <c r="I36" t="s">
        <v>160</v>
      </c>
      <c r="J36" t="s">
        <v>224</v>
      </c>
      <c r="K36" t="b">
        <v>1</v>
      </c>
    </row>
    <row r="37" spans="1:11" hidden="1" x14ac:dyDescent="0.35">
      <c r="A37" t="s">
        <v>111</v>
      </c>
      <c r="B37">
        <v>2019</v>
      </c>
      <c r="C37" t="s">
        <v>112</v>
      </c>
      <c r="D37" t="s">
        <v>113</v>
      </c>
      <c r="E37" t="b">
        <v>1</v>
      </c>
      <c r="F37" t="s">
        <v>244</v>
      </c>
      <c r="G37" t="s">
        <v>223</v>
      </c>
      <c r="H37">
        <v>1</v>
      </c>
      <c r="I37" t="s">
        <v>160</v>
      </c>
      <c r="J37" t="s">
        <v>230</v>
      </c>
      <c r="K37" t="b">
        <v>1</v>
      </c>
    </row>
    <row r="38" spans="1:11" hidden="1" x14ac:dyDescent="0.35">
      <c r="A38" t="s">
        <v>114</v>
      </c>
      <c r="B38">
        <v>2019</v>
      </c>
      <c r="C38" t="s">
        <v>115</v>
      </c>
      <c r="D38" t="s">
        <v>116</v>
      </c>
      <c r="E38" t="b">
        <v>1</v>
      </c>
      <c r="F38" t="s">
        <v>263</v>
      </c>
      <c r="G38" t="s">
        <v>223</v>
      </c>
      <c r="H38">
        <v>1</v>
      </c>
      <c r="I38" t="s">
        <v>160</v>
      </c>
      <c r="J38" t="s">
        <v>223</v>
      </c>
      <c r="K38" t="b">
        <v>1</v>
      </c>
    </row>
    <row r="39" spans="1:11" x14ac:dyDescent="0.35">
      <c r="A39" t="s">
        <v>117</v>
      </c>
      <c r="B39">
        <v>2019</v>
      </c>
      <c r="C39" t="s">
        <v>118</v>
      </c>
      <c r="D39" t="s">
        <v>119</v>
      </c>
      <c r="E39" t="b">
        <v>1</v>
      </c>
      <c r="F39" t="s">
        <v>250</v>
      </c>
      <c r="G39" t="s">
        <v>238</v>
      </c>
      <c r="H39">
        <v>0.5</v>
      </c>
      <c r="I39" t="s">
        <v>221</v>
      </c>
      <c r="J39" t="s">
        <v>225</v>
      </c>
      <c r="K39" t="b">
        <v>0</v>
      </c>
    </row>
    <row r="40" spans="1:11" x14ac:dyDescent="0.35">
      <c r="A40" t="s">
        <v>120</v>
      </c>
      <c r="B40">
        <v>2019</v>
      </c>
      <c r="C40" t="s">
        <v>121</v>
      </c>
      <c r="D40" t="s">
        <v>122</v>
      </c>
      <c r="E40" t="b">
        <v>1</v>
      </c>
      <c r="F40" t="s">
        <v>250</v>
      </c>
      <c r="G40" t="s">
        <v>238</v>
      </c>
      <c r="H40">
        <v>0.5</v>
      </c>
      <c r="I40" t="s">
        <v>221</v>
      </c>
      <c r="J40" t="s">
        <v>231</v>
      </c>
      <c r="K40" t="b">
        <v>0</v>
      </c>
    </row>
    <row r="41" spans="1:11" hidden="1" x14ac:dyDescent="0.35">
      <c r="A41" t="s">
        <v>123</v>
      </c>
      <c r="B41">
        <v>2019</v>
      </c>
      <c r="C41" t="s">
        <v>124</v>
      </c>
      <c r="D41" t="s">
        <v>125</v>
      </c>
      <c r="E41" t="b">
        <v>1</v>
      </c>
      <c r="F41" t="s">
        <v>250</v>
      </c>
      <c r="G41" t="s">
        <v>238</v>
      </c>
      <c r="H41">
        <v>0.5</v>
      </c>
      <c r="I41" t="s">
        <v>160</v>
      </c>
      <c r="J41" t="s">
        <v>224</v>
      </c>
      <c r="K41" t="b">
        <v>1</v>
      </c>
    </row>
    <row r="42" spans="1:11" ht="409.5" hidden="1" x14ac:dyDescent="0.35">
      <c r="A42" t="s">
        <v>126</v>
      </c>
      <c r="B42">
        <v>2019</v>
      </c>
      <c r="C42" t="s">
        <v>127</v>
      </c>
      <c r="D42" s="1" t="s">
        <v>128</v>
      </c>
      <c r="E42" t="b">
        <v>1</v>
      </c>
      <c r="F42" t="s">
        <v>264</v>
      </c>
      <c r="G42" t="s">
        <v>223</v>
      </c>
      <c r="H42">
        <v>1</v>
      </c>
      <c r="I42" t="s">
        <v>160</v>
      </c>
      <c r="J42" t="s">
        <v>223</v>
      </c>
      <c r="K42" t="b">
        <v>1</v>
      </c>
    </row>
    <row r="43" spans="1:11" hidden="1" x14ac:dyDescent="0.35">
      <c r="A43" t="s">
        <v>129</v>
      </c>
      <c r="B43">
        <v>2019</v>
      </c>
      <c r="C43" t="s">
        <v>130</v>
      </c>
      <c r="D43" t="s">
        <v>131</v>
      </c>
      <c r="E43" t="b">
        <v>1</v>
      </c>
      <c r="F43" t="s">
        <v>250</v>
      </c>
      <c r="G43" t="s">
        <v>238</v>
      </c>
      <c r="H43">
        <v>0.5</v>
      </c>
      <c r="I43" t="s">
        <v>160</v>
      </c>
      <c r="J43" t="s">
        <v>223</v>
      </c>
      <c r="K43" t="b">
        <v>1</v>
      </c>
    </row>
    <row r="44" spans="1:11" hidden="1" x14ac:dyDescent="0.35">
      <c r="A44" t="s">
        <v>132</v>
      </c>
      <c r="B44">
        <v>2019</v>
      </c>
      <c r="C44" t="s">
        <v>133</v>
      </c>
      <c r="D44" t="s">
        <v>134</v>
      </c>
      <c r="E44" t="b">
        <v>1</v>
      </c>
      <c r="F44" t="s">
        <v>265</v>
      </c>
      <c r="G44" t="s">
        <v>223</v>
      </c>
      <c r="H44">
        <v>1</v>
      </c>
      <c r="I44" t="s">
        <v>160</v>
      </c>
      <c r="J44" t="s">
        <v>223</v>
      </c>
      <c r="K44" t="b">
        <v>1</v>
      </c>
    </row>
    <row r="45" spans="1:11" hidden="1" x14ac:dyDescent="0.35">
      <c r="A45" t="s">
        <v>135</v>
      </c>
      <c r="B45">
        <v>2019</v>
      </c>
      <c r="C45" t="s">
        <v>136</v>
      </c>
      <c r="D45" t="s">
        <v>137</v>
      </c>
      <c r="E45" t="b">
        <v>1</v>
      </c>
      <c r="F45" t="s">
        <v>266</v>
      </c>
      <c r="G45" t="s">
        <v>223</v>
      </c>
      <c r="H45">
        <v>1</v>
      </c>
      <c r="I45" t="s">
        <v>160</v>
      </c>
      <c r="J45" t="s">
        <v>226</v>
      </c>
      <c r="K45" t="b">
        <v>1</v>
      </c>
    </row>
    <row r="46" spans="1:11" hidden="1" x14ac:dyDescent="0.35">
      <c r="A46" t="s">
        <v>138</v>
      </c>
      <c r="B46">
        <v>2019</v>
      </c>
      <c r="C46" t="s">
        <v>139</v>
      </c>
      <c r="D46" t="s">
        <v>140</v>
      </c>
      <c r="E46" t="b">
        <v>1</v>
      </c>
      <c r="F46" t="s">
        <v>267</v>
      </c>
      <c r="G46" t="s">
        <v>223</v>
      </c>
      <c r="H46">
        <v>1</v>
      </c>
      <c r="I46" t="s">
        <v>160</v>
      </c>
      <c r="J46" t="s">
        <v>226</v>
      </c>
      <c r="K46" t="b">
        <v>1</v>
      </c>
    </row>
    <row r="47" spans="1:11" hidden="1" x14ac:dyDescent="0.35">
      <c r="A47" t="s">
        <v>141</v>
      </c>
      <c r="B47">
        <v>2019</v>
      </c>
      <c r="C47" t="s">
        <v>142</v>
      </c>
      <c r="D47" t="s">
        <v>143</v>
      </c>
      <c r="E47" t="b">
        <v>1</v>
      </c>
      <c r="F47" t="s">
        <v>268</v>
      </c>
      <c r="G47" t="s">
        <v>223</v>
      </c>
      <c r="H47">
        <v>1</v>
      </c>
      <c r="I47" t="s">
        <v>160</v>
      </c>
      <c r="J47" t="s">
        <v>223</v>
      </c>
      <c r="K47" t="b">
        <v>1</v>
      </c>
    </row>
    <row r="48" spans="1:11" hidden="1" x14ac:dyDescent="0.35">
      <c r="A48" t="s">
        <v>144</v>
      </c>
      <c r="B48">
        <v>2019</v>
      </c>
      <c r="C48" t="s">
        <v>145</v>
      </c>
      <c r="D48" t="s">
        <v>146</v>
      </c>
      <c r="E48" t="b">
        <v>1</v>
      </c>
      <c r="F48" t="s">
        <v>269</v>
      </c>
      <c r="G48" t="s">
        <v>223</v>
      </c>
      <c r="H48">
        <v>1</v>
      </c>
      <c r="I48" t="s">
        <v>160</v>
      </c>
      <c r="J48" t="s">
        <v>223</v>
      </c>
      <c r="K48" t="b">
        <v>1</v>
      </c>
    </row>
    <row r="49" spans="1:11" x14ac:dyDescent="0.35">
      <c r="A49" t="s">
        <v>147</v>
      </c>
      <c r="B49">
        <v>2019</v>
      </c>
      <c r="C49" t="s">
        <v>148</v>
      </c>
      <c r="D49" t="s">
        <v>149</v>
      </c>
      <c r="E49" t="b">
        <v>1</v>
      </c>
      <c r="F49" t="s">
        <v>250</v>
      </c>
      <c r="G49" t="s">
        <v>238</v>
      </c>
      <c r="H49">
        <v>0.5</v>
      </c>
      <c r="I49" t="s">
        <v>221</v>
      </c>
      <c r="J49" t="s">
        <v>232</v>
      </c>
      <c r="K49" t="b">
        <v>0</v>
      </c>
    </row>
    <row r="50" spans="1:11" hidden="1" x14ac:dyDescent="0.35">
      <c r="A50" t="s">
        <v>150</v>
      </c>
      <c r="B50">
        <v>2019</v>
      </c>
      <c r="C50" t="s">
        <v>151</v>
      </c>
      <c r="D50" t="s">
        <v>152</v>
      </c>
      <c r="E50" t="b">
        <v>1</v>
      </c>
      <c r="F50" t="s">
        <v>270</v>
      </c>
      <c r="G50" t="s">
        <v>223</v>
      </c>
      <c r="H50">
        <v>1</v>
      </c>
      <c r="I50" t="s">
        <v>160</v>
      </c>
      <c r="J50" t="s">
        <v>226</v>
      </c>
      <c r="K50" t="b">
        <v>1</v>
      </c>
    </row>
    <row r="51" spans="1:11" x14ac:dyDescent="0.35">
      <c r="A51" t="s">
        <v>153</v>
      </c>
      <c r="B51">
        <v>2019</v>
      </c>
      <c r="C51" t="s">
        <v>154</v>
      </c>
      <c r="D51" t="s">
        <v>155</v>
      </c>
      <c r="E51" t="b">
        <v>1</v>
      </c>
      <c r="F51" t="s">
        <v>250</v>
      </c>
      <c r="G51" t="s">
        <v>238</v>
      </c>
      <c r="H51">
        <v>0.5</v>
      </c>
      <c r="I51" t="s">
        <v>221</v>
      </c>
      <c r="J51" t="s">
        <v>233</v>
      </c>
      <c r="K51" t="b">
        <v>0</v>
      </c>
    </row>
    <row r="52" spans="1:11" hidden="1" x14ac:dyDescent="0.35">
      <c r="A52" t="s">
        <v>271</v>
      </c>
      <c r="B52">
        <v>2019</v>
      </c>
      <c r="C52" t="s">
        <v>272</v>
      </c>
      <c r="D52" t="s">
        <v>273</v>
      </c>
      <c r="E52" t="b">
        <v>1</v>
      </c>
      <c r="F52" t="s">
        <v>739</v>
      </c>
      <c r="G52" t="s">
        <v>223</v>
      </c>
      <c r="H52">
        <v>1</v>
      </c>
      <c r="I52" t="s">
        <v>160</v>
      </c>
      <c r="J52" t="s">
        <v>230</v>
      </c>
      <c r="K52" t="b">
        <v>1</v>
      </c>
    </row>
    <row r="53" spans="1:11" hidden="1" x14ac:dyDescent="0.35">
      <c r="A53" t="s">
        <v>274</v>
      </c>
      <c r="B53">
        <v>2019</v>
      </c>
      <c r="C53" t="s">
        <v>740</v>
      </c>
      <c r="D53" t="s">
        <v>741</v>
      </c>
      <c r="E53" t="b">
        <v>1</v>
      </c>
      <c r="F53" t="s">
        <v>250</v>
      </c>
      <c r="G53" t="s">
        <v>238</v>
      </c>
      <c r="H53">
        <v>0.5</v>
      </c>
      <c r="I53" t="s">
        <v>160</v>
      </c>
      <c r="J53" t="s">
        <v>714</v>
      </c>
      <c r="K53" t="b">
        <v>1</v>
      </c>
    </row>
    <row r="54" spans="1:11" hidden="1" x14ac:dyDescent="0.35">
      <c r="A54" t="s">
        <v>277</v>
      </c>
      <c r="B54">
        <v>2019</v>
      </c>
      <c r="C54" t="s">
        <v>278</v>
      </c>
      <c r="D54" t="s">
        <v>742</v>
      </c>
      <c r="E54" t="b">
        <v>0</v>
      </c>
      <c r="F54" t="s">
        <v>743</v>
      </c>
      <c r="G54" t="s">
        <v>222</v>
      </c>
      <c r="H54">
        <v>0.9</v>
      </c>
      <c r="I54" t="s">
        <v>160</v>
      </c>
      <c r="J54" t="s">
        <v>224</v>
      </c>
      <c r="K54" t="b">
        <v>1</v>
      </c>
    </row>
    <row r="55" spans="1:11" hidden="1" x14ac:dyDescent="0.35">
      <c r="A55" t="s">
        <v>280</v>
      </c>
      <c r="B55">
        <v>2019</v>
      </c>
      <c r="C55" t="s">
        <v>281</v>
      </c>
      <c r="D55" t="s">
        <v>744</v>
      </c>
      <c r="E55" t="b">
        <v>1</v>
      </c>
      <c r="F55" t="s">
        <v>745</v>
      </c>
      <c r="G55" t="s">
        <v>223</v>
      </c>
      <c r="H55">
        <v>1</v>
      </c>
      <c r="I55" t="s">
        <v>160</v>
      </c>
      <c r="J55" t="s">
        <v>223</v>
      </c>
      <c r="K55" t="b">
        <v>1</v>
      </c>
    </row>
    <row r="56" spans="1:11" hidden="1" x14ac:dyDescent="0.35">
      <c r="A56" t="s">
        <v>283</v>
      </c>
      <c r="B56">
        <v>2019</v>
      </c>
      <c r="C56" t="s">
        <v>284</v>
      </c>
      <c r="D56" t="s">
        <v>285</v>
      </c>
      <c r="E56" t="b">
        <v>1</v>
      </c>
      <c r="F56" t="s">
        <v>746</v>
      </c>
      <c r="G56" t="s">
        <v>223</v>
      </c>
      <c r="H56">
        <v>1</v>
      </c>
      <c r="I56" t="s">
        <v>160</v>
      </c>
      <c r="J56" t="s">
        <v>223</v>
      </c>
      <c r="K56" t="b">
        <v>1</v>
      </c>
    </row>
    <row r="57" spans="1:11" hidden="1" x14ac:dyDescent="0.35">
      <c r="A57" t="s">
        <v>286</v>
      </c>
      <c r="B57">
        <v>2019</v>
      </c>
      <c r="C57" t="s">
        <v>287</v>
      </c>
      <c r="D57" t="s">
        <v>288</v>
      </c>
      <c r="E57" t="b">
        <v>1</v>
      </c>
      <c r="F57" t="s">
        <v>747</v>
      </c>
      <c r="G57" t="s">
        <v>223</v>
      </c>
      <c r="H57">
        <v>1</v>
      </c>
      <c r="I57" t="s">
        <v>160</v>
      </c>
      <c r="J57" t="s">
        <v>223</v>
      </c>
      <c r="K57" t="b">
        <v>1</v>
      </c>
    </row>
    <row r="58" spans="1:11" hidden="1" x14ac:dyDescent="0.35">
      <c r="A58" t="s">
        <v>289</v>
      </c>
      <c r="B58">
        <v>2019</v>
      </c>
      <c r="C58" t="s">
        <v>290</v>
      </c>
      <c r="D58" t="s">
        <v>748</v>
      </c>
      <c r="E58" t="b">
        <v>1</v>
      </c>
      <c r="F58" t="s">
        <v>749</v>
      </c>
      <c r="G58" t="s">
        <v>223</v>
      </c>
      <c r="H58">
        <v>1</v>
      </c>
      <c r="I58" t="s">
        <v>160</v>
      </c>
      <c r="J58" t="s">
        <v>226</v>
      </c>
      <c r="K58" t="b">
        <v>1</v>
      </c>
    </row>
    <row r="59" spans="1:11" hidden="1" x14ac:dyDescent="0.35">
      <c r="A59" t="s">
        <v>292</v>
      </c>
      <c r="B59">
        <v>2019</v>
      </c>
      <c r="C59" t="s">
        <v>293</v>
      </c>
      <c r="D59" t="s">
        <v>750</v>
      </c>
      <c r="E59" t="b">
        <v>1</v>
      </c>
      <c r="F59" t="s">
        <v>250</v>
      </c>
      <c r="G59" t="s">
        <v>238</v>
      </c>
      <c r="H59">
        <v>0.5</v>
      </c>
      <c r="I59" t="s">
        <v>160</v>
      </c>
      <c r="J59" t="s">
        <v>224</v>
      </c>
      <c r="K59" t="b">
        <v>1</v>
      </c>
    </row>
    <row r="60" spans="1:11" hidden="1" x14ac:dyDescent="0.35">
      <c r="A60" t="s">
        <v>295</v>
      </c>
      <c r="B60">
        <v>2019</v>
      </c>
      <c r="C60" t="s">
        <v>296</v>
      </c>
      <c r="D60" t="s">
        <v>297</v>
      </c>
      <c r="E60" t="b">
        <v>1</v>
      </c>
      <c r="F60" t="s">
        <v>751</v>
      </c>
      <c r="G60" t="s">
        <v>223</v>
      </c>
      <c r="H60">
        <v>1</v>
      </c>
      <c r="I60" t="s">
        <v>160</v>
      </c>
      <c r="J60" t="s">
        <v>223</v>
      </c>
      <c r="K60" t="b">
        <v>1</v>
      </c>
    </row>
    <row r="61" spans="1:11" hidden="1" x14ac:dyDescent="0.35">
      <c r="A61" t="s">
        <v>298</v>
      </c>
      <c r="B61">
        <v>2019</v>
      </c>
      <c r="C61" t="s">
        <v>299</v>
      </c>
      <c r="D61" t="s">
        <v>752</v>
      </c>
      <c r="E61" t="b">
        <v>0</v>
      </c>
      <c r="F61" t="s">
        <v>753</v>
      </c>
      <c r="G61" t="s">
        <v>222</v>
      </c>
      <c r="H61">
        <v>0.9</v>
      </c>
      <c r="I61" t="s">
        <v>221</v>
      </c>
      <c r="J61" t="s">
        <v>222</v>
      </c>
      <c r="K61" t="b">
        <v>0</v>
      </c>
    </row>
    <row r="62" spans="1:11" hidden="1" x14ac:dyDescent="0.35">
      <c r="A62" t="s">
        <v>301</v>
      </c>
      <c r="B62">
        <v>2019</v>
      </c>
      <c r="C62" t="s">
        <v>302</v>
      </c>
      <c r="D62" t="s">
        <v>754</v>
      </c>
      <c r="E62" t="b">
        <v>1</v>
      </c>
      <c r="F62" t="s">
        <v>250</v>
      </c>
      <c r="G62" t="s">
        <v>238</v>
      </c>
      <c r="H62">
        <v>0.5</v>
      </c>
      <c r="I62" t="s">
        <v>160</v>
      </c>
      <c r="J62" t="s">
        <v>224</v>
      </c>
      <c r="K62" t="b">
        <v>1</v>
      </c>
    </row>
    <row r="63" spans="1:11" hidden="1" x14ac:dyDescent="0.35">
      <c r="A63" t="s">
        <v>304</v>
      </c>
      <c r="B63">
        <v>2019</v>
      </c>
      <c r="C63" t="s">
        <v>305</v>
      </c>
      <c r="D63" t="s">
        <v>755</v>
      </c>
      <c r="E63" t="b">
        <v>1</v>
      </c>
      <c r="F63" t="s">
        <v>756</v>
      </c>
      <c r="G63" t="s">
        <v>223</v>
      </c>
      <c r="H63">
        <v>1</v>
      </c>
      <c r="I63" t="s">
        <v>160</v>
      </c>
      <c r="J63" t="s">
        <v>226</v>
      </c>
      <c r="K63" t="b">
        <v>1</v>
      </c>
    </row>
    <row r="64" spans="1:11" hidden="1" x14ac:dyDescent="0.35">
      <c r="A64" t="s">
        <v>307</v>
      </c>
      <c r="B64">
        <v>2019</v>
      </c>
      <c r="C64" t="s">
        <v>308</v>
      </c>
      <c r="D64" t="s">
        <v>309</v>
      </c>
      <c r="E64" t="b">
        <v>1</v>
      </c>
      <c r="F64" t="s">
        <v>757</v>
      </c>
      <c r="G64" t="s">
        <v>223</v>
      </c>
      <c r="H64">
        <v>1</v>
      </c>
      <c r="I64" t="s">
        <v>160</v>
      </c>
      <c r="J64" t="s">
        <v>226</v>
      </c>
      <c r="K64" t="b">
        <v>1</v>
      </c>
    </row>
    <row r="65" spans="1:11" hidden="1" x14ac:dyDescent="0.35">
      <c r="A65" t="s">
        <v>310</v>
      </c>
      <c r="B65">
        <v>2019</v>
      </c>
      <c r="C65" t="s">
        <v>311</v>
      </c>
      <c r="D65" t="s">
        <v>758</v>
      </c>
      <c r="E65" t="b">
        <v>1</v>
      </c>
      <c r="F65" t="s">
        <v>250</v>
      </c>
      <c r="G65" t="s">
        <v>238</v>
      </c>
      <c r="H65">
        <v>0.5</v>
      </c>
      <c r="I65" t="s">
        <v>160</v>
      </c>
      <c r="J65" t="s">
        <v>224</v>
      </c>
      <c r="K65" t="b">
        <v>1</v>
      </c>
    </row>
    <row r="66" spans="1:11" hidden="1" x14ac:dyDescent="0.35">
      <c r="A66" t="s">
        <v>313</v>
      </c>
      <c r="B66">
        <v>2019</v>
      </c>
      <c r="C66" t="s">
        <v>314</v>
      </c>
      <c r="D66" t="s">
        <v>315</v>
      </c>
      <c r="E66" t="b">
        <v>1</v>
      </c>
      <c r="F66" t="s">
        <v>759</v>
      </c>
      <c r="G66" t="s">
        <v>223</v>
      </c>
      <c r="H66">
        <v>1</v>
      </c>
      <c r="I66" t="s">
        <v>160</v>
      </c>
      <c r="J66" t="s">
        <v>226</v>
      </c>
      <c r="K66" t="b">
        <v>1</v>
      </c>
    </row>
    <row r="67" spans="1:11" hidden="1" x14ac:dyDescent="0.35">
      <c r="A67" t="s">
        <v>316</v>
      </c>
      <c r="B67">
        <v>2019</v>
      </c>
      <c r="C67" t="s">
        <v>317</v>
      </c>
      <c r="D67" t="s">
        <v>760</v>
      </c>
      <c r="E67" t="b">
        <v>1</v>
      </c>
      <c r="F67" t="s">
        <v>250</v>
      </c>
      <c r="G67" t="s">
        <v>238</v>
      </c>
      <c r="H67">
        <v>0.5</v>
      </c>
      <c r="I67" t="s">
        <v>160</v>
      </c>
      <c r="J67" t="s">
        <v>224</v>
      </c>
      <c r="K67" t="b">
        <v>1</v>
      </c>
    </row>
    <row r="68" spans="1:11" hidden="1" x14ac:dyDescent="0.35">
      <c r="A68" t="s">
        <v>319</v>
      </c>
      <c r="B68">
        <v>2019</v>
      </c>
      <c r="C68" t="s">
        <v>761</v>
      </c>
      <c r="D68" t="s">
        <v>762</v>
      </c>
      <c r="E68" t="b">
        <v>1</v>
      </c>
      <c r="F68" t="s">
        <v>763</v>
      </c>
      <c r="G68" t="s">
        <v>223</v>
      </c>
      <c r="H68">
        <v>0.9</v>
      </c>
      <c r="I68" t="s">
        <v>160</v>
      </c>
      <c r="J68" t="s">
        <v>224</v>
      </c>
      <c r="K68" t="b">
        <v>1</v>
      </c>
    </row>
    <row r="69" spans="1:11" hidden="1" x14ac:dyDescent="0.35">
      <c r="A69" t="s">
        <v>322</v>
      </c>
      <c r="B69">
        <v>2019</v>
      </c>
      <c r="C69" t="s">
        <v>323</v>
      </c>
      <c r="D69" t="s">
        <v>764</v>
      </c>
      <c r="E69" t="b">
        <v>0</v>
      </c>
      <c r="F69" t="s">
        <v>765</v>
      </c>
      <c r="G69" t="s">
        <v>222</v>
      </c>
      <c r="H69">
        <v>1</v>
      </c>
      <c r="I69" t="s">
        <v>221</v>
      </c>
      <c r="J69" t="s">
        <v>715</v>
      </c>
      <c r="K69" t="b">
        <v>0</v>
      </c>
    </row>
    <row r="70" spans="1:11" ht="409.5" hidden="1" x14ac:dyDescent="0.35">
      <c r="A70" t="s">
        <v>325</v>
      </c>
      <c r="B70">
        <v>2019</v>
      </c>
      <c r="C70" t="s">
        <v>326</v>
      </c>
      <c r="D70" s="1" t="s">
        <v>327</v>
      </c>
      <c r="E70" t="b">
        <v>0</v>
      </c>
      <c r="F70" t="s">
        <v>766</v>
      </c>
      <c r="G70" t="s">
        <v>222</v>
      </c>
      <c r="H70">
        <v>1</v>
      </c>
      <c r="I70" t="s">
        <v>221</v>
      </c>
      <c r="J70" t="s">
        <v>716</v>
      </c>
      <c r="K70" t="b">
        <v>0</v>
      </c>
    </row>
    <row r="71" spans="1:11" hidden="1" x14ac:dyDescent="0.35">
      <c r="A71" t="s">
        <v>328</v>
      </c>
      <c r="B71">
        <v>2019</v>
      </c>
      <c r="C71" t="s">
        <v>767</v>
      </c>
      <c r="D71" t="s">
        <v>768</v>
      </c>
      <c r="E71" t="b">
        <v>1</v>
      </c>
      <c r="F71" t="s">
        <v>250</v>
      </c>
      <c r="G71" t="s">
        <v>238</v>
      </c>
      <c r="H71">
        <v>0.5</v>
      </c>
      <c r="I71" t="s">
        <v>160</v>
      </c>
      <c r="J71" t="s">
        <v>224</v>
      </c>
      <c r="K71" t="b">
        <v>1</v>
      </c>
    </row>
    <row r="72" spans="1:11" ht="409.5" hidden="1" x14ac:dyDescent="0.35">
      <c r="A72" t="s">
        <v>331</v>
      </c>
      <c r="B72">
        <v>2019</v>
      </c>
      <c r="C72" t="s">
        <v>332</v>
      </c>
      <c r="D72" s="1" t="s">
        <v>333</v>
      </c>
      <c r="E72" t="b">
        <v>1</v>
      </c>
      <c r="F72" t="s">
        <v>769</v>
      </c>
      <c r="G72" t="s">
        <v>223</v>
      </c>
      <c r="H72">
        <v>1</v>
      </c>
      <c r="I72" t="s">
        <v>160</v>
      </c>
      <c r="J72" t="s">
        <v>717</v>
      </c>
      <c r="K72" t="b">
        <v>1</v>
      </c>
    </row>
    <row r="73" spans="1:11" hidden="1" x14ac:dyDescent="0.35">
      <c r="A73" t="s">
        <v>334</v>
      </c>
      <c r="B73">
        <v>2019</v>
      </c>
      <c r="C73" t="s">
        <v>335</v>
      </c>
      <c r="D73" t="s">
        <v>336</v>
      </c>
      <c r="E73" t="b">
        <v>0</v>
      </c>
      <c r="F73" t="s">
        <v>770</v>
      </c>
      <c r="G73" t="s">
        <v>222</v>
      </c>
      <c r="H73">
        <v>1</v>
      </c>
      <c r="I73" t="s">
        <v>221</v>
      </c>
      <c r="J73" t="s">
        <v>718</v>
      </c>
      <c r="K73" t="b">
        <v>0</v>
      </c>
    </row>
    <row r="74" spans="1:11" hidden="1" x14ac:dyDescent="0.35">
      <c r="A74" t="s">
        <v>337</v>
      </c>
      <c r="B74">
        <v>2019</v>
      </c>
      <c r="C74" t="s">
        <v>338</v>
      </c>
      <c r="D74" t="s">
        <v>339</v>
      </c>
      <c r="E74" t="b">
        <v>1</v>
      </c>
      <c r="F74" t="s">
        <v>771</v>
      </c>
      <c r="G74" t="s">
        <v>223</v>
      </c>
      <c r="H74">
        <v>1</v>
      </c>
      <c r="I74" t="s">
        <v>160</v>
      </c>
      <c r="J74" t="s">
        <v>226</v>
      </c>
      <c r="K74" t="b">
        <v>1</v>
      </c>
    </row>
    <row r="75" spans="1:11" hidden="1" x14ac:dyDescent="0.35">
      <c r="A75" t="s">
        <v>340</v>
      </c>
      <c r="B75">
        <v>2019</v>
      </c>
      <c r="C75" t="s">
        <v>341</v>
      </c>
      <c r="D75" t="s">
        <v>342</v>
      </c>
      <c r="E75" t="b">
        <v>1</v>
      </c>
      <c r="F75" t="s">
        <v>772</v>
      </c>
      <c r="G75" t="s">
        <v>223</v>
      </c>
      <c r="H75">
        <v>1</v>
      </c>
      <c r="I75" t="s">
        <v>160</v>
      </c>
      <c r="J75" t="s">
        <v>226</v>
      </c>
      <c r="K75" t="b">
        <v>1</v>
      </c>
    </row>
    <row r="76" spans="1:11" hidden="1" x14ac:dyDescent="0.35">
      <c r="A76" t="s">
        <v>343</v>
      </c>
      <c r="B76">
        <v>2019</v>
      </c>
      <c r="C76" t="s">
        <v>344</v>
      </c>
      <c r="D76" t="s">
        <v>773</v>
      </c>
      <c r="E76" t="b">
        <v>1</v>
      </c>
      <c r="F76" t="s">
        <v>774</v>
      </c>
      <c r="G76" t="s">
        <v>223</v>
      </c>
      <c r="H76">
        <v>1</v>
      </c>
      <c r="I76" t="s">
        <v>160</v>
      </c>
      <c r="J76" t="s">
        <v>226</v>
      </c>
      <c r="K76" t="b">
        <v>1</v>
      </c>
    </row>
    <row r="77" spans="1:11" hidden="1" x14ac:dyDescent="0.35">
      <c r="A77" t="s">
        <v>346</v>
      </c>
      <c r="B77">
        <v>2019</v>
      </c>
      <c r="C77" t="s">
        <v>347</v>
      </c>
      <c r="D77" t="s">
        <v>775</v>
      </c>
      <c r="E77" t="b">
        <v>1</v>
      </c>
      <c r="F77" t="s">
        <v>776</v>
      </c>
      <c r="G77" t="s">
        <v>223</v>
      </c>
      <c r="H77">
        <v>1</v>
      </c>
      <c r="I77" t="s">
        <v>160</v>
      </c>
      <c r="J77" t="s">
        <v>223</v>
      </c>
      <c r="K77" t="b">
        <v>1</v>
      </c>
    </row>
    <row r="78" spans="1:11" hidden="1" x14ac:dyDescent="0.35">
      <c r="A78" t="s">
        <v>349</v>
      </c>
      <c r="B78">
        <v>2019</v>
      </c>
      <c r="C78" t="s">
        <v>350</v>
      </c>
      <c r="D78" t="s">
        <v>777</v>
      </c>
      <c r="E78" t="b">
        <v>0</v>
      </c>
      <c r="F78" t="s">
        <v>778</v>
      </c>
      <c r="G78" t="s">
        <v>222</v>
      </c>
      <c r="H78">
        <v>1</v>
      </c>
      <c r="I78" t="s">
        <v>221</v>
      </c>
      <c r="J78" t="s">
        <v>715</v>
      </c>
      <c r="K78" t="b">
        <v>0</v>
      </c>
    </row>
    <row r="79" spans="1:11" hidden="1" x14ac:dyDescent="0.35">
      <c r="A79" t="s">
        <v>352</v>
      </c>
      <c r="B79">
        <v>2019</v>
      </c>
      <c r="C79" t="s">
        <v>353</v>
      </c>
      <c r="D79" t="s">
        <v>354</v>
      </c>
      <c r="E79" t="b">
        <v>0</v>
      </c>
      <c r="F79" t="s">
        <v>779</v>
      </c>
      <c r="G79" t="s">
        <v>222</v>
      </c>
      <c r="H79">
        <v>0.9</v>
      </c>
      <c r="I79" t="s">
        <v>221</v>
      </c>
      <c r="J79" t="s">
        <v>719</v>
      </c>
      <c r="K79" t="b">
        <v>0</v>
      </c>
    </row>
    <row r="80" spans="1:11" hidden="1" x14ac:dyDescent="0.35">
      <c r="A80" t="s">
        <v>355</v>
      </c>
      <c r="B80">
        <v>2019</v>
      </c>
      <c r="C80" t="s">
        <v>353</v>
      </c>
      <c r="D80" t="s">
        <v>357</v>
      </c>
      <c r="E80" t="b">
        <v>0</v>
      </c>
      <c r="F80" t="s">
        <v>780</v>
      </c>
      <c r="G80" t="s">
        <v>222</v>
      </c>
      <c r="H80">
        <v>1</v>
      </c>
      <c r="I80" t="s">
        <v>221</v>
      </c>
      <c r="J80" t="s">
        <v>715</v>
      </c>
      <c r="K80" t="b">
        <v>0</v>
      </c>
    </row>
    <row r="81" spans="1:11" hidden="1" x14ac:dyDescent="0.35">
      <c r="A81" t="s">
        <v>358</v>
      </c>
      <c r="B81">
        <v>2019</v>
      </c>
      <c r="C81" t="s">
        <v>359</v>
      </c>
      <c r="D81" t="s">
        <v>781</v>
      </c>
      <c r="E81" t="b">
        <v>0</v>
      </c>
      <c r="F81" t="s">
        <v>780</v>
      </c>
      <c r="G81" t="s">
        <v>222</v>
      </c>
      <c r="H81">
        <v>1</v>
      </c>
      <c r="I81" t="s">
        <v>221</v>
      </c>
      <c r="J81" t="s">
        <v>715</v>
      </c>
      <c r="K81" t="b">
        <v>0</v>
      </c>
    </row>
    <row r="82" spans="1:11" hidden="1" x14ac:dyDescent="0.35">
      <c r="A82" t="s">
        <v>361</v>
      </c>
      <c r="B82">
        <v>2019</v>
      </c>
      <c r="C82" t="s">
        <v>362</v>
      </c>
      <c r="D82" t="s">
        <v>363</v>
      </c>
      <c r="E82" t="b">
        <v>1</v>
      </c>
      <c r="F82" t="s">
        <v>782</v>
      </c>
      <c r="G82" t="s">
        <v>223</v>
      </c>
      <c r="H82">
        <v>1</v>
      </c>
      <c r="I82" t="s">
        <v>160</v>
      </c>
      <c r="J82" t="s">
        <v>223</v>
      </c>
      <c r="K82" t="b">
        <v>1</v>
      </c>
    </row>
    <row r="83" spans="1:11" hidden="1" x14ac:dyDescent="0.35">
      <c r="A83" t="s">
        <v>367</v>
      </c>
      <c r="B83">
        <v>2019</v>
      </c>
      <c r="C83" t="s">
        <v>368</v>
      </c>
      <c r="D83" t="s">
        <v>783</v>
      </c>
      <c r="E83" t="b">
        <v>1</v>
      </c>
      <c r="F83" t="s">
        <v>784</v>
      </c>
      <c r="G83" t="s">
        <v>223</v>
      </c>
      <c r="H83">
        <v>1</v>
      </c>
      <c r="I83" t="s">
        <v>160</v>
      </c>
      <c r="J83" t="s">
        <v>224</v>
      </c>
      <c r="K83" t="b">
        <v>1</v>
      </c>
    </row>
    <row r="84" spans="1:11" hidden="1" x14ac:dyDescent="0.35">
      <c r="A84" t="s">
        <v>373</v>
      </c>
      <c r="B84">
        <v>2019</v>
      </c>
      <c r="C84" t="s">
        <v>374</v>
      </c>
      <c r="D84" t="s">
        <v>785</v>
      </c>
      <c r="E84" t="b">
        <v>0</v>
      </c>
      <c r="F84" t="s">
        <v>786</v>
      </c>
      <c r="G84" t="s">
        <v>222</v>
      </c>
      <c r="H84">
        <v>0.95</v>
      </c>
      <c r="I84" t="s">
        <v>221</v>
      </c>
      <c r="J84" t="s">
        <v>231</v>
      </c>
      <c r="K84" t="b">
        <v>0</v>
      </c>
    </row>
    <row r="85" spans="1:11" x14ac:dyDescent="0.35">
      <c r="A85" t="s">
        <v>376</v>
      </c>
      <c r="B85">
        <v>2019</v>
      </c>
      <c r="C85" t="s">
        <v>377</v>
      </c>
      <c r="D85" t="s">
        <v>787</v>
      </c>
      <c r="E85" t="b">
        <v>1</v>
      </c>
      <c r="F85" t="s">
        <v>250</v>
      </c>
      <c r="G85" t="s">
        <v>238</v>
      </c>
      <c r="H85">
        <v>0.5</v>
      </c>
      <c r="I85" t="s">
        <v>221</v>
      </c>
      <c r="J85" t="s">
        <v>231</v>
      </c>
      <c r="K85" t="b">
        <v>0</v>
      </c>
    </row>
    <row r="86" spans="1:11" ht="409.5" hidden="1" x14ac:dyDescent="0.35">
      <c r="A86" t="s">
        <v>379</v>
      </c>
      <c r="B86">
        <v>2019</v>
      </c>
      <c r="C86" t="s">
        <v>380</v>
      </c>
      <c r="D86" s="1" t="s">
        <v>381</v>
      </c>
      <c r="E86" t="b">
        <v>1</v>
      </c>
      <c r="F86" t="s">
        <v>788</v>
      </c>
      <c r="G86" t="s">
        <v>223</v>
      </c>
      <c r="H86">
        <v>1</v>
      </c>
      <c r="I86" t="s">
        <v>160</v>
      </c>
      <c r="J86" t="s">
        <v>720</v>
      </c>
      <c r="K86" t="b">
        <v>1</v>
      </c>
    </row>
    <row r="87" spans="1:11" hidden="1" x14ac:dyDescent="0.35">
      <c r="A87" t="s">
        <v>382</v>
      </c>
      <c r="B87">
        <v>2019</v>
      </c>
      <c r="C87" t="s">
        <v>383</v>
      </c>
      <c r="D87" t="s">
        <v>789</v>
      </c>
      <c r="E87" t="b">
        <v>1</v>
      </c>
      <c r="F87" t="s">
        <v>250</v>
      </c>
      <c r="G87" t="s">
        <v>238</v>
      </c>
      <c r="H87">
        <v>0.5</v>
      </c>
      <c r="I87" t="s">
        <v>160</v>
      </c>
      <c r="J87" t="s">
        <v>721</v>
      </c>
      <c r="K87" t="b">
        <v>1</v>
      </c>
    </row>
    <row r="88" spans="1:11" hidden="1" x14ac:dyDescent="0.35">
      <c r="A88" t="s">
        <v>385</v>
      </c>
      <c r="B88">
        <v>2019</v>
      </c>
      <c r="C88" t="s">
        <v>386</v>
      </c>
      <c r="D88" t="s">
        <v>387</v>
      </c>
      <c r="E88" t="b">
        <v>0</v>
      </c>
      <c r="F88" t="s">
        <v>790</v>
      </c>
      <c r="G88" t="s">
        <v>222</v>
      </c>
      <c r="H88">
        <v>1</v>
      </c>
      <c r="I88" t="s">
        <v>221</v>
      </c>
      <c r="J88" t="s">
        <v>722</v>
      </c>
      <c r="K88" t="b">
        <v>0</v>
      </c>
    </row>
    <row r="89" spans="1:11" hidden="1" x14ac:dyDescent="0.35">
      <c r="A89" t="s">
        <v>388</v>
      </c>
      <c r="B89">
        <v>2019</v>
      </c>
      <c r="C89" t="s">
        <v>389</v>
      </c>
      <c r="D89" t="s">
        <v>791</v>
      </c>
      <c r="E89" t="b">
        <v>1</v>
      </c>
      <c r="F89" t="s">
        <v>792</v>
      </c>
      <c r="G89" t="s">
        <v>223</v>
      </c>
      <c r="H89">
        <v>1</v>
      </c>
      <c r="I89" t="s">
        <v>160</v>
      </c>
      <c r="J89" t="s">
        <v>720</v>
      </c>
      <c r="K89" t="b">
        <v>1</v>
      </c>
    </row>
    <row r="90" spans="1:11" hidden="1" x14ac:dyDescent="0.35">
      <c r="A90" t="s">
        <v>391</v>
      </c>
      <c r="B90">
        <v>2019</v>
      </c>
      <c r="C90" t="s">
        <v>392</v>
      </c>
      <c r="D90" t="s">
        <v>393</v>
      </c>
      <c r="E90" t="b">
        <v>1</v>
      </c>
      <c r="F90" t="s">
        <v>793</v>
      </c>
      <c r="G90" t="s">
        <v>223</v>
      </c>
      <c r="H90">
        <v>0.9</v>
      </c>
      <c r="I90" t="s">
        <v>160</v>
      </c>
      <c r="J90" t="s">
        <v>224</v>
      </c>
      <c r="K90" t="b">
        <v>1</v>
      </c>
    </row>
    <row r="91" spans="1:11" hidden="1" x14ac:dyDescent="0.35">
      <c r="A91" t="s">
        <v>394</v>
      </c>
      <c r="B91">
        <v>2019</v>
      </c>
      <c r="C91" t="s">
        <v>395</v>
      </c>
      <c r="D91" t="s">
        <v>396</v>
      </c>
      <c r="E91" t="b">
        <v>1</v>
      </c>
      <c r="F91" t="s">
        <v>794</v>
      </c>
      <c r="G91" t="s">
        <v>223</v>
      </c>
      <c r="H91">
        <v>1</v>
      </c>
      <c r="I91" t="s">
        <v>160</v>
      </c>
      <c r="J91" t="s">
        <v>223</v>
      </c>
      <c r="K91" t="b">
        <v>1</v>
      </c>
    </row>
    <row r="92" spans="1:11" hidden="1" x14ac:dyDescent="0.35">
      <c r="A92" t="s">
        <v>397</v>
      </c>
      <c r="B92">
        <v>2019</v>
      </c>
      <c r="C92" t="s">
        <v>398</v>
      </c>
      <c r="D92" t="s">
        <v>399</v>
      </c>
      <c r="E92" t="b">
        <v>1</v>
      </c>
      <c r="F92" t="s">
        <v>795</v>
      </c>
      <c r="G92" t="s">
        <v>223</v>
      </c>
      <c r="H92">
        <v>1</v>
      </c>
      <c r="I92" t="s">
        <v>160</v>
      </c>
      <c r="J92" t="s">
        <v>223</v>
      </c>
      <c r="K92" t="b">
        <v>1</v>
      </c>
    </row>
    <row r="93" spans="1:11" hidden="1" x14ac:dyDescent="0.35">
      <c r="A93" t="s">
        <v>400</v>
      </c>
      <c r="B93">
        <v>2019</v>
      </c>
      <c r="C93" t="s">
        <v>401</v>
      </c>
      <c r="D93" t="s">
        <v>402</v>
      </c>
      <c r="E93" t="b">
        <v>1</v>
      </c>
      <c r="F93" t="s">
        <v>796</v>
      </c>
      <c r="G93" t="s">
        <v>223</v>
      </c>
      <c r="H93">
        <v>1</v>
      </c>
      <c r="I93" t="s">
        <v>160</v>
      </c>
      <c r="J93" t="s">
        <v>721</v>
      </c>
      <c r="K93" t="b">
        <v>1</v>
      </c>
    </row>
    <row r="94" spans="1:11" hidden="1" x14ac:dyDescent="0.35">
      <c r="A94" t="s">
        <v>403</v>
      </c>
      <c r="B94">
        <v>2019</v>
      </c>
      <c r="C94" t="s">
        <v>404</v>
      </c>
      <c r="D94" t="s">
        <v>797</v>
      </c>
      <c r="E94" t="b">
        <v>1</v>
      </c>
      <c r="F94" t="s">
        <v>250</v>
      </c>
      <c r="G94" t="s">
        <v>238</v>
      </c>
      <c r="H94">
        <v>0.5</v>
      </c>
      <c r="I94" t="s">
        <v>160</v>
      </c>
      <c r="J94" t="s">
        <v>224</v>
      </c>
      <c r="K94" t="b">
        <v>1</v>
      </c>
    </row>
    <row r="95" spans="1:11" hidden="1" x14ac:dyDescent="0.35">
      <c r="A95" t="s">
        <v>406</v>
      </c>
      <c r="B95">
        <v>2019</v>
      </c>
      <c r="C95" t="s">
        <v>407</v>
      </c>
      <c r="D95" t="s">
        <v>408</v>
      </c>
      <c r="E95" t="b">
        <v>0</v>
      </c>
      <c r="F95" t="s">
        <v>798</v>
      </c>
      <c r="G95" t="s">
        <v>222</v>
      </c>
      <c r="H95">
        <v>1</v>
      </c>
      <c r="I95" t="s">
        <v>221</v>
      </c>
      <c r="J95" t="s">
        <v>723</v>
      </c>
      <c r="K95" t="b">
        <v>0</v>
      </c>
    </row>
    <row r="96" spans="1:11" hidden="1" x14ac:dyDescent="0.35">
      <c r="A96" t="s">
        <v>409</v>
      </c>
      <c r="B96">
        <v>2019</v>
      </c>
      <c r="C96" t="s">
        <v>410</v>
      </c>
      <c r="D96" t="s">
        <v>799</v>
      </c>
      <c r="E96" t="b">
        <v>0</v>
      </c>
      <c r="F96" t="s">
        <v>800</v>
      </c>
      <c r="G96" t="s">
        <v>222</v>
      </c>
      <c r="H96">
        <v>1</v>
      </c>
      <c r="I96" t="s">
        <v>221</v>
      </c>
      <c r="J96" t="s">
        <v>231</v>
      </c>
      <c r="K96" t="b">
        <v>0</v>
      </c>
    </row>
    <row r="97" spans="1:11" hidden="1" x14ac:dyDescent="0.35">
      <c r="A97" t="s">
        <v>412</v>
      </c>
      <c r="B97">
        <v>2019</v>
      </c>
      <c r="C97" t="s">
        <v>413</v>
      </c>
      <c r="D97" t="s">
        <v>801</v>
      </c>
      <c r="E97" t="b">
        <v>1</v>
      </c>
      <c r="F97" t="s">
        <v>802</v>
      </c>
      <c r="G97" t="s">
        <v>223</v>
      </c>
      <c r="H97">
        <v>1</v>
      </c>
      <c r="I97" t="s">
        <v>160</v>
      </c>
      <c r="J97" t="s">
        <v>223</v>
      </c>
      <c r="K97" t="b">
        <v>1</v>
      </c>
    </row>
    <row r="98" spans="1:11" hidden="1" x14ac:dyDescent="0.35">
      <c r="A98" t="s">
        <v>415</v>
      </c>
      <c r="B98">
        <v>2019</v>
      </c>
      <c r="C98" t="s">
        <v>416</v>
      </c>
      <c r="D98" t="s">
        <v>803</v>
      </c>
      <c r="E98" t="b">
        <v>1</v>
      </c>
      <c r="F98" t="s">
        <v>250</v>
      </c>
      <c r="G98" t="s">
        <v>238</v>
      </c>
      <c r="H98">
        <v>0.5</v>
      </c>
      <c r="I98" t="s">
        <v>160</v>
      </c>
      <c r="J98" t="s">
        <v>224</v>
      </c>
      <c r="K98" t="b">
        <v>1</v>
      </c>
    </row>
    <row r="99" spans="1:11" hidden="1" x14ac:dyDescent="0.35">
      <c r="A99" t="s">
        <v>418</v>
      </c>
      <c r="B99">
        <v>2021</v>
      </c>
      <c r="C99" t="s">
        <v>419</v>
      </c>
      <c r="D99" t="s">
        <v>804</v>
      </c>
      <c r="E99" t="b">
        <v>1</v>
      </c>
      <c r="F99" t="s">
        <v>805</v>
      </c>
      <c r="G99" t="s">
        <v>223</v>
      </c>
      <c r="H99">
        <v>0.9</v>
      </c>
      <c r="I99" t="s">
        <v>160</v>
      </c>
      <c r="J99" t="s">
        <v>724</v>
      </c>
      <c r="K99" t="b">
        <v>1</v>
      </c>
    </row>
    <row r="100" spans="1:11" hidden="1" x14ac:dyDescent="0.35">
      <c r="A100" t="s">
        <v>421</v>
      </c>
      <c r="B100">
        <v>2021</v>
      </c>
      <c r="C100" t="s">
        <v>422</v>
      </c>
      <c r="D100" t="s">
        <v>806</v>
      </c>
      <c r="E100" t="b">
        <v>0</v>
      </c>
      <c r="F100" t="s">
        <v>807</v>
      </c>
      <c r="G100" t="s">
        <v>222</v>
      </c>
      <c r="H100">
        <v>1</v>
      </c>
      <c r="I100" t="s">
        <v>221</v>
      </c>
      <c r="J100" t="s">
        <v>231</v>
      </c>
      <c r="K100" t="b">
        <v>0</v>
      </c>
    </row>
    <row r="101" spans="1:11" hidden="1" x14ac:dyDescent="0.35">
      <c r="A101" t="s">
        <v>424</v>
      </c>
      <c r="B101">
        <v>2021</v>
      </c>
      <c r="C101" t="s">
        <v>425</v>
      </c>
      <c r="D101" t="s">
        <v>426</v>
      </c>
      <c r="E101" t="b">
        <v>1</v>
      </c>
      <c r="F101" t="s">
        <v>808</v>
      </c>
      <c r="G101" t="s">
        <v>223</v>
      </c>
      <c r="H101">
        <v>1</v>
      </c>
      <c r="I101" t="s">
        <v>160</v>
      </c>
      <c r="J101" t="s">
        <v>223</v>
      </c>
      <c r="K101" t="b">
        <v>1</v>
      </c>
    </row>
    <row r="102" spans="1:11" hidden="1" x14ac:dyDescent="0.35">
      <c r="A102" t="s">
        <v>427</v>
      </c>
      <c r="B102">
        <v>2021</v>
      </c>
      <c r="C102" t="s">
        <v>809</v>
      </c>
      <c r="D102" t="s">
        <v>810</v>
      </c>
      <c r="E102" t="b">
        <v>1</v>
      </c>
      <c r="F102" t="s">
        <v>250</v>
      </c>
      <c r="G102" t="s">
        <v>238</v>
      </c>
      <c r="H102">
        <v>0.5</v>
      </c>
      <c r="I102" t="s">
        <v>160</v>
      </c>
      <c r="J102" t="s">
        <v>223</v>
      </c>
      <c r="K102" t="b">
        <v>1</v>
      </c>
    </row>
    <row r="103" spans="1:11" x14ac:dyDescent="0.35">
      <c r="A103" t="s">
        <v>430</v>
      </c>
      <c r="B103">
        <v>2021</v>
      </c>
      <c r="C103" t="s">
        <v>431</v>
      </c>
      <c r="D103" t="s">
        <v>811</v>
      </c>
      <c r="E103" t="b">
        <v>1</v>
      </c>
      <c r="F103" t="s">
        <v>250</v>
      </c>
      <c r="G103" t="s">
        <v>238</v>
      </c>
      <c r="H103">
        <v>0.5</v>
      </c>
      <c r="I103" t="s">
        <v>221</v>
      </c>
      <c r="J103" t="s">
        <v>227</v>
      </c>
      <c r="K103" t="b">
        <v>0</v>
      </c>
    </row>
    <row r="104" spans="1:11" x14ac:dyDescent="0.35">
      <c r="A104" t="s">
        <v>433</v>
      </c>
      <c r="B104">
        <v>2021</v>
      </c>
      <c r="C104" t="s">
        <v>812</v>
      </c>
      <c r="D104" t="s">
        <v>813</v>
      </c>
      <c r="E104" t="b">
        <v>1</v>
      </c>
      <c r="F104" t="s">
        <v>250</v>
      </c>
      <c r="G104" t="s">
        <v>238</v>
      </c>
      <c r="H104">
        <v>0.5</v>
      </c>
      <c r="I104" t="s">
        <v>221</v>
      </c>
      <c r="J104" t="s">
        <v>231</v>
      </c>
      <c r="K104" t="b">
        <v>0</v>
      </c>
    </row>
    <row r="105" spans="1:11" hidden="1" x14ac:dyDescent="0.35">
      <c r="A105" t="s">
        <v>436</v>
      </c>
      <c r="B105">
        <v>2021</v>
      </c>
      <c r="C105" t="s">
        <v>437</v>
      </c>
      <c r="D105" t="s">
        <v>438</v>
      </c>
      <c r="E105" t="b">
        <v>1</v>
      </c>
      <c r="F105" t="s">
        <v>814</v>
      </c>
      <c r="G105" t="s">
        <v>223</v>
      </c>
      <c r="H105">
        <v>1</v>
      </c>
      <c r="I105" t="s">
        <v>160</v>
      </c>
      <c r="J105" t="s">
        <v>725</v>
      </c>
      <c r="K105" t="b">
        <v>1</v>
      </c>
    </row>
    <row r="106" spans="1:11" hidden="1" x14ac:dyDescent="0.35">
      <c r="A106" t="s">
        <v>439</v>
      </c>
      <c r="B106">
        <v>2021</v>
      </c>
      <c r="C106" t="s">
        <v>440</v>
      </c>
      <c r="D106" t="s">
        <v>815</v>
      </c>
      <c r="E106" t="b">
        <v>0</v>
      </c>
      <c r="F106" t="s">
        <v>816</v>
      </c>
      <c r="G106" t="s">
        <v>222</v>
      </c>
      <c r="H106">
        <v>1</v>
      </c>
      <c r="I106" t="s">
        <v>221</v>
      </c>
      <c r="J106" t="s">
        <v>726</v>
      </c>
      <c r="K106" t="b">
        <v>0</v>
      </c>
    </row>
    <row r="107" spans="1:11" hidden="1" x14ac:dyDescent="0.35">
      <c r="A107" t="s">
        <v>442</v>
      </c>
      <c r="B107">
        <v>2021</v>
      </c>
      <c r="C107" t="s">
        <v>443</v>
      </c>
      <c r="D107" t="s">
        <v>817</v>
      </c>
      <c r="E107" t="b">
        <v>0</v>
      </c>
      <c r="F107" t="s">
        <v>818</v>
      </c>
      <c r="G107" t="s">
        <v>222</v>
      </c>
      <c r="H107">
        <v>1</v>
      </c>
      <c r="I107" t="s">
        <v>221</v>
      </c>
      <c r="J107" t="s">
        <v>726</v>
      </c>
      <c r="K107" t="b">
        <v>0</v>
      </c>
    </row>
    <row r="108" spans="1:11" hidden="1" x14ac:dyDescent="0.35">
      <c r="A108" t="s">
        <v>445</v>
      </c>
      <c r="B108">
        <v>2021</v>
      </c>
      <c r="C108" t="s">
        <v>446</v>
      </c>
      <c r="D108" t="s">
        <v>819</v>
      </c>
      <c r="E108" t="b">
        <v>0</v>
      </c>
      <c r="F108" t="s">
        <v>820</v>
      </c>
      <c r="G108" t="s">
        <v>222</v>
      </c>
      <c r="H108">
        <v>1</v>
      </c>
      <c r="I108" t="s">
        <v>221</v>
      </c>
      <c r="J108" t="s">
        <v>726</v>
      </c>
      <c r="K108" t="b">
        <v>0</v>
      </c>
    </row>
    <row r="109" spans="1:11" hidden="1" x14ac:dyDescent="0.35">
      <c r="A109" t="s">
        <v>448</v>
      </c>
      <c r="B109">
        <v>2021</v>
      </c>
      <c r="C109" t="s">
        <v>449</v>
      </c>
      <c r="D109" t="s">
        <v>821</v>
      </c>
      <c r="E109" t="b">
        <v>1</v>
      </c>
      <c r="F109" t="s">
        <v>822</v>
      </c>
      <c r="G109" t="s">
        <v>223</v>
      </c>
      <c r="H109">
        <v>1</v>
      </c>
      <c r="I109" t="s">
        <v>160</v>
      </c>
      <c r="J109" t="s">
        <v>725</v>
      </c>
      <c r="K109" t="b">
        <v>1</v>
      </c>
    </row>
    <row r="110" spans="1:11" hidden="1" x14ac:dyDescent="0.35">
      <c r="A110" t="s">
        <v>451</v>
      </c>
      <c r="B110">
        <v>2021</v>
      </c>
      <c r="C110" t="s">
        <v>452</v>
      </c>
      <c r="D110" t="s">
        <v>823</v>
      </c>
      <c r="E110" t="b">
        <v>1</v>
      </c>
      <c r="F110" t="s">
        <v>250</v>
      </c>
      <c r="G110" t="s">
        <v>238</v>
      </c>
      <c r="H110">
        <v>0.5</v>
      </c>
      <c r="I110" t="s">
        <v>160</v>
      </c>
      <c r="J110" t="s">
        <v>224</v>
      </c>
      <c r="K110" t="b">
        <v>1</v>
      </c>
    </row>
    <row r="111" spans="1:11" hidden="1" x14ac:dyDescent="0.35">
      <c r="A111" t="s">
        <v>454</v>
      </c>
      <c r="B111">
        <v>2021</v>
      </c>
      <c r="C111" t="s">
        <v>455</v>
      </c>
      <c r="D111" t="s">
        <v>824</v>
      </c>
      <c r="E111" t="b">
        <v>1</v>
      </c>
      <c r="F111" t="s">
        <v>825</v>
      </c>
      <c r="G111" t="s">
        <v>223</v>
      </c>
      <c r="H111">
        <v>1</v>
      </c>
      <c r="I111" t="s">
        <v>160</v>
      </c>
      <c r="J111" t="s">
        <v>725</v>
      </c>
      <c r="K111" t="b">
        <v>1</v>
      </c>
    </row>
    <row r="112" spans="1:11" hidden="1" x14ac:dyDescent="0.35">
      <c r="A112" t="s">
        <v>457</v>
      </c>
      <c r="B112">
        <v>2021</v>
      </c>
      <c r="C112" t="s">
        <v>458</v>
      </c>
      <c r="D112" t="s">
        <v>826</v>
      </c>
      <c r="E112" t="b">
        <v>1</v>
      </c>
      <c r="F112" t="s">
        <v>827</v>
      </c>
      <c r="G112" t="s">
        <v>223</v>
      </c>
      <c r="H112">
        <v>0.95</v>
      </c>
      <c r="I112" t="s">
        <v>160</v>
      </c>
      <c r="J112" t="s">
        <v>223</v>
      </c>
      <c r="K112" t="b">
        <v>1</v>
      </c>
    </row>
    <row r="113" spans="1:11" hidden="1" x14ac:dyDescent="0.35">
      <c r="A113" t="s">
        <v>460</v>
      </c>
      <c r="B113">
        <v>2021</v>
      </c>
      <c r="C113" t="s">
        <v>461</v>
      </c>
      <c r="D113" t="s">
        <v>828</v>
      </c>
      <c r="E113" t="b">
        <v>1</v>
      </c>
      <c r="F113" t="s">
        <v>829</v>
      </c>
      <c r="G113" t="s">
        <v>223</v>
      </c>
      <c r="H113">
        <v>1</v>
      </c>
      <c r="I113" t="s">
        <v>160</v>
      </c>
      <c r="J113" t="s">
        <v>725</v>
      </c>
      <c r="K113" t="b">
        <v>1</v>
      </c>
    </row>
    <row r="114" spans="1:11" hidden="1" x14ac:dyDescent="0.35">
      <c r="A114" t="s">
        <v>463</v>
      </c>
      <c r="B114">
        <v>2021</v>
      </c>
      <c r="C114" t="s">
        <v>464</v>
      </c>
      <c r="D114" t="s">
        <v>830</v>
      </c>
      <c r="E114" t="b">
        <v>1</v>
      </c>
      <c r="F114" t="s">
        <v>831</v>
      </c>
      <c r="G114" t="s">
        <v>223</v>
      </c>
      <c r="H114">
        <v>1</v>
      </c>
      <c r="I114" t="s">
        <v>160</v>
      </c>
      <c r="J114" t="s">
        <v>223</v>
      </c>
      <c r="K114" t="b">
        <v>1</v>
      </c>
    </row>
    <row r="115" spans="1:11" hidden="1" x14ac:dyDescent="0.35">
      <c r="A115" t="s">
        <v>466</v>
      </c>
      <c r="B115">
        <v>2021</v>
      </c>
      <c r="C115" t="s">
        <v>467</v>
      </c>
      <c r="D115" t="s">
        <v>832</v>
      </c>
      <c r="E115" t="b">
        <v>1</v>
      </c>
      <c r="F115" t="s">
        <v>833</v>
      </c>
      <c r="G115" t="s">
        <v>223</v>
      </c>
      <c r="H115">
        <v>1</v>
      </c>
      <c r="I115" t="s">
        <v>160</v>
      </c>
      <c r="J115" t="s">
        <v>727</v>
      </c>
      <c r="K115" t="b">
        <v>1</v>
      </c>
    </row>
    <row r="116" spans="1:11" hidden="1" x14ac:dyDescent="0.35">
      <c r="A116" t="s">
        <v>469</v>
      </c>
      <c r="B116">
        <v>2021</v>
      </c>
      <c r="C116" t="s">
        <v>470</v>
      </c>
      <c r="D116" t="s">
        <v>834</v>
      </c>
      <c r="E116" t="b">
        <v>1</v>
      </c>
      <c r="F116" t="s">
        <v>835</v>
      </c>
      <c r="G116" t="s">
        <v>223</v>
      </c>
      <c r="H116">
        <v>0.9</v>
      </c>
      <c r="I116" t="s">
        <v>160</v>
      </c>
      <c r="J116" t="s">
        <v>223</v>
      </c>
      <c r="K116" t="b">
        <v>1</v>
      </c>
    </row>
    <row r="117" spans="1:11" hidden="1" x14ac:dyDescent="0.35">
      <c r="A117" t="s">
        <v>472</v>
      </c>
      <c r="B117">
        <v>2021</v>
      </c>
      <c r="C117" t="s">
        <v>473</v>
      </c>
      <c r="D117" t="s">
        <v>836</v>
      </c>
      <c r="E117" t="b">
        <v>1</v>
      </c>
      <c r="F117" t="s">
        <v>837</v>
      </c>
      <c r="G117" t="s">
        <v>223</v>
      </c>
      <c r="H117">
        <v>1</v>
      </c>
      <c r="I117" t="s">
        <v>160</v>
      </c>
      <c r="J117" t="s">
        <v>721</v>
      </c>
      <c r="K117" t="b">
        <v>1</v>
      </c>
    </row>
    <row r="118" spans="1:11" x14ac:dyDescent="0.35">
      <c r="A118" t="s">
        <v>475</v>
      </c>
      <c r="B118">
        <v>2021</v>
      </c>
      <c r="C118" t="s">
        <v>476</v>
      </c>
      <c r="D118" t="s">
        <v>838</v>
      </c>
      <c r="E118" t="b">
        <v>1</v>
      </c>
      <c r="F118" t="s">
        <v>250</v>
      </c>
      <c r="G118" t="s">
        <v>238</v>
      </c>
      <c r="H118">
        <v>0.5</v>
      </c>
      <c r="I118" t="s">
        <v>221</v>
      </c>
      <c r="J118" t="s">
        <v>728</v>
      </c>
      <c r="K118" t="b">
        <v>0</v>
      </c>
    </row>
    <row r="119" spans="1:11" ht="409.5" hidden="1" x14ac:dyDescent="0.35">
      <c r="A119" t="s">
        <v>478</v>
      </c>
      <c r="B119">
        <v>2021</v>
      </c>
      <c r="C119" t="s">
        <v>479</v>
      </c>
      <c r="D119" s="1" t="s">
        <v>480</v>
      </c>
      <c r="E119" t="b">
        <v>1</v>
      </c>
      <c r="F119" t="s">
        <v>839</v>
      </c>
      <c r="G119" t="s">
        <v>223</v>
      </c>
      <c r="H119">
        <v>1</v>
      </c>
      <c r="I119" t="s">
        <v>160</v>
      </c>
      <c r="J119" t="s">
        <v>725</v>
      </c>
      <c r="K119" t="b">
        <v>1</v>
      </c>
    </row>
    <row r="120" spans="1:11" hidden="1" x14ac:dyDescent="0.35">
      <c r="A120" t="s">
        <v>481</v>
      </c>
      <c r="B120">
        <v>2021</v>
      </c>
      <c r="C120" t="s">
        <v>482</v>
      </c>
      <c r="D120" t="s">
        <v>483</v>
      </c>
      <c r="E120" t="b">
        <v>1</v>
      </c>
      <c r="F120" t="s">
        <v>840</v>
      </c>
      <c r="G120" t="s">
        <v>223</v>
      </c>
      <c r="H120">
        <v>0.9</v>
      </c>
      <c r="I120" t="s">
        <v>160</v>
      </c>
      <c r="J120" t="s">
        <v>729</v>
      </c>
      <c r="K120" t="b">
        <v>1</v>
      </c>
    </row>
    <row r="121" spans="1:11" hidden="1" x14ac:dyDescent="0.35">
      <c r="A121" t="s">
        <v>484</v>
      </c>
      <c r="B121">
        <v>2021</v>
      </c>
      <c r="C121" t="s">
        <v>485</v>
      </c>
      <c r="D121" t="s">
        <v>841</v>
      </c>
      <c r="E121" t="b">
        <v>1</v>
      </c>
      <c r="F121" t="s">
        <v>842</v>
      </c>
      <c r="G121" t="s">
        <v>223</v>
      </c>
      <c r="H121">
        <v>1</v>
      </c>
      <c r="I121" t="s">
        <v>160</v>
      </c>
      <c r="J121" t="s">
        <v>729</v>
      </c>
      <c r="K121" t="b">
        <v>1</v>
      </c>
    </row>
    <row r="122" spans="1:11" hidden="1" x14ac:dyDescent="0.35">
      <c r="A122" t="s">
        <v>487</v>
      </c>
      <c r="B122">
        <v>2021</v>
      </c>
      <c r="C122" t="s">
        <v>488</v>
      </c>
      <c r="D122" t="s">
        <v>843</v>
      </c>
      <c r="E122" t="b">
        <v>1</v>
      </c>
      <c r="F122" t="s">
        <v>250</v>
      </c>
      <c r="G122" t="s">
        <v>238</v>
      </c>
      <c r="H122">
        <v>0.5</v>
      </c>
      <c r="I122" t="s">
        <v>160</v>
      </c>
      <c r="J122" t="s">
        <v>224</v>
      </c>
      <c r="K122" t="b">
        <v>1</v>
      </c>
    </row>
    <row r="123" spans="1:11" x14ac:dyDescent="0.35">
      <c r="A123" t="s">
        <v>490</v>
      </c>
      <c r="B123">
        <v>2021</v>
      </c>
      <c r="C123" t="s">
        <v>491</v>
      </c>
      <c r="D123" t="s">
        <v>844</v>
      </c>
      <c r="E123" t="b">
        <v>1</v>
      </c>
      <c r="F123" t="s">
        <v>250</v>
      </c>
      <c r="G123" t="s">
        <v>238</v>
      </c>
      <c r="H123">
        <v>0.5</v>
      </c>
      <c r="I123" t="s">
        <v>221</v>
      </c>
      <c r="J123" t="s">
        <v>728</v>
      </c>
      <c r="K123" t="b">
        <v>0</v>
      </c>
    </row>
    <row r="124" spans="1:11" hidden="1" x14ac:dyDescent="0.35">
      <c r="A124" t="s">
        <v>493</v>
      </c>
      <c r="B124">
        <v>2021</v>
      </c>
      <c r="C124" t="s">
        <v>494</v>
      </c>
      <c r="D124" t="s">
        <v>845</v>
      </c>
      <c r="E124" t="b">
        <v>1</v>
      </c>
      <c r="F124" t="s">
        <v>846</v>
      </c>
      <c r="G124" t="s">
        <v>223</v>
      </c>
      <c r="H124">
        <v>1</v>
      </c>
      <c r="I124" t="s">
        <v>160</v>
      </c>
      <c r="J124" t="s">
        <v>223</v>
      </c>
      <c r="K124" t="b">
        <v>1</v>
      </c>
    </row>
    <row r="125" spans="1:11" hidden="1" x14ac:dyDescent="0.35">
      <c r="A125" t="s">
        <v>496</v>
      </c>
      <c r="B125">
        <v>2021</v>
      </c>
      <c r="C125" t="s">
        <v>497</v>
      </c>
      <c r="D125" t="s">
        <v>498</v>
      </c>
      <c r="E125" t="b">
        <v>1</v>
      </c>
      <c r="F125" t="s">
        <v>847</v>
      </c>
      <c r="G125" t="s">
        <v>223</v>
      </c>
      <c r="H125">
        <v>1</v>
      </c>
      <c r="I125" t="s">
        <v>160</v>
      </c>
      <c r="J125" t="s">
        <v>223</v>
      </c>
      <c r="K125" t="b">
        <v>1</v>
      </c>
    </row>
    <row r="126" spans="1:11" hidden="1" x14ac:dyDescent="0.35">
      <c r="A126" t="s">
        <v>499</v>
      </c>
      <c r="B126">
        <v>2021</v>
      </c>
      <c r="C126" t="s">
        <v>848</v>
      </c>
      <c r="D126" t="s">
        <v>849</v>
      </c>
      <c r="E126" t="b">
        <v>1</v>
      </c>
      <c r="F126" t="s">
        <v>250</v>
      </c>
      <c r="G126" t="s">
        <v>238</v>
      </c>
      <c r="H126">
        <v>0.5</v>
      </c>
      <c r="I126" t="s">
        <v>160</v>
      </c>
      <c r="J126" t="s">
        <v>224</v>
      </c>
      <c r="K126" t="b">
        <v>1</v>
      </c>
    </row>
    <row r="127" spans="1:11" hidden="1" x14ac:dyDescent="0.35">
      <c r="A127" t="s">
        <v>502</v>
      </c>
      <c r="B127">
        <v>2021</v>
      </c>
      <c r="C127" t="s">
        <v>850</v>
      </c>
      <c r="D127" t="s">
        <v>851</v>
      </c>
      <c r="E127" t="b">
        <v>1</v>
      </c>
      <c r="F127" t="s">
        <v>852</v>
      </c>
      <c r="G127" t="s">
        <v>223</v>
      </c>
      <c r="H127">
        <v>0.9</v>
      </c>
      <c r="I127" t="s">
        <v>160</v>
      </c>
      <c r="J127" t="s">
        <v>224</v>
      </c>
      <c r="K127" t="b">
        <v>1</v>
      </c>
    </row>
    <row r="128" spans="1:11" hidden="1" x14ac:dyDescent="0.35">
      <c r="A128" t="s">
        <v>505</v>
      </c>
      <c r="B128">
        <v>2021</v>
      </c>
      <c r="C128" t="s">
        <v>506</v>
      </c>
      <c r="D128" t="s">
        <v>853</v>
      </c>
      <c r="E128" t="b">
        <v>0</v>
      </c>
      <c r="F128" t="s">
        <v>247</v>
      </c>
      <c r="G128" t="s">
        <v>222</v>
      </c>
      <c r="H128">
        <v>1</v>
      </c>
      <c r="I128" t="s">
        <v>221</v>
      </c>
      <c r="J128" t="s">
        <v>715</v>
      </c>
      <c r="K128" t="b">
        <v>0</v>
      </c>
    </row>
    <row r="129" spans="1:11" hidden="1" x14ac:dyDescent="0.35">
      <c r="A129" t="s">
        <v>508</v>
      </c>
      <c r="B129">
        <v>2021</v>
      </c>
      <c r="C129" t="s">
        <v>509</v>
      </c>
      <c r="D129" t="s">
        <v>854</v>
      </c>
      <c r="E129" t="b">
        <v>0</v>
      </c>
      <c r="F129" t="s">
        <v>247</v>
      </c>
      <c r="G129" t="s">
        <v>222</v>
      </c>
      <c r="H129">
        <v>1</v>
      </c>
      <c r="I129" t="s">
        <v>221</v>
      </c>
      <c r="J129" t="s">
        <v>715</v>
      </c>
      <c r="K129" t="b">
        <v>0</v>
      </c>
    </row>
    <row r="130" spans="1:11" hidden="1" x14ac:dyDescent="0.35">
      <c r="A130" t="s">
        <v>511</v>
      </c>
      <c r="B130">
        <v>2021</v>
      </c>
      <c r="C130" t="s">
        <v>512</v>
      </c>
      <c r="D130" t="s">
        <v>855</v>
      </c>
      <c r="E130" t="b">
        <v>1</v>
      </c>
      <c r="F130" t="s">
        <v>250</v>
      </c>
      <c r="G130" t="s">
        <v>238</v>
      </c>
      <c r="H130">
        <v>0.6</v>
      </c>
      <c r="I130" t="s">
        <v>160</v>
      </c>
      <c r="J130" t="s">
        <v>730</v>
      </c>
      <c r="K130" t="b">
        <v>1</v>
      </c>
    </row>
    <row r="131" spans="1:11" hidden="1" x14ac:dyDescent="0.35">
      <c r="A131" t="s">
        <v>514</v>
      </c>
      <c r="B131">
        <v>2021</v>
      </c>
      <c r="C131" t="s">
        <v>515</v>
      </c>
      <c r="D131" t="s">
        <v>516</v>
      </c>
      <c r="E131" t="b">
        <v>1</v>
      </c>
      <c r="F131" t="s">
        <v>856</v>
      </c>
      <c r="G131" t="s">
        <v>223</v>
      </c>
      <c r="H131">
        <v>0.9</v>
      </c>
      <c r="I131" t="s">
        <v>160</v>
      </c>
      <c r="J131" t="s">
        <v>717</v>
      </c>
      <c r="K131" t="b">
        <v>1</v>
      </c>
    </row>
    <row r="132" spans="1:11" ht="409.5" hidden="1" x14ac:dyDescent="0.35">
      <c r="A132" t="s">
        <v>517</v>
      </c>
      <c r="B132">
        <v>2021</v>
      </c>
      <c r="C132" t="s">
        <v>518</v>
      </c>
      <c r="D132" s="1" t="s">
        <v>519</v>
      </c>
      <c r="E132" t="b">
        <v>1</v>
      </c>
      <c r="F132" t="s">
        <v>857</v>
      </c>
      <c r="G132" t="s">
        <v>223</v>
      </c>
      <c r="H132">
        <v>1</v>
      </c>
      <c r="I132" t="s">
        <v>160</v>
      </c>
      <c r="J132" t="s">
        <v>223</v>
      </c>
      <c r="K132" t="b">
        <v>1</v>
      </c>
    </row>
    <row r="133" spans="1:11" hidden="1" x14ac:dyDescent="0.35">
      <c r="A133" t="s">
        <v>520</v>
      </c>
      <c r="B133">
        <v>2021</v>
      </c>
      <c r="C133" t="s">
        <v>521</v>
      </c>
      <c r="D133" t="s">
        <v>858</v>
      </c>
      <c r="E133" t="b">
        <v>1</v>
      </c>
      <c r="F133" t="s">
        <v>859</v>
      </c>
      <c r="G133" t="s">
        <v>223</v>
      </c>
      <c r="H133">
        <v>1</v>
      </c>
      <c r="I133" t="s">
        <v>160</v>
      </c>
      <c r="J133" t="s">
        <v>223</v>
      </c>
      <c r="K133" t="b">
        <v>1</v>
      </c>
    </row>
    <row r="134" spans="1:11" x14ac:dyDescent="0.35">
      <c r="A134" t="s">
        <v>523</v>
      </c>
      <c r="B134">
        <v>2021</v>
      </c>
      <c r="C134" t="s">
        <v>860</v>
      </c>
      <c r="D134" t="s">
        <v>861</v>
      </c>
      <c r="E134" t="b">
        <v>1</v>
      </c>
      <c r="F134" t="s">
        <v>250</v>
      </c>
      <c r="G134" t="s">
        <v>238</v>
      </c>
      <c r="H134">
        <v>0.5</v>
      </c>
      <c r="I134" t="s">
        <v>221</v>
      </c>
      <c r="J134" t="s">
        <v>231</v>
      </c>
      <c r="K134" t="b">
        <v>0</v>
      </c>
    </row>
    <row r="135" spans="1:11" hidden="1" x14ac:dyDescent="0.35">
      <c r="A135" t="s">
        <v>526</v>
      </c>
      <c r="B135">
        <v>2021</v>
      </c>
      <c r="C135" t="s">
        <v>527</v>
      </c>
      <c r="D135" t="s">
        <v>528</v>
      </c>
      <c r="E135" t="b">
        <v>1</v>
      </c>
      <c r="F135" t="s">
        <v>862</v>
      </c>
      <c r="G135" t="s">
        <v>223</v>
      </c>
      <c r="H135">
        <v>1</v>
      </c>
      <c r="I135" t="s">
        <v>160</v>
      </c>
      <c r="J135" t="s">
        <v>223</v>
      </c>
      <c r="K135" t="b">
        <v>1</v>
      </c>
    </row>
    <row r="136" spans="1:11" x14ac:dyDescent="0.35">
      <c r="A136" t="s">
        <v>529</v>
      </c>
      <c r="B136">
        <v>2021</v>
      </c>
      <c r="C136" t="s">
        <v>863</v>
      </c>
      <c r="D136" t="s">
        <v>864</v>
      </c>
      <c r="E136" t="b">
        <v>1</v>
      </c>
      <c r="F136" t="s">
        <v>250</v>
      </c>
      <c r="G136" t="s">
        <v>238</v>
      </c>
      <c r="H136">
        <v>0.5</v>
      </c>
      <c r="I136" t="s">
        <v>221</v>
      </c>
      <c r="J136" t="s">
        <v>231</v>
      </c>
      <c r="K136" t="b">
        <v>0</v>
      </c>
    </row>
    <row r="137" spans="1:11" x14ac:dyDescent="0.35">
      <c r="A137" t="s">
        <v>532</v>
      </c>
      <c r="B137">
        <v>2021</v>
      </c>
      <c r="C137" t="s">
        <v>533</v>
      </c>
      <c r="D137" t="s">
        <v>865</v>
      </c>
      <c r="E137" t="b">
        <v>1</v>
      </c>
      <c r="F137" t="s">
        <v>866</v>
      </c>
      <c r="G137" t="s">
        <v>223</v>
      </c>
      <c r="H137">
        <v>0.9</v>
      </c>
      <c r="I137" t="s">
        <v>221</v>
      </c>
      <c r="J137" t="s">
        <v>231</v>
      </c>
      <c r="K137" t="b">
        <v>0</v>
      </c>
    </row>
    <row r="138" spans="1:11" hidden="1" x14ac:dyDescent="0.35">
      <c r="A138" t="s">
        <v>535</v>
      </c>
      <c r="B138">
        <v>2021</v>
      </c>
      <c r="C138" t="s">
        <v>536</v>
      </c>
      <c r="D138" t="s">
        <v>537</v>
      </c>
      <c r="E138" t="b">
        <v>1</v>
      </c>
      <c r="F138" t="s">
        <v>867</v>
      </c>
      <c r="G138" t="s">
        <v>223</v>
      </c>
      <c r="H138">
        <v>1</v>
      </c>
      <c r="I138" t="s">
        <v>160</v>
      </c>
      <c r="J138" t="s">
        <v>725</v>
      </c>
      <c r="K138" t="b">
        <v>1</v>
      </c>
    </row>
    <row r="139" spans="1:11" x14ac:dyDescent="0.35">
      <c r="A139" t="s">
        <v>538</v>
      </c>
      <c r="B139">
        <v>2021</v>
      </c>
      <c r="C139" t="s">
        <v>539</v>
      </c>
      <c r="D139" t="s">
        <v>868</v>
      </c>
      <c r="E139" t="b">
        <v>1</v>
      </c>
      <c r="F139" t="s">
        <v>250</v>
      </c>
      <c r="G139" t="s">
        <v>238</v>
      </c>
      <c r="H139">
        <v>0.5</v>
      </c>
      <c r="I139" t="s">
        <v>221</v>
      </c>
      <c r="J139" t="s">
        <v>231</v>
      </c>
      <c r="K139" t="b">
        <v>0</v>
      </c>
    </row>
    <row r="140" spans="1:11" x14ac:dyDescent="0.35">
      <c r="A140" t="s">
        <v>541</v>
      </c>
      <c r="B140">
        <v>2021</v>
      </c>
      <c r="C140" t="s">
        <v>542</v>
      </c>
      <c r="D140" t="s">
        <v>543</v>
      </c>
      <c r="E140" t="b">
        <v>1</v>
      </c>
      <c r="F140" t="s">
        <v>250</v>
      </c>
      <c r="G140" t="s">
        <v>238</v>
      </c>
      <c r="H140">
        <v>0.5</v>
      </c>
      <c r="I140" t="s">
        <v>221</v>
      </c>
      <c r="J140" t="s">
        <v>728</v>
      </c>
      <c r="K140" t="b">
        <v>0</v>
      </c>
    </row>
    <row r="141" spans="1:11" hidden="1" x14ac:dyDescent="0.35">
      <c r="A141" t="s">
        <v>544</v>
      </c>
      <c r="B141">
        <v>2021</v>
      </c>
      <c r="C141" t="s">
        <v>545</v>
      </c>
      <c r="D141" t="s">
        <v>869</v>
      </c>
      <c r="E141" t="b">
        <v>1</v>
      </c>
      <c r="F141" t="s">
        <v>870</v>
      </c>
      <c r="G141" t="s">
        <v>223</v>
      </c>
      <c r="H141">
        <v>1</v>
      </c>
      <c r="I141" t="s">
        <v>160</v>
      </c>
      <c r="J141" t="s">
        <v>226</v>
      </c>
      <c r="K141" t="b">
        <v>1</v>
      </c>
    </row>
    <row r="142" spans="1:11" hidden="1" x14ac:dyDescent="0.35">
      <c r="A142" t="s">
        <v>547</v>
      </c>
      <c r="B142">
        <v>2021</v>
      </c>
      <c r="C142" t="s">
        <v>548</v>
      </c>
      <c r="D142" t="s">
        <v>549</v>
      </c>
      <c r="E142" t="b">
        <v>1</v>
      </c>
      <c r="F142" t="s">
        <v>250</v>
      </c>
      <c r="G142" t="s">
        <v>238</v>
      </c>
      <c r="H142">
        <v>0.5</v>
      </c>
      <c r="I142" t="s">
        <v>160</v>
      </c>
      <c r="J142" t="s">
        <v>731</v>
      </c>
      <c r="K142" t="b">
        <v>1</v>
      </c>
    </row>
    <row r="143" spans="1:11" hidden="1" x14ac:dyDescent="0.35">
      <c r="A143" t="s">
        <v>550</v>
      </c>
      <c r="B143">
        <v>2021</v>
      </c>
      <c r="C143" t="s">
        <v>551</v>
      </c>
      <c r="D143" t="s">
        <v>871</v>
      </c>
      <c r="E143" t="b">
        <v>1</v>
      </c>
      <c r="F143" t="s">
        <v>872</v>
      </c>
      <c r="G143" t="s">
        <v>223</v>
      </c>
      <c r="H143">
        <v>1</v>
      </c>
      <c r="I143" t="s">
        <v>160</v>
      </c>
      <c r="J143" t="s">
        <v>731</v>
      </c>
      <c r="K143" t="b">
        <v>1</v>
      </c>
    </row>
    <row r="144" spans="1:11" hidden="1" x14ac:dyDescent="0.35">
      <c r="A144" t="s">
        <v>553</v>
      </c>
      <c r="B144">
        <v>2021</v>
      </c>
      <c r="C144" t="s">
        <v>554</v>
      </c>
      <c r="D144" t="s">
        <v>873</v>
      </c>
      <c r="E144" t="b">
        <v>0</v>
      </c>
      <c r="F144" t="s">
        <v>874</v>
      </c>
      <c r="G144" t="s">
        <v>222</v>
      </c>
      <c r="H144">
        <v>1</v>
      </c>
      <c r="I144" t="s">
        <v>221</v>
      </c>
      <c r="J144" t="s">
        <v>231</v>
      </c>
      <c r="K144" t="b">
        <v>0</v>
      </c>
    </row>
    <row r="145" spans="1:11" hidden="1" x14ac:dyDescent="0.35">
      <c r="A145" t="s">
        <v>556</v>
      </c>
      <c r="B145">
        <v>2021</v>
      </c>
      <c r="C145" t="s">
        <v>557</v>
      </c>
      <c r="D145" t="s">
        <v>875</v>
      </c>
      <c r="E145" t="b">
        <v>1</v>
      </c>
      <c r="F145" t="s">
        <v>876</v>
      </c>
      <c r="G145" t="s">
        <v>223</v>
      </c>
      <c r="H145">
        <v>1</v>
      </c>
      <c r="I145" t="s">
        <v>160</v>
      </c>
      <c r="J145" t="s">
        <v>226</v>
      </c>
      <c r="K145" t="b">
        <v>1</v>
      </c>
    </row>
    <row r="146" spans="1:11" hidden="1" x14ac:dyDescent="0.35">
      <c r="A146" t="s">
        <v>559</v>
      </c>
      <c r="B146">
        <v>2021</v>
      </c>
      <c r="C146" t="s">
        <v>560</v>
      </c>
      <c r="D146" t="s">
        <v>877</v>
      </c>
      <c r="E146" t="b">
        <v>1</v>
      </c>
      <c r="F146" t="s">
        <v>878</v>
      </c>
      <c r="G146" t="s">
        <v>223</v>
      </c>
      <c r="H146">
        <v>1</v>
      </c>
      <c r="I146" t="s">
        <v>160</v>
      </c>
      <c r="J146" t="s">
        <v>721</v>
      </c>
      <c r="K146" t="b">
        <v>1</v>
      </c>
    </row>
    <row r="147" spans="1:11" hidden="1" x14ac:dyDescent="0.35">
      <c r="A147" t="s">
        <v>562</v>
      </c>
      <c r="B147">
        <v>2021</v>
      </c>
      <c r="C147" t="s">
        <v>879</v>
      </c>
      <c r="D147" t="s">
        <v>880</v>
      </c>
      <c r="E147" t="b">
        <v>1</v>
      </c>
      <c r="F147" t="s">
        <v>250</v>
      </c>
      <c r="G147" t="s">
        <v>238</v>
      </c>
      <c r="H147">
        <v>0.5</v>
      </c>
      <c r="I147" t="s">
        <v>160</v>
      </c>
      <c r="J147" t="s">
        <v>224</v>
      </c>
      <c r="K147" t="b">
        <v>1</v>
      </c>
    </row>
    <row r="148" spans="1:11" hidden="1" x14ac:dyDescent="0.35">
      <c r="A148" t="s">
        <v>565</v>
      </c>
      <c r="B148">
        <v>2021</v>
      </c>
      <c r="C148" t="s">
        <v>566</v>
      </c>
      <c r="D148" t="s">
        <v>567</v>
      </c>
      <c r="E148" t="b">
        <v>1</v>
      </c>
      <c r="F148" t="s">
        <v>881</v>
      </c>
      <c r="G148" t="s">
        <v>223</v>
      </c>
      <c r="H148">
        <v>1</v>
      </c>
      <c r="I148" t="s">
        <v>160</v>
      </c>
      <c r="J148" t="s">
        <v>732</v>
      </c>
      <c r="K148" t="b">
        <v>1</v>
      </c>
    </row>
    <row r="149" spans="1:11" hidden="1" x14ac:dyDescent="0.35">
      <c r="A149" t="s">
        <v>568</v>
      </c>
      <c r="B149">
        <v>2021</v>
      </c>
      <c r="C149" t="s">
        <v>569</v>
      </c>
      <c r="D149" t="s">
        <v>549</v>
      </c>
      <c r="E149" t="b">
        <v>1</v>
      </c>
      <c r="F149" t="s">
        <v>882</v>
      </c>
      <c r="G149" t="s">
        <v>223</v>
      </c>
      <c r="H149">
        <v>1</v>
      </c>
      <c r="I149" t="s">
        <v>160</v>
      </c>
      <c r="J149" t="s">
        <v>223</v>
      </c>
      <c r="K149" t="b">
        <v>1</v>
      </c>
    </row>
    <row r="150" spans="1:11" hidden="1" x14ac:dyDescent="0.35">
      <c r="A150" t="s">
        <v>570</v>
      </c>
      <c r="B150">
        <v>2021</v>
      </c>
      <c r="C150" t="s">
        <v>571</v>
      </c>
      <c r="D150" t="s">
        <v>883</v>
      </c>
      <c r="E150" t="b">
        <v>1</v>
      </c>
      <c r="F150" t="s">
        <v>884</v>
      </c>
      <c r="G150" t="s">
        <v>223</v>
      </c>
      <c r="H150">
        <v>0.9</v>
      </c>
      <c r="I150" t="s">
        <v>160</v>
      </c>
      <c r="J150" t="s">
        <v>223</v>
      </c>
      <c r="K150" t="b">
        <v>1</v>
      </c>
    </row>
    <row r="151" spans="1:11" x14ac:dyDescent="0.35">
      <c r="A151" t="s">
        <v>573</v>
      </c>
      <c r="B151">
        <v>2021</v>
      </c>
      <c r="C151" t="s">
        <v>574</v>
      </c>
      <c r="D151" t="s">
        <v>885</v>
      </c>
      <c r="E151" t="b">
        <v>1</v>
      </c>
      <c r="F151" t="s">
        <v>250</v>
      </c>
      <c r="G151" t="s">
        <v>238</v>
      </c>
      <c r="H151">
        <v>0.5</v>
      </c>
      <c r="I151" t="s">
        <v>221</v>
      </c>
      <c r="J151" t="s">
        <v>231</v>
      </c>
      <c r="K151" t="b">
        <v>0</v>
      </c>
    </row>
    <row r="152" spans="1:11" hidden="1" x14ac:dyDescent="0.35">
      <c r="A152" t="s">
        <v>576</v>
      </c>
      <c r="B152">
        <v>2021</v>
      </c>
      <c r="C152" t="s">
        <v>577</v>
      </c>
      <c r="D152" t="s">
        <v>886</v>
      </c>
      <c r="E152" t="b">
        <v>1</v>
      </c>
      <c r="F152" t="s">
        <v>250</v>
      </c>
      <c r="G152" t="s">
        <v>238</v>
      </c>
      <c r="H152">
        <v>0.5</v>
      </c>
      <c r="I152" t="s">
        <v>160</v>
      </c>
      <c r="J152" t="s">
        <v>224</v>
      </c>
      <c r="K152" t="b">
        <v>1</v>
      </c>
    </row>
    <row r="153" spans="1:11" hidden="1" x14ac:dyDescent="0.35">
      <c r="A153" t="s">
        <v>579</v>
      </c>
      <c r="B153">
        <v>2021</v>
      </c>
      <c r="C153" t="s">
        <v>580</v>
      </c>
      <c r="D153" t="s">
        <v>887</v>
      </c>
      <c r="E153" t="b">
        <v>1</v>
      </c>
      <c r="F153" t="s">
        <v>888</v>
      </c>
      <c r="G153" t="s">
        <v>223</v>
      </c>
      <c r="H153">
        <v>1</v>
      </c>
      <c r="I153" t="s">
        <v>160</v>
      </c>
      <c r="J153" t="s">
        <v>223</v>
      </c>
      <c r="K153" t="b">
        <v>1</v>
      </c>
    </row>
    <row r="154" spans="1:11" hidden="1" x14ac:dyDescent="0.35">
      <c r="A154" t="s">
        <v>582</v>
      </c>
      <c r="B154">
        <v>2021</v>
      </c>
      <c r="C154" t="s">
        <v>583</v>
      </c>
      <c r="D154" t="s">
        <v>584</v>
      </c>
      <c r="E154" t="b">
        <v>1</v>
      </c>
      <c r="F154" t="s">
        <v>889</v>
      </c>
      <c r="G154" t="s">
        <v>223</v>
      </c>
      <c r="H154">
        <v>1</v>
      </c>
      <c r="I154" t="s">
        <v>160</v>
      </c>
      <c r="J154" t="s">
        <v>733</v>
      </c>
      <c r="K154" t="b">
        <v>1</v>
      </c>
    </row>
    <row r="155" spans="1:11" x14ac:dyDescent="0.35">
      <c r="A155" t="s">
        <v>585</v>
      </c>
      <c r="B155">
        <v>2021</v>
      </c>
      <c r="C155" t="s">
        <v>586</v>
      </c>
      <c r="D155" t="s">
        <v>587</v>
      </c>
      <c r="E155" t="b">
        <v>1</v>
      </c>
      <c r="F155" t="s">
        <v>890</v>
      </c>
      <c r="G155" t="s">
        <v>223</v>
      </c>
      <c r="H155">
        <v>0.8</v>
      </c>
      <c r="I155" t="s">
        <v>221</v>
      </c>
      <c r="J155" t="s">
        <v>728</v>
      </c>
      <c r="K155" t="b">
        <v>0</v>
      </c>
    </row>
    <row r="156" spans="1:11" x14ac:dyDescent="0.35">
      <c r="A156" t="s">
        <v>588</v>
      </c>
      <c r="B156">
        <v>2021</v>
      </c>
      <c r="C156" t="s">
        <v>891</v>
      </c>
      <c r="D156" t="s">
        <v>892</v>
      </c>
      <c r="E156" t="b">
        <v>1</v>
      </c>
      <c r="F156" t="s">
        <v>250</v>
      </c>
      <c r="G156" t="s">
        <v>238</v>
      </c>
      <c r="H156">
        <v>0.5</v>
      </c>
      <c r="I156" t="s">
        <v>221</v>
      </c>
      <c r="J156" t="s">
        <v>728</v>
      </c>
      <c r="K156" t="b">
        <v>0</v>
      </c>
    </row>
    <row r="157" spans="1:11" hidden="1" x14ac:dyDescent="0.35">
      <c r="A157" t="s">
        <v>591</v>
      </c>
      <c r="B157">
        <v>2021</v>
      </c>
      <c r="C157" t="s">
        <v>893</v>
      </c>
      <c r="D157" t="s">
        <v>894</v>
      </c>
      <c r="E157" t="b">
        <v>1</v>
      </c>
      <c r="F157" t="s">
        <v>895</v>
      </c>
      <c r="G157" t="s">
        <v>223</v>
      </c>
      <c r="H157">
        <v>0.9</v>
      </c>
      <c r="I157" t="s">
        <v>160</v>
      </c>
      <c r="J157" t="s">
        <v>224</v>
      </c>
      <c r="K157" t="b">
        <v>1</v>
      </c>
    </row>
    <row r="158" spans="1:11" hidden="1" x14ac:dyDescent="0.35">
      <c r="A158" t="s">
        <v>594</v>
      </c>
      <c r="B158">
        <v>2021</v>
      </c>
      <c r="C158" t="s">
        <v>595</v>
      </c>
      <c r="D158" t="s">
        <v>896</v>
      </c>
      <c r="E158" t="b">
        <v>1</v>
      </c>
      <c r="F158" t="s">
        <v>897</v>
      </c>
      <c r="G158" t="s">
        <v>223</v>
      </c>
      <c r="H158">
        <v>0.9</v>
      </c>
      <c r="I158" t="s">
        <v>160</v>
      </c>
      <c r="J158" t="s">
        <v>721</v>
      </c>
      <c r="K158" t="b">
        <v>1</v>
      </c>
    </row>
    <row r="159" spans="1:11" ht="409.5" x14ac:dyDescent="0.35">
      <c r="A159" t="s">
        <v>597</v>
      </c>
      <c r="B159">
        <v>2021</v>
      </c>
      <c r="C159" t="s">
        <v>598</v>
      </c>
      <c r="D159" s="1" t="s">
        <v>599</v>
      </c>
      <c r="E159" t="b">
        <v>1</v>
      </c>
      <c r="F159" t="s">
        <v>898</v>
      </c>
      <c r="G159" t="s">
        <v>223</v>
      </c>
      <c r="H159">
        <v>0.9</v>
      </c>
      <c r="I159" t="s">
        <v>221</v>
      </c>
      <c r="J159" t="s">
        <v>734</v>
      </c>
      <c r="K159" t="b">
        <v>0</v>
      </c>
    </row>
    <row r="160" spans="1:11" hidden="1" x14ac:dyDescent="0.35">
      <c r="A160" t="s">
        <v>600</v>
      </c>
      <c r="B160">
        <v>2021</v>
      </c>
      <c r="C160" t="s">
        <v>601</v>
      </c>
      <c r="D160" t="s">
        <v>899</v>
      </c>
      <c r="E160" t="b">
        <v>1</v>
      </c>
      <c r="F160" t="s">
        <v>900</v>
      </c>
      <c r="G160" t="s">
        <v>223</v>
      </c>
      <c r="H160">
        <v>1</v>
      </c>
      <c r="I160" t="s">
        <v>160</v>
      </c>
      <c r="J160" t="s">
        <v>735</v>
      </c>
      <c r="K160" t="b">
        <v>1</v>
      </c>
    </row>
    <row r="161" spans="1:11" x14ac:dyDescent="0.35">
      <c r="A161" t="s">
        <v>603</v>
      </c>
      <c r="B161">
        <v>2021</v>
      </c>
      <c r="C161" t="s">
        <v>604</v>
      </c>
      <c r="D161" t="s">
        <v>901</v>
      </c>
      <c r="E161" t="b">
        <v>1</v>
      </c>
      <c r="F161" t="s">
        <v>250</v>
      </c>
      <c r="G161" t="s">
        <v>238</v>
      </c>
      <c r="H161">
        <v>0.5</v>
      </c>
      <c r="I161" t="s">
        <v>221</v>
      </c>
      <c r="J161" t="s">
        <v>231</v>
      </c>
      <c r="K161" t="b">
        <v>0</v>
      </c>
    </row>
    <row r="162" spans="1:11" hidden="1" x14ac:dyDescent="0.35">
      <c r="A162" t="s">
        <v>606</v>
      </c>
      <c r="B162">
        <v>2021</v>
      </c>
      <c r="C162" t="s">
        <v>607</v>
      </c>
      <c r="D162" t="s">
        <v>608</v>
      </c>
      <c r="E162" t="b">
        <v>1</v>
      </c>
      <c r="F162" t="s">
        <v>902</v>
      </c>
      <c r="G162" t="s">
        <v>223</v>
      </c>
      <c r="H162">
        <v>1</v>
      </c>
      <c r="I162" t="s">
        <v>160</v>
      </c>
      <c r="J162" t="s">
        <v>725</v>
      </c>
      <c r="K162" t="b">
        <v>1</v>
      </c>
    </row>
    <row r="163" spans="1:11" x14ac:dyDescent="0.35">
      <c r="A163" t="s">
        <v>609</v>
      </c>
      <c r="B163">
        <v>2021</v>
      </c>
      <c r="C163" t="s">
        <v>903</v>
      </c>
      <c r="D163" t="s">
        <v>904</v>
      </c>
      <c r="E163" t="b">
        <v>1</v>
      </c>
      <c r="F163" t="s">
        <v>250</v>
      </c>
      <c r="G163" t="s">
        <v>238</v>
      </c>
      <c r="H163">
        <v>0.5</v>
      </c>
      <c r="I163" t="s">
        <v>221</v>
      </c>
      <c r="J163" t="s">
        <v>231</v>
      </c>
      <c r="K163" t="b">
        <v>0</v>
      </c>
    </row>
    <row r="164" spans="1:11" hidden="1" x14ac:dyDescent="0.35">
      <c r="A164" t="s">
        <v>612</v>
      </c>
      <c r="B164">
        <v>2021</v>
      </c>
      <c r="C164" t="s">
        <v>613</v>
      </c>
      <c r="D164" t="s">
        <v>614</v>
      </c>
      <c r="E164" t="b">
        <v>1</v>
      </c>
      <c r="F164" t="s">
        <v>905</v>
      </c>
      <c r="G164" t="s">
        <v>223</v>
      </c>
      <c r="H164">
        <v>1</v>
      </c>
      <c r="I164" t="s">
        <v>160</v>
      </c>
      <c r="J164" t="s">
        <v>736</v>
      </c>
      <c r="K164" t="b">
        <v>1</v>
      </c>
    </row>
    <row r="165" spans="1:11" hidden="1" x14ac:dyDescent="0.35">
      <c r="A165" t="s">
        <v>615</v>
      </c>
      <c r="B165">
        <v>2021</v>
      </c>
      <c r="C165" t="s">
        <v>616</v>
      </c>
      <c r="D165" t="s">
        <v>906</v>
      </c>
      <c r="E165" t="b">
        <v>1</v>
      </c>
      <c r="F165" t="s">
        <v>250</v>
      </c>
      <c r="G165" t="s">
        <v>238</v>
      </c>
      <c r="H165">
        <v>0.5</v>
      </c>
      <c r="I165" t="s">
        <v>160</v>
      </c>
      <c r="J165" t="s">
        <v>736</v>
      </c>
      <c r="K165" t="b">
        <v>1</v>
      </c>
    </row>
    <row r="166" spans="1:11" hidden="1" x14ac:dyDescent="0.35">
      <c r="A166" t="s">
        <v>618</v>
      </c>
      <c r="B166">
        <v>2021</v>
      </c>
      <c r="C166" t="s">
        <v>619</v>
      </c>
      <c r="D166" t="s">
        <v>907</v>
      </c>
      <c r="E166" t="b">
        <v>1</v>
      </c>
      <c r="F166" t="s">
        <v>908</v>
      </c>
      <c r="G166" t="s">
        <v>223</v>
      </c>
      <c r="H166">
        <v>1</v>
      </c>
      <c r="I166" t="s">
        <v>160</v>
      </c>
      <c r="J166" t="s">
        <v>224</v>
      </c>
      <c r="K166" t="b">
        <v>1</v>
      </c>
    </row>
    <row r="167" spans="1:11" ht="409.5" hidden="1" x14ac:dyDescent="0.35">
      <c r="A167" t="s">
        <v>621</v>
      </c>
      <c r="B167">
        <v>2021</v>
      </c>
      <c r="C167" t="s">
        <v>622</v>
      </c>
      <c r="D167" s="1" t="s">
        <v>623</v>
      </c>
      <c r="E167" t="b">
        <v>1</v>
      </c>
      <c r="F167" t="s">
        <v>909</v>
      </c>
      <c r="G167" t="s">
        <v>223</v>
      </c>
      <c r="H167">
        <v>1</v>
      </c>
      <c r="I167" t="s">
        <v>160</v>
      </c>
      <c r="J167" t="s">
        <v>725</v>
      </c>
      <c r="K167" t="b">
        <v>1</v>
      </c>
    </row>
    <row r="168" spans="1:11" hidden="1" x14ac:dyDescent="0.35">
      <c r="A168" t="s">
        <v>624</v>
      </c>
      <c r="B168">
        <v>2021</v>
      </c>
      <c r="C168" t="s">
        <v>910</v>
      </c>
      <c r="D168" t="s">
        <v>911</v>
      </c>
      <c r="E168" t="b">
        <v>1</v>
      </c>
      <c r="F168" t="s">
        <v>250</v>
      </c>
      <c r="G168" t="s">
        <v>238</v>
      </c>
      <c r="H168">
        <v>0.5</v>
      </c>
      <c r="I168" t="s">
        <v>160</v>
      </c>
      <c r="J168" t="s">
        <v>224</v>
      </c>
      <c r="K168" t="b">
        <v>1</v>
      </c>
    </row>
    <row r="169" spans="1:11" hidden="1" x14ac:dyDescent="0.35">
      <c r="A169" t="s">
        <v>627</v>
      </c>
      <c r="B169">
        <v>2021</v>
      </c>
      <c r="C169" t="s">
        <v>912</v>
      </c>
      <c r="D169" t="s">
        <v>913</v>
      </c>
      <c r="E169" t="b">
        <v>0</v>
      </c>
      <c r="F169" t="s">
        <v>914</v>
      </c>
      <c r="G169" t="s">
        <v>222</v>
      </c>
      <c r="H169">
        <v>1</v>
      </c>
      <c r="I169" t="s">
        <v>221</v>
      </c>
      <c r="J169" t="s">
        <v>231</v>
      </c>
      <c r="K169" t="b">
        <v>0</v>
      </c>
    </row>
    <row r="170" spans="1:11" x14ac:dyDescent="0.35">
      <c r="A170" t="s">
        <v>630</v>
      </c>
      <c r="B170">
        <v>2021</v>
      </c>
      <c r="C170" t="s">
        <v>631</v>
      </c>
      <c r="D170" t="s">
        <v>915</v>
      </c>
      <c r="E170" t="b">
        <v>1</v>
      </c>
      <c r="F170" t="s">
        <v>250</v>
      </c>
      <c r="G170" t="s">
        <v>238</v>
      </c>
      <c r="H170">
        <v>0.5</v>
      </c>
      <c r="I170" t="s">
        <v>221</v>
      </c>
      <c r="J170" t="s">
        <v>227</v>
      </c>
      <c r="K170" t="b">
        <v>0</v>
      </c>
    </row>
    <row r="171" spans="1:11" hidden="1" x14ac:dyDescent="0.35">
      <c r="A171" t="s">
        <v>633</v>
      </c>
      <c r="B171">
        <v>2021</v>
      </c>
      <c r="C171" t="s">
        <v>634</v>
      </c>
      <c r="D171" t="s">
        <v>635</v>
      </c>
      <c r="E171" t="b">
        <v>1</v>
      </c>
      <c r="F171" t="s">
        <v>916</v>
      </c>
      <c r="G171" t="s">
        <v>223</v>
      </c>
      <c r="H171">
        <v>1</v>
      </c>
      <c r="I171" t="s">
        <v>160</v>
      </c>
      <c r="J171" t="s">
        <v>223</v>
      </c>
      <c r="K171" t="b">
        <v>1</v>
      </c>
    </row>
    <row r="172" spans="1:11" x14ac:dyDescent="0.35">
      <c r="A172" t="s">
        <v>636</v>
      </c>
      <c r="B172">
        <v>2021</v>
      </c>
      <c r="C172" t="s">
        <v>637</v>
      </c>
      <c r="D172" t="s">
        <v>549</v>
      </c>
      <c r="E172" t="b">
        <v>1</v>
      </c>
      <c r="F172" t="s">
        <v>250</v>
      </c>
      <c r="G172" t="s">
        <v>238</v>
      </c>
      <c r="H172">
        <v>0.5</v>
      </c>
      <c r="I172" t="s">
        <v>221</v>
      </c>
      <c r="J172" t="s">
        <v>715</v>
      </c>
      <c r="K172" t="b">
        <v>0</v>
      </c>
    </row>
    <row r="173" spans="1:11" x14ac:dyDescent="0.35">
      <c r="A173" t="s">
        <v>638</v>
      </c>
      <c r="B173">
        <v>2021</v>
      </c>
      <c r="C173" t="s">
        <v>639</v>
      </c>
      <c r="D173" t="s">
        <v>917</v>
      </c>
      <c r="E173" t="b">
        <v>1</v>
      </c>
      <c r="F173" t="s">
        <v>250</v>
      </c>
      <c r="G173" t="s">
        <v>238</v>
      </c>
      <c r="H173">
        <v>0.5</v>
      </c>
      <c r="I173" t="s">
        <v>221</v>
      </c>
      <c r="J173" t="s">
        <v>231</v>
      </c>
      <c r="K173" t="b">
        <v>0</v>
      </c>
    </row>
    <row r="174" spans="1:11" x14ac:dyDescent="0.35">
      <c r="A174" t="s">
        <v>641</v>
      </c>
      <c r="B174">
        <v>2021</v>
      </c>
      <c r="C174" t="s">
        <v>918</v>
      </c>
      <c r="D174" t="s">
        <v>919</v>
      </c>
      <c r="E174" t="b">
        <v>1</v>
      </c>
      <c r="F174" t="s">
        <v>250</v>
      </c>
      <c r="G174" t="s">
        <v>238</v>
      </c>
      <c r="H174">
        <v>0.5</v>
      </c>
      <c r="I174" t="s">
        <v>221</v>
      </c>
      <c r="J174" t="s">
        <v>231</v>
      </c>
      <c r="K174" t="b">
        <v>0</v>
      </c>
    </row>
    <row r="175" spans="1:11" x14ac:dyDescent="0.35">
      <c r="A175" t="s">
        <v>644</v>
      </c>
      <c r="B175">
        <v>2021</v>
      </c>
      <c r="C175" t="s">
        <v>645</v>
      </c>
      <c r="D175" t="s">
        <v>646</v>
      </c>
      <c r="E175" t="b">
        <v>1</v>
      </c>
      <c r="F175" t="s">
        <v>250</v>
      </c>
      <c r="G175" t="s">
        <v>238</v>
      </c>
      <c r="H175">
        <v>0.5</v>
      </c>
      <c r="I175" t="s">
        <v>221</v>
      </c>
      <c r="J175" t="s">
        <v>728</v>
      </c>
      <c r="K175" t="b">
        <v>0</v>
      </c>
    </row>
    <row r="176" spans="1:11" hidden="1" x14ac:dyDescent="0.35">
      <c r="A176" t="s">
        <v>647</v>
      </c>
      <c r="B176">
        <v>2021</v>
      </c>
      <c r="C176" t="s">
        <v>648</v>
      </c>
      <c r="D176" t="s">
        <v>920</v>
      </c>
      <c r="E176" t="b">
        <v>1</v>
      </c>
      <c r="F176" t="s">
        <v>921</v>
      </c>
      <c r="G176" t="s">
        <v>223</v>
      </c>
      <c r="H176">
        <v>1</v>
      </c>
      <c r="I176" t="s">
        <v>160</v>
      </c>
      <c r="J176" t="s">
        <v>721</v>
      </c>
      <c r="K176" t="b">
        <v>1</v>
      </c>
    </row>
    <row r="177" spans="1:11" hidden="1" x14ac:dyDescent="0.35">
      <c r="A177" t="s">
        <v>650</v>
      </c>
      <c r="B177">
        <v>2021</v>
      </c>
      <c r="C177" t="s">
        <v>651</v>
      </c>
      <c r="D177" t="s">
        <v>922</v>
      </c>
      <c r="E177" t="b">
        <v>1</v>
      </c>
      <c r="F177" t="s">
        <v>923</v>
      </c>
      <c r="G177" t="s">
        <v>223</v>
      </c>
      <c r="H177">
        <v>1</v>
      </c>
      <c r="I177" t="s">
        <v>160</v>
      </c>
      <c r="J177" t="s">
        <v>223</v>
      </c>
      <c r="K177" t="b">
        <v>1</v>
      </c>
    </row>
    <row r="178" spans="1:11" ht="409.5" hidden="1" x14ac:dyDescent="0.35">
      <c r="A178" t="s">
        <v>653</v>
      </c>
      <c r="B178">
        <v>2021</v>
      </c>
      <c r="C178" t="s">
        <v>651</v>
      </c>
      <c r="D178" s="1" t="s">
        <v>654</v>
      </c>
      <c r="E178" t="b">
        <v>1</v>
      </c>
      <c r="F178" t="s">
        <v>924</v>
      </c>
      <c r="G178" t="s">
        <v>223</v>
      </c>
      <c r="H178">
        <v>1</v>
      </c>
      <c r="I178" t="s">
        <v>160</v>
      </c>
      <c r="J178" t="s">
        <v>223</v>
      </c>
      <c r="K178" t="b">
        <v>1</v>
      </c>
    </row>
    <row r="179" spans="1:11" hidden="1" x14ac:dyDescent="0.35">
      <c r="A179" t="s">
        <v>655</v>
      </c>
      <c r="B179">
        <v>2021</v>
      </c>
      <c r="C179" t="s">
        <v>656</v>
      </c>
      <c r="D179" t="s">
        <v>657</v>
      </c>
      <c r="E179" t="b">
        <v>1</v>
      </c>
      <c r="F179" t="s">
        <v>925</v>
      </c>
      <c r="G179" t="s">
        <v>223</v>
      </c>
      <c r="H179">
        <v>0.9</v>
      </c>
      <c r="I179" t="s">
        <v>160</v>
      </c>
      <c r="J179" t="s">
        <v>223</v>
      </c>
      <c r="K179" t="b">
        <v>1</v>
      </c>
    </row>
    <row r="180" spans="1:11" ht="409.5" hidden="1" x14ac:dyDescent="0.35">
      <c r="A180" t="s">
        <v>658</v>
      </c>
      <c r="B180">
        <v>2025</v>
      </c>
      <c r="C180" t="s">
        <v>659</v>
      </c>
      <c r="D180" s="1" t="s">
        <v>660</v>
      </c>
      <c r="E180" t="b">
        <v>1</v>
      </c>
      <c r="F180" t="s">
        <v>926</v>
      </c>
      <c r="G180" t="s">
        <v>223</v>
      </c>
      <c r="H180">
        <v>1</v>
      </c>
      <c r="I180" t="s">
        <v>160</v>
      </c>
      <c r="J180" t="s">
        <v>721</v>
      </c>
      <c r="K180" t="b">
        <v>1</v>
      </c>
    </row>
    <row r="181" spans="1:11" hidden="1" x14ac:dyDescent="0.35">
      <c r="A181" t="s">
        <v>661</v>
      </c>
      <c r="B181">
        <v>2025</v>
      </c>
      <c r="C181" t="s">
        <v>659</v>
      </c>
      <c r="D181" t="s">
        <v>927</v>
      </c>
      <c r="E181" t="b">
        <v>1</v>
      </c>
      <c r="F181" t="s">
        <v>928</v>
      </c>
      <c r="G181" t="s">
        <v>223</v>
      </c>
      <c r="H181">
        <v>1</v>
      </c>
      <c r="I181" t="s">
        <v>160</v>
      </c>
      <c r="J181" t="s">
        <v>721</v>
      </c>
      <c r="K181" t="b">
        <v>1</v>
      </c>
    </row>
    <row r="182" spans="1:11" x14ac:dyDescent="0.35">
      <c r="A182" t="s">
        <v>663</v>
      </c>
      <c r="B182">
        <v>2025</v>
      </c>
      <c r="C182" t="s">
        <v>664</v>
      </c>
      <c r="D182" t="s">
        <v>929</v>
      </c>
      <c r="E182" t="b">
        <v>1</v>
      </c>
      <c r="F182" t="s">
        <v>250</v>
      </c>
      <c r="G182" t="s">
        <v>238</v>
      </c>
      <c r="H182">
        <v>0.5</v>
      </c>
      <c r="I182" t="s">
        <v>221</v>
      </c>
      <c r="J182" t="s">
        <v>728</v>
      </c>
      <c r="K182" t="b">
        <v>0</v>
      </c>
    </row>
    <row r="183" spans="1:11" hidden="1" x14ac:dyDescent="0.35">
      <c r="A183" t="s">
        <v>666</v>
      </c>
      <c r="B183">
        <v>2025</v>
      </c>
      <c r="C183" t="s">
        <v>667</v>
      </c>
      <c r="D183" t="s">
        <v>930</v>
      </c>
      <c r="E183" t="b">
        <v>0</v>
      </c>
      <c r="F183" t="s">
        <v>931</v>
      </c>
      <c r="G183" t="s">
        <v>222</v>
      </c>
      <c r="H183">
        <v>0.9</v>
      </c>
      <c r="I183" t="s">
        <v>160</v>
      </c>
      <c r="J183" t="s">
        <v>224</v>
      </c>
      <c r="K183" t="b">
        <v>1</v>
      </c>
    </row>
    <row r="184" spans="1:11" hidden="1" x14ac:dyDescent="0.35">
      <c r="A184" t="s">
        <v>669</v>
      </c>
      <c r="B184">
        <v>2025</v>
      </c>
      <c r="C184" t="s">
        <v>670</v>
      </c>
      <c r="D184" t="s">
        <v>671</v>
      </c>
      <c r="E184" t="b">
        <v>1</v>
      </c>
      <c r="F184" t="s">
        <v>932</v>
      </c>
      <c r="G184" t="s">
        <v>223</v>
      </c>
      <c r="H184">
        <v>0.9</v>
      </c>
      <c r="I184" t="s">
        <v>160</v>
      </c>
      <c r="J184" t="s">
        <v>224</v>
      </c>
      <c r="K184" t="b">
        <v>1</v>
      </c>
    </row>
    <row r="185" spans="1:11" x14ac:dyDescent="0.35">
      <c r="A185" t="s">
        <v>672</v>
      </c>
      <c r="B185">
        <v>2025</v>
      </c>
      <c r="C185" t="s">
        <v>673</v>
      </c>
      <c r="D185" t="s">
        <v>674</v>
      </c>
      <c r="E185" t="b">
        <v>1</v>
      </c>
      <c r="F185" t="s">
        <v>250</v>
      </c>
      <c r="G185" t="s">
        <v>238</v>
      </c>
      <c r="H185">
        <v>0.5</v>
      </c>
      <c r="I185" t="s">
        <v>221</v>
      </c>
      <c r="J185" t="s">
        <v>728</v>
      </c>
      <c r="K185" t="b">
        <v>0</v>
      </c>
    </row>
    <row r="186" spans="1:11" x14ac:dyDescent="0.35">
      <c r="A186" t="s">
        <v>675</v>
      </c>
      <c r="B186">
        <v>2025</v>
      </c>
      <c r="C186" t="s">
        <v>933</v>
      </c>
      <c r="D186" t="s">
        <v>934</v>
      </c>
      <c r="E186" t="b">
        <v>1</v>
      </c>
      <c r="F186" t="s">
        <v>250</v>
      </c>
      <c r="G186" t="s">
        <v>238</v>
      </c>
      <c r="H186">
        <v>0.5</v>
      </c>
      <c r="I186" t="s">
        <v>221</v>
      </c>
      <c r="J186" t="s">
        <v>728</v>
      </c>
      <c r="K186" t="b">
        <v>0</v>
      </c>
    </row>
    <row r="187" spans="1:11" hidden="1" x14ac:dyDescent="0.35">
      <c r="A187" t="s">
        <v>678</v>
      </c>
      <c r="B187">
        <v>2025</v>
      </c>
      <c r="C187" t="s">
        <v>679</v>
      </c>
      <c r="D187" t="s">
        <v>680</v>
      </c>
      <c r="E187" t="b">
        <v>1</v>
      </c>
      <c r="F187" t="s">
        <v>935</v>
      </c>
      <c r="G187" t="s">
        <v>223</v>
      </c>
      <c r="H187">
        <v>1</v>
      </c>
      <c r="I187" t="s">
        <v>160</v>
      </c>
      <c r="J187" t="s">
        <v>226</v>
      </c>
      <c r="K187" t="b">
        <v>1</v>
      </c>
    </row>
    <row r="188" spans="1:11" hidden="1" x14ac:dyDescent="0.35">
      <c r="A188" t="s">
        <v>681</v>
      </c>
      <c r="B188">
        <v>2025</v>
      </c>
      <c r="C188" t="s">
        <v>682</v>
      </c>
      <c r="D188" t="s">
        <v>936</v>
      </c>
      <c r="E188" t="b">
        <v>0</v>
      </c>
      <c r="F188" t="s">
        <v>937</v>
      </c>
      <c r="G188" t="s">
        <v>222</v>
      </c>
      <c r="H188">
        <v>0.9</v>
      </c>
      <c r="I188" t="s">
        <v>221</v>
      </c>
      <c r="J188" t="s">
        <v>728</v>
      </c>
      <c r="K188" t="b">
        <v>0</v>
      </c>
    </row>
    <row r="189" spans="1:11" hidden="1" x14ac:dyDescent="0.35">
      <c r="A189" t="s">
        <v>684</v>
      </c>
      <c r="B189">
        <v>2025</v>
      </c>
      <c r="C189" t="s">
        <v>685</v>
      </c>
      <c r="D189" t="s">
        <v>938</v>
      </c>
      <c r="E189" t="b">
        <v>1</v>
      </c>
      <c r="F189" t="s">
        <v>250</v>
      </c>
      <c r="G189" t="s">
        <v>238</v>
      </c>
      <c r="H189">
        <v>0.5</v>
      </c>
      <c r="I189" t="s">
        <v>160</v>
      </c>
      <c r="J189" t="s">
        <v>737</v>
      </c>
      <c r="K189" t="b">
        <v>1</v>
      </c>
    </row>
    <row r="190" spans="1:11" hidden="1" x14ac:dyDescent="0.35">
      <c r="A190" t="s">
        <v>687</v>
      </c>
      <c r="B190">
        <v>2025</v>
      </c>
      <c r="C190" t="s">
        <v>688</v>
      </c>
      <c r="D190" t="s">
        <v>689</v>
      </c>
      <c r="E190" t="b">
        <v>1</v>
      </c>
      <c r="F190" t="s">
        <v>939</v>
      </c>
      <c r="G190" t="s">
        <v>223</v>
      </c>
      <c r="H190">
        <v>1</v>
      </c>
      <c r="I190" t="s">
        <v>160</v>
      </c>
      <c r="J190" t="s">
        <v>223</v>
      </c>
      <c r="K190" t="b">
        <v>1</v>
      </c>
    </row>
    <row r="191" spans="1:11" hidden="1" x14ac:dyDescent="0.35">
      <c r="A191" t="s">
        <v>690</v>
      </c>
      <c r="B191">
        <v>2025</v>
      </c>
      <c r="C191" t="s">
        <v>691</v>
      </c>
      <c r="D191" t="s">
        <v>940</v>
      </c>
      <c r="E191" t="b">
        <v>1</v>
      </c>
      <c r="F191" t="s">
        <v>250</v>
      </c>
      <c r="G191" t="s">
        <v>238</v>
      </c>
      <c r="H191">
        <v>0.5</v>
      </c>
      <c r="I191" t="s">
        <v>160</v>
      </c>
      <c r="J191" t="s">
        <v>224</v>
      </c>
      <c r="K191" t="b">
        <v>1</v>
      </c>
    </row>
    <row r="192" spans="1:11" hidden="1" x14ac:dyDescent="0.35">
      <c r="A192" t="s">
        <v>693</v>
      </c>
      <c r="B192">
        <v>2025</v>
      </c>
      <c r="C192" t="s">
        <v>694</v>
      </c>
      <c r="D192" t="s">
        <v>695</v>
      </c>
      <c r="E192" t="b">
        <v>1</v>
      </c>
      <c r="F192" t="s">
        <v>941</v>
      </c>
      <c r="G192" t="s">
        <v>223</v>
      </c>
      <c r="H192">
        <v>0.9</v>
      </c>
      <c r="I192" t="s">
        <v>160</v>
      </c>
      <c r="J192" t="s">
        <v>223</v>
      </c>
      <c r="K192" t="b">
        <v>1</v>
      </c>
    </row>
    <row r="193" spans="1:11" hidden="1" x14ac:dyDescent="0.35">
      <c r="A193" t="s">
        <v>696</v>
      </c>
      <c r="B193">
        <v>2025</v>
      </c>
      <c r="C193" t="s">
        <v>697</v>
      </c>
      <c r="D193" t="s">
        <v>942</v>
      </c>
      <c r="E193" t="b">
        <v>1</v>
      </c>
      <c r="F193" t="s">
        <v>943</v>
      </c>
      <c r="G193" t="s">
        <v>223</v>
      </c>
      <c r="H193">
        <v>0.9</v>
      </c>
      <c r="I193" t="s">
        <v>160</v>
      </c>
      <c r="J193" t="s">
        <v>721</v>
      </c>
      <c r="K193" t="b">
        <v>1</v>
      </c>
    </row>
    <row r="194" spans="1:11" hidden="1" x14ac:dyDescent="0.35">
      <c r="A194" t="s">
        <v>699</v>
      </c>
      <c r="B194">
        <v>2025</v>
      </c>
      <c r="C194" t="s">
        <v>700</v>
      </c>
      <c r="D194" t="s">
        <v>944</v>
      </c>
      <c r="E194" t="b">
        <v>0</v>
      </c>
      <c r="F194" t="s">
        <v>945</v>
      </c>
      <c r="G194" t="s">
        <v>222</v>
      </c>
      <c r="H194">
        <v>1</v>
      </c>
      <c r="I194" t="s">
        <v>221</v>
      </c>
      <c r="J194" t="s">
        <v>738</v>
      </c>
      <c r="K194" t="b">
        <v>0</v>
      </c>
    </row>
    <row r="195" spans="1:11" ht="409.5" hidden="1" x14ac:dyDescent="0.35">
      <c r="A195" t="s">
        <v>702</v>
      </c>
      <c r="B195">
        <v>2025</v>
      </c>
      <c r="C195" t="s">
        <v>703</v>
      </c>
      <c r="D195" s="1" t="s">
        <v>704</v>
      </c>
      <c r="E195" t="b">
        <v>0</v>
      </c>
      <c r="F195" t="s">
        <v>945</v>
      </c>
      <c r="G195" t="s">
        <v>222</v>
      </c>
      <c r="H195">
        <v>1</v>
      </c>
      <c r="I195" t="s">
        <v>221</v>
      </c>
      <c r="J195" t="s">
        <v>738</v>
      </c>
      <c r="K195" t="b">
        <v>0</v>
      </c>
    </row>
    <row r="196" spans="1:11" hidden="1" x14ac:dyDescent="0.35">
      <c r="A196" t="s">
        <v>705</v>
      </c>
      <c r="B196">
        <v>2025</v>
      </c>
      <c r="C196" t="s">
        <v>706</v>
      </c>
      <c r="D196" t="s">
        <v>946</v>
      </c>
      <c r="E196" t="b">
        <v>0</v>
      </c>
      <c r="F196" t="s">
        <v>947</v>
      </c>
      <c r="G196" t="s">
        <v>222</v>
      </c>
      <c r="H196">
        <v>1</v>
      </c>
      <c r="I196" t="s">
        <v>221</v>
      </c>
      <c r="J196" t="s">
        <v>231</v>
      </c>
      <c r="K196" t="b">
        <v>0</v>
      </c>
    </row>
    <row r="197" spans="1:11" hidden="1" x14ac:dyDescent="0.35">
      <c r="A197" t="s">
        <v>708</v>
      </c>
      <c r="B197">
        <v>2025</v>
      </c>
      <c r="C197" t="s">
        <v>709</v>
      </c>
      <c r="D197" t="s">
        <v>710</v>
      </c>
      <c r="E197" t="b">
        <v>1</v>
      </c>
      <c r="F197" t="s">
        <v>948</v>
      </c>
      <c r="G197" t="s">
        <v>223</v>
      </c>
      <c r="H197">
        <v>1</v>
      </c>
      <c r="I197" t="s">
        <v>160</v>
      </c>
      <c r="J197" t="s">
        <v>224</v>
      </c>
      <c r="K197" t="b">
        <v>1</v>
      </c>
    </row>
    <row r="198" spans="1:11" hidden="1" x14ac:dyDescent="0.35">
      <c r="A198" t="s">
        <v>711</v>
      </c>
      <c r="B198">
        <v>2025</v>
      </c>
      <c r="C198" t="s">
        <v>712</v>
      </c>
      <c r="D198" t="s">
        <v>949</v>
      </c>
      <c r="E198" t="b">
        <v>1</v>
      </c>
      <c r="F198" t="s">
        <v>250</v>
      </c>
      <c r="G198" t="s">
        <v>238</v>
      </c>
      <c r="H198">
        <v>0.5</v>
      </c>
      <c r="I198" t="s">
        <v>160</v>
      </c>
      <c r="J198" t="s">
        <v>224</v>
      </c>
      <c r="K198" t="b">
        <v>1</v>
      </c>
    </row>
  </sheetData>
  <autoFilter ref="A1:K198" xr:uid="{1235A4A9-643F-403F-8F39-91437DA8F632}">
    <filterColumn colId="4">
      <filters>
        <filter val="TRUE"/>
      </filters>
    </filterColumn>
    <filterColumn colId="10">
      <filters>
        <filter val="FALS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K48"/>
  <sheetViews>
    <sheetView tabSelected="1" workbookViewId="0">
      <selection activeCell="A17" sqref="A17:K48"/>
    </sheetView>
  </sheetViews>
  <sheetFormatPr defaultRowHeight="14.5" x14ac:dyDescent="0.35"/>
  <cols>
    <col min="1" max="1" width="14.453125" bestFit="1" customWidth="1"/>
  </cols>
  <sheetData>
    <row r="1" spans="1:3" x14ac:dyDescent="0.35">
      <c r="A1" t="s">
        <v>213</v>
      </c>
    </row>
    <row r="2" spans="1:3" x14ac:dyDescent="0.35">
      <c r="B2" t="s">
        <v>211</v>
      </c>
      <c r="C2" t="s">
        <v>212</v>
      </c>
    </row>
    <row r="3" spans="1:3" x14ac:dyDescent="0.35">
      <c r="A3" t="s">
        <v>209</v>
      </c>
      <c r="B3">
        <f>COUNTIFS('Merged results table'!$E:$E,TRUE,'Merged results table'!$K:$K,TRUE)</f>
        <v>135</v>
      </c>
      <c r="C3">
        <f>COUNTIFS('Merged results table'!$E:$E,TRUE,'Merged results table'!$K:$K,FALSE)</f>
        <v>31</v>
      </c>
    </row>
    <row r="4" spans="1:3" x14ac:dyDescent="0.35">
      <c r="A4" t="s">
        <v>210</v>
      </c>
      <c r="B4">
        <f>COUNTIFS('Merged results table'!$E:$E,FALSE,'Merged results table'!$K:$K,TRUE)</f>
        <v>2</v>
      </c>
      <c r="C4">
        <f>COUNTIFS('Merged results table'!$E:$E,FALSE,'Merged results table'!$K:$K,FALSE)</f>
        <v>29</v>
      </c>
    </row>
    <row r="6" spans="1:3" x14ac:dyDescent="0.35">
      <c r="A6" t="s">
        <v>216</v>
      </c>
      <c r="B6">
        <f>B3</f>
        <v>135</v>
      </c>
    </row>
    <row r="7" spans="1:3" x14ac:dyDescent="0.35">
      <c r="A7" t="s">
        <v>217</v>
      </c>
      <c r="B7">
        <f>C4</f>
        <v>29</v>
      </c>
    </row>
    <row r="8" spans="1:3" x14ac:dyDescent="0.35">
      <c r="A8" t="s">
        <v>218</v>
      </c>
      <c r="B8">
        <f>C3</f>
        <v>31</v>
      </c>
    </row>
    <row r="9" spans="1:3" x14ac:dyDescent="0.35">
      <c r="A9" t="s">
        <v>219</v>
      </c>
      <c r="B9">
        <f>B4</f>
        <v>2</v>
      </c>
    </row>
    <row r="11" spans="1:3" x14ac:dyDescent="0.35">
      <c r="A11" t="s">
        <v>214</v>
      </c>
      <c r="B11">
        <f>(B3+C4)/(B3+B4+C3+C4)</f>
        <v>0.8324873096446701</v>
      </c>
    </row>
    <row r="12" spans="1:3" x14ac:dyDescent="0.35">
      <c r="A12" t="s">
        <v>215</v>
      </c>
      <c r="B12">
        <f>B3/(B3+B4)</f>
        <v>0.98540145985401462</v>
      </c>
    </row>
    <row r="14" spans="1:3" x14ac:dyDescent="0.35">
      <c r="A14" t="s">
        <v>220</v>
      </c>
    </row>
    <row r="15" spans="1:3" x14ac:dyDescent="0.35">
      <c r="A15" t="s">
        <v>950</v>
      </c>
    </row>
    <row r="16" spans="1:3" x14ac:dyDescent="0.35">
      <c r="A16" t="s">
        <v>951</v>
      </c>
    </row>
    <row r="17" spans="1:11" x14ac:dyDescent="0.35">
      <c r="A17" t="s">
        <v>0</v>
      </c>
      <c r="B17" t="s">
        <v>1</v>
      </c>
      <c r="C17" t="s">
        <v>2</v>
      </c>
      <c r="D17" t="s">
        <v>3</v>
      </c>
      <c r="E17" t="s">
        <v>234</v>
      </c>
      <c r="F17" t="s">
        <v>235</v>
      </c>
      <c r="G17" t="s">
        <v>236</v>
      </c>
      <c r="H17" t="s">
        <v>237</v>
      </c>
      <c r="I17" t="s">
        <v>157</v>
      </c>
      <c r="J17" t="s">
        <v>158</v>
      </c>
      <c r="K17" t="s">
        <v>246</v>
      </c>
    </row>
    <row r="18" spans="1:11" x14ac:dyDescent="0.35">
      <c r="A18" t="s">
        <v>25</v>
      </c>
      <c r="B18">
        <v>2019</v>
      </c>
      <c r="C18" t="s">
        <v>26</v>
      </c>
      <c r="D18" t="s">
        <v>27</v>
      </c>
      <c r="E18" t="b">
        <v>1</v>
      </c>
      <c r="F18" t="s">
        <v>250</v>
      </c>
      <c r="G18" t="s">
        <v>238</v>
      </c>
      <c r="H18">
        <v>0.5</v>
      </c>
      <c r="I18" t="s">
        <v>221</v>
      </c>
      <c r="J18" t="s">
        <v>225</v>
      </c>
      <c r="K18" t="b">
        <v>0</v>
      </c>
    </row>
    <row r="19" spans="1:11" x14ac:dyDescent="0.35">
      <c r="A19" t="s">
        <v>34</v>
      </c>
      <c r="B19">
        <v>2019</v>
      </c>
      <c r="C19" t="s">
        <v>35</v>
      </c>
      <c r="D19" t="s">
        <v>36</v>
      </c>
      <c r="E19" t="b">
        <v>1</v>
      </c>
      <c r="F19" t="s">
        <v>250</v>
      </c>
      <c r="G19" t="s">
        <v>238</v>
      </c>
      <c r="H19">
        <v>0.5</v>
      </c>
      <c r="I19" t="s">
        <v>221</v>
      </c>
      <c r="J19" t="s">
        <v>225</v>
      </c>
      <c r="K19" t="b">
        <v>0</v>
      </c>
    </row>
    <row r="20" spans="1:11" x14ac:dyDescent="0.35">
      <c r="A20" t="s">
        <v>81</v>
      </c>
      <c r="B20">
        <v>2019</v>
      </c>
      <c r="C20" t="s">
        <v>82</v>
      </c>
      <c r="D20" t="s">
        <v>83</v>
      </c>
      <c r="E20" t="b">
        <v>1</v>
      </c>
      <c r="F20" t="s">
        <v>250</v>
      </c>
      <c r="G20" t="s">
        <v>238</v>
      </c>
      <c r="H20">
        <v>0.5</v>
      </c>
      <c r="I20" t="s">
        <v>221</v>
      </c>
      <c r="J20" t="s">
        <v>227</v>
      </c>
      <c r="K20" t="b">
        <v>0</v>
      </c>
    </row>
    <row r="21" spans="1:11" x14ac:dyDescent="0.35">
      <c r="A21" t="s">
        <v>117</v>
      </c>
      <c r="B21">
        <v>2019</v>
      </c>
      <c r="C21" t="s">
        <v>118</v>
      </c>
      <c r="D21" t="s">
        <v>119</v>
      </c>
      <c r="E21" t="b">
        <v>1</v>
      </c>
      <c r="F21" t="s">
        <v>250</v>
      </c>
      <c r="G21" t="s">
        <v>238</v>
      </c>
      <c r="H21">
        <v>0.5</v>
      </c>
      <c r="I21" t="s">
        <v>221</v>
      </c>
      <c r="J21" t="s">
        <v>225</v>
      </c>
      <c r="K21" t="b">
        <v>0</v>
      </c>
    </row>
    <row r="22" spans="1:11" x14ac:dyDescent="0.35">
      <c r="A22" t="s">
        <v>120</v>
      </c>
      <c r="B22">
        <v>2019</v>
      </c>
      <c r="C22" t="s">
        <v>121</v>
      </c>
      <c r="D22" t="s">
        <v>122</v>
      </c>
      <c r="E22" t="b">
        <v>1</v>
      </c>
      <c r="F22" t="s">
        <v>250</v>
      </c>
      <c r="G22" t="s">
        <v>238</v>
      </c>
      <c r="H22">
        <v>0.5</v>
      </c>
      <c r="I22" t="s">
        <v>221</v>
      </c>
      <c r="J22" t="s">
        <v>231</v>
      </c>
      <c r="K22" t="b">
        <v>0</v>
      </c>
    </row>
    <row r="23" spans="1:11" x14ac:dyDescent="0.35">
      <c r="A23" t="s">
        <v>147</v>
      </c>
      <c r="B23">
        <v>2019</v>
      </c>
      <c r="C23" t="s">
        <v>148</v>
      </c>
      <c r="D23" t="s">
        <v>149</v>
      </c>
      <c r="E23" t="b">
        <v>1</v>
      </c>
      <c r="F23" t="s">
        <v>250</v>
      </c>
      <c r="G23" t="s">
        <v>238</v>
      </c>
      <c r="H23">
        <v>0.5</v>
      </c>
      <c r="I23" t="s">
        <v>221</v>
      </c>
      <c r="J23" t="s">
        <v>232</v>
      </c>
      <c r="K23" t="b">
        <v>0</v>
      </c>
    </row>
    <row r="24" spans="1:11" x14ac:dyDescent="0.35">
      <c r="A24" t="s">
        <v>153</v>
      </c>
      <c r="B24">
        <v>2019</v>
      </c>
      <c r="C24" t="s">
        <v>154</v>
      </c>
      <c r="D24" t="s">
        <v>155</v>
      </c>
      <c r="E24" t="b">
        <v>1</v>
      </c>
      <c r="F24" t="s">
        <v>250</v>
      </c>
      <c r="G24" t="s">
        <v>238</v>
      </c>
      <c r="H24">
        <v>0.5</v>
      </c>
      <c r="I24" t="s">
        <v>221</v>
      </c>
      <c r="J24" t="s">
        <v>233</v>
      </c>
      <c r="K24" t="b">
        <v>0</v>
      </c>
    </row>
    <row r="25" spans="1:11" x14ac:dyDescent="0.35">
      <c r="A25" t="s">
        <v>376</v>
      </c>
      <c r="B25">
        <v>2019</v>
      </c>
      <c r="C25" t="s">
        <v>377</v>
      </c>
      <c r="D25" t="s">
        <v>787</v>
      </c>
      <c r="E25" t="b">
        <v>1</v>
      </c>
      <c r="F25" t="s">
        <v>250</v>
      </c>
      <c r="G25" t="s">
        <v>238</v>
      </c>
      <c r="H25">
        <v>0.5</v>
      </c>
      <c r="I25" t="s">
        <v>221</v>
      </c>
      <c r="J25" t="s">
        <v>231</v>
      </c>
      <c r="K25" t="b">
        <v>0</v>
      </c>
    </row>
    <row r="26" spans="1:11" x14ac:dyDescent="0.35">
      <c r="A26" t="s">
        <v>430</v>
      </c>
      <c r="B26">
        <v>2021</v>
      </c>
      <c r="C26" t="s">
        <v>431</v>
      </c>
      <c r="D26" t="s">
        <v>811</v>
      </c>
      <c r="E26" t="b">
        <v>1</v>
      </c>
      <c r="F26" t="s">
        <v>250</v>
      </c>
      <c r="G26" t="s">
        <v>238</v>
      </c>
      <c r="H26">
        <v>0.5</v>
      </c>
      <c r="I26" t="s">
        <v>221</v>
      </c>
      <c r="J26" t="s">
        <v>227</v>
      </c>
      <c r="K26" t="b">
        <v>0</v>
      </c>
    </row>
    <row r="27" spans="1:11" x14ac:dyDescent="0.35">
      <c r="A27" t="s">
        <v>433</v>
      </c>
      <c r="B27">
        <v>2021</v>
      </c>
      <c r="C27" t="s">
        <v>812</v>
      </c>
      <c r="D27" t="s">
        <v>813</v>
      </c>
      <c r="E27" t="b">
        <v>1</v>
      </c>
      <c r="F27" t="s">
        <v>250</v>
      </c>
      <c r="G27" t="s">
        <v>238</v>
      </c>
      <c r="H27">
        <v>0.5</v>
      </c>
      <c r="I27" t="s">
        <v>221</v>
      </c>
      <c r="J27" t="s">
        <v>231</v>
      </c>
      <c r="K27" t="b">
        <v>0</v>
      </c>
    </row>
    <row r="28" spans="1:11" x14ac:dyDescent="0.35">
      <c r="A28" t="s">
        <v>475</v>
      </c>
      <c r="B28">
        <v>2021</v>
      </c>
      <c r="C28" t="s">
        <v>476</v>
      </c>
      <c r="D28" t="s">
        <v>838</v>
      </c>
      <c r="E28" t="b">
        <v>1</v>
      </c>
      <c r="F28" t="s">
        <v>250</v>
      </c>
      <c r="G28" t="s">
        <v>238</v>
      </c>
      <c r="H28">
        <v>0.5</v>
      </c>
      <c r="I28" t="s">
        <v>221</v>
      </c>
      <c r="J28" t="s">
        <v>728</v>
      </c>
      <c r="K28" t="b">
        <v>0</v>
      </c>
    </row>
    <row r="29" spans="1:11" x14ac:dyDescent="0.35">
      <c r="A29" t="s">
        <v>490</v>
      </c>
      <c r="B29">
        <v>2021</v>
      </c>
      <c r="C29" t="s">
        <v>491</v>
      </c>
      <c r="D29" t="s">
        <v>844</v>
      </c>
      <c r="E29" t="b">
        <v>1</v>
      </c>
      <c r="F29" t="s">
        <v>250</v>
      </c>
      <c r="G29" t="s">
        <v>238</v>
      </c>
      <c r="H29">
        <v>0.5</v>
      </c>
      <c r="I29" t="s">
        <v>221</v>
      </c>
      <c r="J29" t="s">
        <v>728</v>
      </c>
      <c r="K29" t="b">
        <v>0</v>
      </c>
    </row>
    <row r="30" spans="1:11" x14ac:dyDescent="0.35">
      <c r="A30" t="s">
        <v>523</v>
      </c>
      <c r="B30">
        <v>2021</v>
      </c>
      <c r="C30" t="s">
        <v>860</v>
      </c>
      <c r="D30" t="s">
        <v>861</v>
      </c>
      <c r="E30" t="b">
        <v>1</v>
      </c>
      <c r="F30" t="s">
        <v>250</v>
      </c>
      <c r="G30" t="s">
        <v>238</v>
      </c>
      <c r="H30">
        <v>0.5</v>
      </c>
      <c r="I30" t="s">
        <v>221</v>
      </c>
      <c r="J30" t="s">
        <v>231</v>
      </c>
      <c r="K30" t="b">
        <v>0</v>
      </c>
    </row>
    <row r="31" spans="1:11" x14ac:dyDescent="0.35">
      <c r="A31" t="s">
        <v>529</v>
      </c>
      <c r="B31">
        <v>2021</v>
      </c>
      <c r="C31" t="s">
        <v>863</v>
      </c>
      <c r="D31" t="s">
        <v>864</v>
      </c>
      <c r="E31" t="b">
        <v>1</v>
      </c>
      <c r="F31" t="s">
        <v>250</v>
      </c>
      <c r="G31" t="s">
        <v>238</v>
      </c>
      <c r="H31">
        <v>0.5</v>
      </c>
      <c r="I31" t="s">
        <v>221</v>
      </c>
      <c r="J31" t="s">
        <v>231</v>
      </c>
      <c r="K31" t="b">
        <v>0</v>
      </c>
    </row>
    <row r="32" spans="1:11" x14ac:dyDescent="0.35">
      <c r="A32" t="s">
        <v>532</v>
      </c>
      <c r="B32">
        <v>2021</v>
      </c>
      <c r="C32" t="s">
        <v>533</v>
      </c>
      <c r="D32" t="s">
        <v>865</v>
      </c>
      <c r="E32" t="b">
        <v>1</v>
      </c>
      <c r="F32" t="s">
        <v>866</v>
      </c>
      <c r="G32" t="s">
        <v>223</v>
      </c>
      <c r="H32">
        <v>0.9</v>
      </c>
      <c r="I32" t="s">
        <v>221</v>
      </c>
      <c r="J32" t="s">
        <v>231</v>
      </c>
      <c r="K32" t="b">
        <v>0</v>
      </c>
    </row>
    <row r="33" spans="1:11" x14ac:dyDescent="0.35">
      <c r="A33" t="s">
        <v>538</v>
      </c>
      <c r="B33">
        <v>2021</v>
      </c>
      <c r="C33" t="s">
        <v>539</v>
      </c>
      <c r="D33" t="s">
        <v>868</v>
      </c>
      <c r="E33" t="b">
        <v>1</v>
      </c>
      <c r="F33" t="s">
        <v>250</v>
      </c>
      <c r="G33" t="s">
        <v>238</v>
      </c>
      <c r="H33">
        <v>0.5</v>
      </c>
      <c r="I33" t="s">
        <v>221</v>
      </c>
      <c r="J33" t="s">
        <v>231</v>
      </c>
      <c r="K33" t="b">
        <v>0</v>
      </c>
    </row>
    <row r="34" spans="1:11" x14ac:dyDescent="0.35">
      <c r="A34" t="s">
        <v>541</v>
      </c>
      <c r="B34">
        <v>2021</v>
      </c>
      <c r="C34" t="s">
        <v>542</v>
      </c>
      <c r="D34" t="s">
        <v>543</v>
      </c>
      <c r="E34" t="b">
        <v>1</v>
      </c>
      <c r="F34" t="s">
        <v>250</v>
      </c>
      <c r="G34" t="s">
        <v>238</v>
      </c>
      <c r="H34">
        <v>0.5</v>
      </c>
      <c r="I34" t="s">
        <v>221</v>
      </c>
      <c r="J34" t="s">
        <v>728</v>
      </c>
      <c r="K34" t="b">
        <v>0</v>
      </c>
    </row>
    <row r="35" spans="1:11" x14ac:dyDescent="0.35">
      <c r="A35" t="s">
        <v>573</v>
      </c>
      <c r="B35">
        <v>2021</v>
      </c>
      <c r="C35" t="s">
        <v>574</v>
      </c>
      <c r="D35" t="s">
        <v>885</v>
      </c>
      <c r="E35" t="b">
        <v>1</v>
      </c>
      <c r="F35" t="s">
        <v>250</v>
      </c>
      <c r="G35" t="s">
        <v>238</v>
      </c>
      <c r="H35">
        <v>0.5</v>
      </c>
      <c r="I35" t="s">
        <v>221</v>
      </c>
      <c r="J35" t="s">
        <v>231</v>
      </c>
      <c r="K35" t="b">
        <v>0</v>
      </c>
    </row>
    <row r="36" spans="1:11" x14ac:dyDescent="0.35">
      <c r="A36" t="s">
        <v>585</v>
      </c>
      <c r="B36">
        <v>2021</v>
      </c>
      <c r="C36" t="s">
        <v>586</v>
      </c>
      <c r="D36" t="s">
        <v>587</v>
      </c>
      <c r="E36" t="b">
        <v>1</v>
      </c>
      <c r="F36" t="s">
        <v>890</v>
      </c>
      <c r="G36" t="s">
        <v>223</v>
      </c>
      <c r="H36">
        <v>0.8</v>
      </c>
      <c r="I36" t="s">
        <v>221</v>
      </c>
      <c r="J36" t="s">
        <v>728</v>
      </c>
      <c r="K36" t="b">
        <v>0</v>
      </c>
    </row>
    <row r="37" spans="1:11" x14ac:dyDescent="0.35">
      <c r="A37" t="s">
        <v>588</v>
      </c>
      <c r="B37">
        <v>2021</v>
      </c>
      <c r="C37" t="s">
        <v>891</v>
      </c>
      <c r="D37" t="s">
        <v>892</v>
      </c>
      <c r="E37" t="b">
        <v>1</v>
      </c>
      <c r="F37" t="s">
        <v>250</v>
      </c>
      <c r="G37" t="s">
        <v>238</v>
      </c>
      <c r="H37">
        <v>0.5</v>
      </c>
      <c r="I37" t="s">
        <v>221</v>
      </c>
      <c r="J37" t="s">
        <v>728</v>
      </c>
      <c r="K37" t="b">
        <v>0</v>
      </c>
    </row>
    <row r="38" spans="1:11" ht="409.5" x14ac:dyDescent="0.35">
      <c r="A38" t="s">
        <v>597</v>
      </c>
      <c r="B38">
        <v>2021</v>
      </c>
      <c r="C38" t="s">
        <v>598</v>
      </c>
      <c r="D38" s="1" t="s">
        <v>599</v>
      </c>
      <c r="E38" t="b">
        <v>1</v>
      </c>
      <c r="F38" t="s">
        <v>898</v>
      </c>
      <c r="G38" t="s">
        <v>223</v>
      </c>
      <c r="H38">
        <v>0.9</v>
      </c>
      <c r="I38" t="s">
        <v>221</v>
      </c>
      <c r="J38" t="s">
        <v>734</v>
      </c>
      <c r="K38" t="b">
        <v>0</v>
      </c>
    </row>
    <row r="39" spans="1:11" x14ac:dyDescent="0.35">
      <c r="A39" t="s">
        <v>603</v>
      </c>
      <c r="B39">
        <v>2021</v>
      </c>
      <c r="C39" t="s">
        <v>604</v>
      </c>
      <c r="D39" t="s">
        <v>901</v>
      </c>
      <c r="E39" t="b">
        <v>1</v>
      </c>
      <c r="F39" t="s">
        <v>250</v>
      </c>
      <c r="G39" t="s">
        <v>238</v>
      </c>
      <c r="H39">
        <v>0.5</v>
      </c>
      <c r="I39" t="s">
        <v>221</v>
      </c>
      <c r="J39" t="s">
        <v>231</v>
      </c>
      <c r="K39" t="b">
        <v>0</v>
      </c>
    </row>
    <row r="40" spans="1:11" x14ac:dyDescent="0.35">
      <c r="A40" t="s">
        <v>609</v>
      </c>
      <c r="B40">
        <v>2021</v>
      </c>
      <c r="C40" t="s">
        <v>903</v>
      </c>
      <c r="D40" t="s">
        <v>904</v>
      </c>
      <c r="E40" t="b">
        <v>1</v>
      </c>
      <c r="F40" t="s">
        <v>250</v>
      </c>
      <c r="G40" t="s">
        <v>238</v>
      </c>
      <c r="H40">
        <v>0.5</v>
      </c>
      <c r="I40" t="s">
        <v>221</v>
      </c>
      <c r="J40" t="s">
        <v>231</v>
      </c>
      <c r="K40" t="b">
        <v>0</v>
      </c>
    </row>
    <row r="41" spans="1:11" x14ac:dyDescent="0.35">
      <c r="A41" t="s">
        <v>630</v>
      </c>
      <c r="B41">
        <v>2021</v>
      </c>
      <c r="C41" t="s">
        <v>631</v>
      </c>
      <c r="D41" t="s">
        <v>915</v>
      </c>
      <c r="E41" t="b">
        <v>1</v>
      </c>
      <c r="F41" t="s">
        <v>250</v>
      </c>
      <c r="G41" t="s">
        <v>238</v>
      </c>
      <c r="H41">
        <v>0.5</v>
      </c>
      <c r="I41" t="s">
        <v>221</v>
      </c>
      <c r="J41" t="s">
        <v>227</v>
      </c>
      <c r="K41" t="b">
        <v>0</v>
      </c>
    </row>
    <row r="42" spans="1:11" x14ac:dyDescent="0.35">
      <c r="A42" t="s">
        <v>636</v>
      </c>
      <c r="B42">
        <v>2021</v>
      </c>
      <c r="C42" t="s">
        <v>637</v>
      </c>
      <c r="D42" t="s">
        <v>549</v>
      </c>
      <c r="E42" t="b">
        <v>1</v>
      </c>
      <c r="F42" t="s">
        <v>250</v>
      </c>
      <c r="G42" t="s">
        <v>238</v>
      </c>
      <c r="H42">
        <v>0.5</v>
      </c>
      <c r="I42" t="s">
        <v>221</v>
      </c>
      <c r="J42" t="s">
        <v>715</v>
      </c>
      <c r="K42" t="b">
        <v>0</v>
      </c>
    </row>
    <row r="43" spans="1:11" x14ac:dyDescent="0.35">
      <c r="A43" t="s">
        <v>638</v>
      </c>
      <c r="B43">
        <v>2021</v>
      </c>
      <c r="C43" t="s">
        <v>639</v>
      </c>
      <c r="D43" t="s">
        <v>917</v>
      </c>
      <c r="E43" t="b">
        <v>1</v>
      </c>
      <c r="F43" t="s">
        <v>250</v>
      </c>
      <c r="G43" t="s">
        <v>238</v>
      </c>
      <c r="H43">
        <v>0.5</v>
      </c>
      <c r="I43" t="s">
        <v>221</v>
      </c>
      <c r="J43" t="s">
        <v>231</v>
      </c>
      <c r="K43" t="b">
        <v>0</v>
      </c>
    </row>
    <row r="44" spans="1:11" x14ac:dyDescent="0.35">
      <c r="A44" t="s">
        <v>641</v>
      </c>
      <c r="B44">
        <v>2021</v>
      </c>
      <c r="C44" t="s">
        <v>918</v>
      </c>
      <c r="D44" t="s">
        <v>919</v>
      </c>
      <c r="E44" t="b">
        <v>1</v>
      </c>
      <c r="F44" t="s">
        <v>250</v>
      </c>
      <c r="G44" t="s">
        <v>238</v>
      </c>
      <c r="H44">
        <v>0.5</v>
      </c>
      <c r="I44" t="s">
        <v>221</v>
      </c>
      <c r="J44" t="s">
        <v>231</v>
      </c>
      <c r="K44" t="b">
        <v>0</v>
      </c>
    </row>
    <row r="45" spans="1:11" x14ac:dyDescent="0.35">
      <c r="A45" t="s">
        <v>644</v>
      </c>
      <c r="B45">
        <v>2021</v>
      </c>
      <c r="C45" t="s">
        <v>645</v>
      </c>
      <c r="D45" t="s">
        <v>646</v>
      </c>
      <c r="E45" t="b">
        <v>1</v>
      </c>
      <c r="F45" t="s">
        <v>250</v>
      </c>
      <c r="G45" t="s">
        <v>238</v>
      </c>
      <c r="H45">
        <v>0.5</v>
      </c>
      <c r="I45" t="s">
        <v>221</v>
      </c>
      <c r="J45" t="s">
        <v>728</v>
      </c>
      <c r="K45" t="b">
        <v>0</v>
      </c>
    </row>
    <row r="46" spans="1:11" x14ac:dyDescent="0.35">
      <c r="A46" t="s">
        <v>663</v>
      </c>
      <c r="B46">
        <v>2025</v>
      </c>
      <c r="C46" t="s">
        <v>664</v>
      </c>
      <c r="D46" t="s">
        <v>929</v>
      </c>
      <c r="E46" t="b">
        <v>1</v>
      </c>
      <c r="F46" t="s">
        <v>250</v>
      </c>
      <c r="G46" t="s">
        <v>238</v>
      </c>
      <c r="H46">
        <v>0.5</v>
      </c>
      <c r="I46" t="s">
        <v>221</v>
      </c>
      <c r="J46" t="s">
        <v>728</v>
      </c>
      <c r="K46" t="b">
        <v>0</v>
      </c>
    </row>
    <row r="47" spans="1:11" x14ac:dyDescent="0.35">
      <c r="A47" t="s">
        <v>672</v>
      </c>
      <c r="B47">
        <v>2025</v>
      </c>
      <c r="C47" t="s">
        <v>673</v>
      </c>
      <c r="D47" t="s">
        <v>674</v>
      </c>
      <c r="E47" t="b">
        <v>1</v>
      </c>
      <c r="F47" t="s">
        <v>250</v>
      </c>
      <c r="G47" t="s">
        <v>238</v>
      </c>
      <c r="H47">
        <v>0.5</v>
      </c>
      <c r="I47" t="s">
        <v>221</v>
      </c>
      <c r="J47" t="s">
        <v>728</v>
      </c>
      <c r="K47" t="b">
        <v>0</v>
      </c>
    </row>
    <row r="48" spans="1:11" x14ac:dyDescent="0.35">
      <c r="A48" t="s">
        <v>675</v>
      </c>
      <c r="B48">
        <v>2025</v>
      </c>
      <c r="C48" t="s">
        <v>933</v>
      </c>
      <c r="D48" t="s">
        <v>934</v>
      </c>
      <c r="E48" t="b">
        <v>1</v>
      </c>
      <c r="F48" t="s">
        <v>250</v>
      </c>
      <c r="G48" t="s">
        <v>238</v>
      </c>
      <c r="H48">
        <v>0.5</v>
      </c>
      <c r="I48" t="s">
        <v>221</v>
      </c>
      <c r="J48" t="s">
        <v>728</v>
      </c>
      <c r="K4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Stage_2_API_50</vt:lpstr>
      <vt:lpstr>ID_Lookup</vt:lpstr>
      <vt:lpstr>Stage_2_FF_50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2025-09-08T10:28:49Z</dcterms:modified>
</cp:coreProperties>
</file>