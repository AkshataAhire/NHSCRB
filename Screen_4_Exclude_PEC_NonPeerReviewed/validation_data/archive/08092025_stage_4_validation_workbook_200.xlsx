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A2E818AC-1B61-4F3B-9CCE-3D4D827DE07F}" xr6:coauthVersionLast="47" xr6:coauthVersionMax="47" xr10:uidLastSave="{00000000-0000-0000-0000-000000000000}"/>
  <bookViews>
    <workbookView xWindow="-110" yWindow="-110" windowWidth="19420" windowHeight="10300" activeTab="2" xr2:uid="{66513E08-89B8-4D61-A86D-819C01466699}"/>
  </bookViews>
  <sheets>
    <sheet name="Stage_4_API_200" sheetId="1" r:id="rId1"/>
    <sheet name="ID_Lookup" sheetId="5" r:id="rId2"/>
    <sheet name="Stage_4_FF_200" sheetId="2" r:id="rId3"/>
    <sheet name="Merged results table" sheetId="3" r:id="rId4"/>
    <sheet name="Evaluating Results" sheetId="4" r:id="rId5"/>
  </sheets>
  <definedNames>
    <definedName name="_xlnm._FilterDatabase" localSheetId="3" hidden="1">'Merged results table'!$A$1:$K$37</definedName>
    <definedName name="_xlnm._FilterDatabase" localSheetId="2" hidden="1">Stage_4_FF_200!$A$1:$H$201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4" i="4"/>
  <c r="B4" i="4"/>
  <c r="B3" i="4"/>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<sst xmlns="http://schemas.openxmlformats.org/spreadsheetml/2006/main" count="3184" uniqueCount="1025">
  <si>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</si>
  <si>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</si>
  <si>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</si>
  <si>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</si>
  <si>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</si>
  <si>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</si>
  <si>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</si>
  <si>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</si>
  <si>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</si>
  <si>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</si>
  <si>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</si>
  <si>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</si>
  <si>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</si>
  <si>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</si>
  <si>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</si>
  <si>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</si>
  <si>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</si>
  <si>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</si>
  <si>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</si>
  <si>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</si>
  <si>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</si>
  <si>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</si>
  <si>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</si>
  <si>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</si>
  <si>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</si>
  <si>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</si>
  <si>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</si>
  <si>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</si>
  <si>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</si>
  <si>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</si>
  <si>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</si>
  <si>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</si>
  <si>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</si>
  <si>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</si>
  <si>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</si>
  <si>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</si>
  <si>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</si>
  <si>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</si>
  <si>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</si>
  <si>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</si>
  <si>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</si>
  <si>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</si>
  <si>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</si>
  <si>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</si>
  <si>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</si>
  <si>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</si>
  <si>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</si>
  <si>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</si>
  <si>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</si>
  <si>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</si>
  <si>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</si>
  <si>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</si>
  <si>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</si>
  <si>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</si>
  <si>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</si>
  <si>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</si>
  <si>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</si>
  <si>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</si>
  <si>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</si>
  <si>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</si>
  <si>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</si>
  <si>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</si>
  <si>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</si>
  <si>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</si>
  <si>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</si>
  <si>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</si>
  <si>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</si>
  <si>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</si>
  <si>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</si>
  <si>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</si>
  <si>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</si>
  <si>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</si>
  <si>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</si>
  <si>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</si>
  <si>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</si>
  <si>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</si>
  <si>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</si>
  <si>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</si>
  <si>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</si>
  <si>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</si>
  <si>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</si>
  <si>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</si>
  <si>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</si>
  <si>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</si>
  <si>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</si>
  <si>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</si>
  <si>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</si>
  <si>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</si>
  <si>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</si>
  <si>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</si>
  <si>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</si>
  <si>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</si>
  <si>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</si>
  <si>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</si>
  <si>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</si>
  <si>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</si>
  <si>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</si>
  <si>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</si>
  <si>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</si>
  <si>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</si>
  <si>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</si>
  <si>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</si>
  <si>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</si>
  <si>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</si>
  <si>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</si>
  <si>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</si>
  <si>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</si>
  <si>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</si>
  <si>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</si>
  <si>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</si>
  <si>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</si>
  <si>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</si>
  <si>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</si>
  <si>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</si>
  <si>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</si>
  <si>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</si>
  <si>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</si>
  <si>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</si>
  <si>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</si>
  <si>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</si>
  <si>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</si>
  <si>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</si>
  <si>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</si>
  <si>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</si>
  <si>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</si>
  <si>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</si>
  <si>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</si>
  <si>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</si>
  <si>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</si>
  <si>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</si>
  <si>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</si>
  <si>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</si>
  <si>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</si>
  <si>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</si>
  <si>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</si>
  <si>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</si>
  <si>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</si>
  <si>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</si>
  <si>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</si>
  <si>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</si>
  <si>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</si>
  <si>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</si>
  <si>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</si>
  <si>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</si>
  <si>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</si>
  <si>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</si>
  <si>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</si>
  <si>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</si>
  <si>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</si>
  <si>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</si>
  <si>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</si>
  <si>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</si>
  <si>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</si>
  <si>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</si>
  <si>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</si>
  <si>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</si>
  <si>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</si>
  <si>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</si>
  <si>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</si>
  <si>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</si>
  <si>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</si>
  <si>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</si>
  <si>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</si>
  <si>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</si>
  <si>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</si>
  <si>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</si>
  <si>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</si>
  <si>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</si>
  <si>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</si>
  <si>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</si>
  <si>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</si>
  <si>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</si>
  <si>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</si>
  <si>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</si>
  <si>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</si>
  <si>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</si>
  <si>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include_stage4</t>
  </si>
  <si>
    <t>reason_stage4</t>
  </si>
  <si>
    <t>publication_type</t>
  </si>
  <si>
    <t>confidence_stage4</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</si>
  <si>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</si>
  <si>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Peer-reviewed</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</si>
  <si>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</si>
  <si>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</si>
  <si>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</si>
  <si>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Peer-reviewed article in a reputable journal.</t>
  </si>
  <si>
    <t>Peer-reviewed article presenting original research findings.</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</si>
  <si>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</si>
  <si>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</si>
  <si>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Peer-reviewed article from Cochrane Database.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</si>
  <si>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</si>
  <si>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</si>
  <si>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</si>
  <si>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Editorial/Commentary</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</si>
  <si>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Ãƒâ€šÃ‚Â© 2019 Author(s).</t>
  </si>
  <si>
    <t>Protocol</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</si>
  <si>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</si>
  <si>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Peer-reviewed article published by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</si>
  <si>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</si>
  <si>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Peer-reviewed article evaluating cost-effectiveness of AAA screening in women.</t>
  </si>
  <si>
    <t>Peer-reviewed systematic review and economic evaluation.</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</si>
  <si>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Ãƒâ€šÃ‚Â© Ãƒâ€šÃ‚Â© Author(s) (or their employer(s)) 2019. Re-use permitted under CC BY. Published by BMJ.</t>
  </si>
  <si>
    <t>Study protocol identified in title and abstract.</t>
  </si>
  <si>
    <t>Peer-reviewed article on cost-effectiveness of public health interventions.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</si>
  <si>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Ãƒâ€šÃ‚Â© 2019 BMJ Publishing Group Limited.</t>
  </si>
  <si>
    <t>Study protocol for a randomised controlled trial.</t>
  </si>
  <si>
    <t>Correct study type</t>
  </si>
  <si>
    <t>think this is essentially a Protocol</t>
  </si>
  <si>
    <t>Appears to be a peer-reviewed article on cost-effectiveness analysis.</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</si>
  <si>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</si>
  <si>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Cochrane Review is peer-reviewed and not a protocol or commentary.</t>
  </si>
  <si>
    <t>Peer-reviewed article on pharmaceutical value assessment.</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</si>
  <si>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</si>
  <si>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Peer-reviewed article with research findings.</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</si>
  <si>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ChildbirthÃƒÂ¢Ã¢â€šÂ¬Ã¢â€žÂ¢s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TVUÃƒÂ¢Ã¢â€šÂ¬Ã‚Âmeasured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TVUÃƒÂ¢Ã¢â€šÂ¬Ã‚Âmeasured cervical length of singletons with symptoms of PTL versus no knowledge. We are uncertain of the effects because of inconclusive results and very lowÃƒÂ¢Ã¢â€šÂ¬Ã‚Âquality evidence for: preterm births at less than 37 weeks (average RR 0.59, 95% CI 0.26 to 1.32; 2 studies, 242 participants; IÃƒâ€šÃ‚Â² = 66%; TauÃƒâ€šÃ‚Â²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ultrasoundÃƒÂ¢Ã¢â€šÂ¬Ã‚Âmeasured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costÃƒÂ¢Ã¢â€šÂ¬Ã‚Âeffectiveness analyses. Most importantly, future studies should include a clear protocol for management of women based on TVUÃƒÂ¢Ã¢â€šÂ¬Ã‚Âmeasured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lowÃƒÂ¢Ã¢â€šÂ¬Ã‚Âquality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costÃƒÂ¢Ã¢â€šÂ¬Ã‚Âeffectiveness analyses.</t>
  </si>
  <si>
    <t>Appears to be a review article, not original research.</t>
  </si>
  <si>
    <t>Unknown</t>
  </si>
  <si>
    <t>Peer-reviewed article on cost-effectiveness of adalimumab.</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</si>
  <si>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</si>
  <si>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</si>
  <si>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Peer-reviewed network meta-analysis article.</t>
  </si>
  <si>
    <t>OnceÃƒÂ¢Ã¢â€šÂ¬Ã‚Âdaily versus multipleÃƒÂ¢Ã¢â€šÂ¬Ã‚Âdaily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</si>
  <si>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onceÃƒÂ¢Ã¢â€šÂ¬Ã‚Âdaily versus multipleÃƒÂ¢Ã¢â€šÂ¬Ã‚Âdaily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onceÃƒÂ¢Ã¢â€šÂ¬Ã‚Âdaily dosing of aminoglycosides has been compared with multipleÃƒÂ¢Ã¢â€šÂ¬Ã‚Âdaily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onceÃƒÂ¢Ã¢â€šÂ¬Ã‚Âdaily dosing with thriceÃƒÂ¢Ã¢â€šÂ¬Ã‚Âdaily dosing. One crossÃƒÂ¢Ã¢â€šÂ¬Ã‚Âover trial had 26 participants who received the firstÃƒÂ¢Ã¢â€šÂ¬Ã‚Âarm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ÃƒÂ¢Ã¢â€šÂ¬Ã‚Â2.81 to 3.48, moderateÃƒÂ¢Ã¢â€šÂ¬Ã‚Âquality evidence); forced vital capacity, MD 0.29 (95% CI ÃƒÂ¢Ã¢â€šÂ¬Ã‚Â6.58 to 7.16, lowÃƒÂ¢Ã¢â€šÂ¬Ã‚Âquality evidence); % weight for height, MD ÃƒÂ¢Ã¢â€šÂ¬Ã‚Â0.82 (95% CI ÃƒÂ¢Ã¢â€šÂ¬Ã‚Â3.77 to 2.13, lowÃƒÂ¢Ã¢â€šÂ¬Ã‚Âquality evidence); body mass index, MD 0.00 (95% CI ÃƒÂ¢Ã¢â€šÂ¬Ã‚Â0.42 to 0.42, lowÃƒÂ¢Ã¢â€šÂ¬Ã‚Âquality evidence); or in the incidence of ototoxicity, relative risk 0.56 (95% CI 0.04 to 7.96, moderateÃƒÂ¢Ã¢â€šÂ¬Ã‚Âquality evidence). OnceÃƒÂ¢Ã¢â€šÂ¬Ã‚Âdaily treatment in children probably improved the percentage change in creatinine, MD ÃƒÂ¢Ã¢â€šÂ¬Ã‚Â8.20 (95% CI ÃƒÂ¢Ã¢â€šÂ¬Ã‚Â15.32 to ÃƒÂ¢Ã¢â€šÂ¬Ã‚Â1.08, moderateÃƒÂ¢Ã¢â€šÂ¬Ã‚Âquality evidence), but showed no difference in adults, MD 3.25 (95% CI ÃƒÂ¢Ã¢â€šÂ¬Ã‚Â1.82 to 8.33, moderateÃƒÂ¢Ã¢â€šÂ¬Ã‚Âquality evidence). The included trials did not report antibiotic resistance patterns or quality of life. Authors' conclusions OnceÃƒÂ¢Ã¢â€šÂ¬Ã‚Â and threeÃƒÂ¢Ã¢â€šÂ¬Ã‚Âtimes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onceÃƒÂ¢Ã¢â€šÂ¬Ã‚ÂaÃƒÂ¢Ã¢â€šÂ¬Ã‚Âday dosing with three timesÃƒÂ¢Ã¢â€šÂ¬Ã‚ÂaÃƒÂ¢Ã¢â€šÂ¬Ã‚Âday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onceÃƒÂ¢Ã¢â€šÂ¬Ã‚Âdaily treatment can be just as effective and more convenient than threeÃƒÂ¢Ã¢â€šÂ¬Ã‚Âtimes daily treatment, we recommend further studies to look at the longÃƒÂ¢Ã¢â€šÂ¬Ã‚Âterm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</si>
  <si>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Appears to be a review article, not primary research.</t>
  </si>
  <si>
    <t>Research article in a peer-reviewed journal.</t>
  </si>
  <si>
    <t>Appears to be a peer-reviewed article with no indication of being a protocol or commentary.</t>
  </si>
  <si>
    <t>Appears to be a peer-reviewed study on drug uptake.</t>
  </si>
  <si>
    <t>Peer-reviewed article published by BMJ Publishing Group.</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</si>
  <si>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</si>
  <si>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</si>
  <si>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Peer-reviewed article with RCTs and data analysis.</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</si>
  <si>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</si>
  <si>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</si>
  <si>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Peer-reviewed article with RCTs and quasi-randomized studies.</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</si>
  <si>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</si>
  <si>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</si>
  <si>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Peer-reviewed article comparing medical techniques.</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</si>
  <si>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</si>
  <si>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Cochrane review indicates peer-reviewed article.</t>
  </si>
  <si>
    <t>Appears to be an editorial or commentary.</t>
  </si>
  <si>
    <t>Peer-reviewed mapping review in reputable journal.</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</si>
  <si>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</si>
  <si>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Peer-reviewed article from Cochrane Schizophrenia's study-based Register.</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</si>
  <si>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</si>
  <si>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Peer-reviewed Cochrane Review article.</t>
  </si>
  <si>
    <t>Study protocol for a randomised controlled trial</t>
  </si>
  <si>
    <t>Describes a cost-effectiveness model, likely peer-reviewed.</t>
  </si>
  <si>
    <t>Peer-reviewed RCT study published in a reputable journal.</t>
  </si>
  <si>
    <t>Research article assessing impact of funding on footcare services.</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</si>
  <si>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</si>
  <si>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Systematic review in a reputable journal, not a protocol or commentary.</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</si>
  <si>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</si>
  <si>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</si>
  <si>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</si>
  <si>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</si>
  <si>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</si>
  <si>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</si>
  <si>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</si>
  <si>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</si>
  <si>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</si>
  <si>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</si>
  <si>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</si>
  <si>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</si>
  <si>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</si>
  <si>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</si>
  <si>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</si>
  <si>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</si>
  <si>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</si>
  <si>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</si>
  <si>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</si>
  <si>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</si>
  <si>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</si>
  <si>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</si>
  <si>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</si>
  <si>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</si>
  <si>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</si>
  <si>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</si>
  <si>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</si>
  <si>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</si>
  <si>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</si>
  <si>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</si>
  <si>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</si>
  <si>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</si>
  <si>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</si>
  <si>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</si>
  <si>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</si>
  <si>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</si>
  <si>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</si>
  <si>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</si>
  <si>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</si>
  <si>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</si>
  <si>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</si>
  <si>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</si>
  <si>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</si>
  <si>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</si>
  <si>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</si>
  <si>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</si>
  <si>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</si>
  <si>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</si>
  <si>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</si>
  <si>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</si>
  <si>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</si>
  <si>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</si>
  <si>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</si>
  <si>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</si>
  <si>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</si>
  <si>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</si>
  <si>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</si>
  <si>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</si>
  <si>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</si>
  <si>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</si>
  <si>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</si>
  <si>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</si>
  <si>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</si>
  <si>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</si>
  <si>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</si>
  <si>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</si>
  <si>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</si>
  <si>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</si>
  <si>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</si>
  <si>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</si>
  <si>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</si>
  <si>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</si>
  <si>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</si>
  <si>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</si>
  <si>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</si>
  <si>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</si>
  <si>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</si>
  <si>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</si>
  <si>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</si>
  <si>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</si>
  <si>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</si>
  <si>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</si>
  <si>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</si>
  <si>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</si>
  <si>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</si>
  <si>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</si>
  <si>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</si>
  <si>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</si>
  <si>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</si>
  <si>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</si>
  <si>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</si>
  <si>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</si>
  <si>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</si>
  <si>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</si>
  <si>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</si>
  <si>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</si>
  <si>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</si>
  <si>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</si>
  <si>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</si>
  <si>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</si>
  <si>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</si>
  <si>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</si>
  <si>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</si>
  <si>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</si>
  <si>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</si>
  <si>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</si>
  <si>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</si>
  <si>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</si>
  <si>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</si>
  <si>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</si>
  <si>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</si>
  <si>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</si>
  <si>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</si>
  <si>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</si>
  <si>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</si>
  <si>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</si>
  <si>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</si>
  <si>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</si>
  <si>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</si>
  <si>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</si>
  <si>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</si>
  <si>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</si>
  <si>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</si>
  <si>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</si>
  <si>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</si>
  <si>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</si>
  <si>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</si>
  <si>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</si>
  <si>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</si>
  <si>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</si>
  <si>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</si>
  <si>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</si>
  <si>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</si>
  <si>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</si>
  <si>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</si>
  <si>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</si>
  <si>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</si>
  <si>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</si>
  <si>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</si>
  <si>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</si>
  <si>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</si>
  <si>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</si>
  <si>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</si>
  <si>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</si>
  <si>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</si>
  <si>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</si>
  <si>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</si>
  <si>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</si>
  <si>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</si>
  <si>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</si>
  <si>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</si>
  <si>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</si>
  <si>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</si>
  <si>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</si>
  <si>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</si>
  <si>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</si>
  <si>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</si>
  <si>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</si>
  <si>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</si>
  <si>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</si>
  <si>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</si>
  <si>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</si>
  <si>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</si>
  <si>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</si>
  <si>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</si>
  <si>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</si>
  <si>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</si>
  <si>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</si>
  <si>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</si>
  <si>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</si>
  <si>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</si>
  <si>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</si>
  <si>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</si>
  <si>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</si>
  <si>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</si>
  <si>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</si>
  <si>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</si>
  <si>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</si>
  <si>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</si>
  <si>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</si>
  <si>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</si>
  <si>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</si>
  <si>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</si>
  <si>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</si>
  <si>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</si>
  <si>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</si>
  <si>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</si>
  <si>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</si>
  <si>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</si>
  <si>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</si>
  <si>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</si>
  <si>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</si>
  <si>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</si>
  <si>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</si>
  <si>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</si>
  <si>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</si>
  <si>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</si>
  <si>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</si>
  <si>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</si>
  <si>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</si>
  <si>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</si>
  <si>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</si>
  <si>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</si>
  <si>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</si>
  <si>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</si>
  <si>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</si>
  <si>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</si>
  <si>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</si>
  <si>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</si>
  <si>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</si>
  <si>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</si>
  <si>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</si>
  <si>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</si>
  <si>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</si>
  <si>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</si>
  <si>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</si>
  <si>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</si>
  <si>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</si>
  <si>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</si>
  <si>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</si>
  <si>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</si>
  <si>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</si>
  <si>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</si>
  <si>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</si>
  <si>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</si>
  <si>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</si>
  <si>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</si>
  <si>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</si>
  <si>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</si>
  <si>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</si>
  <si>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</si>
  <si>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</si>
  <si>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</si>
  <si>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</si>
  <si>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</si>
  <si>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</si>
  <si>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</si>
  <si>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</si>
  <si>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</si>
  <si>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</si>
  <si>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</si>
  <si>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</si>
  <si>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</si>
  <si>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</si>
  <si>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</si>
  <si>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</si>
  <si>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</si>
  <si>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</si>
  <si>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</si>
  <si>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</si>
  <si>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</si>
  <si>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</si>
  <si>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</si>
  <si>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</si>
  <si>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</si>
  <si>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</si>
  <si>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</si>
  <si>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</si>
  <si>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</si>
  <si>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</si>
  <si>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</si>
  <si>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</si>
  <si>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</si>
  <si>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</si>
  <si>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</si>
  <si>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</si>
  <si>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</si>
  <si>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</si>
  <si>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</si>
  <si>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</si>
  <si>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</si>
  <si>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</si>
  <si>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</si>
  <si>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</si>
  <si>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</si>
  <si>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</si>
  <si>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</si>
  <si>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</si>
  <si>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</si>
  <si>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</si>
  <si>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</si>
  <si>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</si>
  <si>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</si>
  <si>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</si>
  <si>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</si>
  <si>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</si>
  <si>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</si>
  <si>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</si>
  <si>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</si>
  <si>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</si>
  <si>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</si>
  <si>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</si>
  <si>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</si>
  <si>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</si>
  <si>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</si>
  <si>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</si>
  <si>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</si>
  <si>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</si>
  <si>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</si>
  <si>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</si>
  <si>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</si>
  <si>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</si>
  <si>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</si>
  <si>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</si>
  <si>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</si>
  <si>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</si>
  <si>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</si>
  <si>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</si>
  <si>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</si>
  <si>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</si>
  <si>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</si>
  <si>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</si>
  <si>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</si>
  <si>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</si>
  <si>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</si>
  <si>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</si>
  <si>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</si>
  <si>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</si>
  <si>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</si>
  <si>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</si>
  <si>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</si>
  <si>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</si>
  <si>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</si>
  <si>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</si>
  <si>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</si>
  <si>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</si>
  <si>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</si>
  <si>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</si>
  <si>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</si>
  <si>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</si>
  <si>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</si>
  <si>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</si>
  <si>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</si>
  <si>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</si>
  <si>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</si>
  <si>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</si>
  <si>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</si>
  <si>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</si>
  <si>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</si>
  <si>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</si>
  <si>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</si>
  <si>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</si>
  <si>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</si>
  <si>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</si>
  <si>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</si>
  <si>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</si>
  <si>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</si>
  <si>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</si>
  <si>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</si>
  <si>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</si>
  <si>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</si>
  <si>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</si>
  <si>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</si>
  <si>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</si>
  <si>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</si>
  <si>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</si>
  <si>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</si>
  <si>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</si>
  <si>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</si>
  <si>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</si>
  <si>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</si>
  <si>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</si>
  <si>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</si>
  <si>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</si>
  <si>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</si>
  <si>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</si>
  <si>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</si>
  <si>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</si>
  <si>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</si>
  <si>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</si>
  <si>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</si>
  <si>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</si>
  <si>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</si>
  <si>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</si>
  <si>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</si>
  <si>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</si>
  <si>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</si>
  <si>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</si>
  <si>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</si>
  <si>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</si>
  <si>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</si>
  <si>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</si>
  <si>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</si>
  <si>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</si>
  <si>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</si>
  <si>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</si>
  <si>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</si>
  <si>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</si>
  <si>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</si>
  <si>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</si>
  <si>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</si>
  <si>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</si>
  <si>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</si>
  <si>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</si>
  <si>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</si>
  <si>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</si>
  <si>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</si>
  <si>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</si>
  <si>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</si>
  <si>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</si>
  <si>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</si>
  <si>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</si>
  <si>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</si>
  <si>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</si>
  <si>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</si>
  <si>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</si>
  <si>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</si>
  <si>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</si>
  <si>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</si>
  <si>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</si>
  <si>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</si>
  <si>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</si>
  <si>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</si>
  <si>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</si>
  <si>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</si>
  <si>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</si>
  <si>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</si>
  <si>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</si>
  <si>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</si>
  <si>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</si>
  <si>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</si>
  <si>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</si>
  <si>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</si>
  <si>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</si>
  <si>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</si>
  <si>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</si>
  <si>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</si>
  <si>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</si>
  <si>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</si>
  <si>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</si>
  <si>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</si>
  <si>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</si>
  <si>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</si>
  <si>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</si>
  <si>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</si>
  <si>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</si>
  <si>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</si>
  <si>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</si>
  <si>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</si>
  <si>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</si>
  <si>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</si>
  <si>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</si>
  <si>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</si>
  <si>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could exclude as guideline</t>
  </si>
  <si>
    <t>could exclude, think this a presentation</t>
  </si>
  <si>
    <t>could exclude as recommendations</t>
  </si>
  <si>
    <t>comment</t>
  </si>
  <si>
    <t>more grey lit?</t>
  </si>
  <si>
    <t>might be more grey lit?</t>
  </si>
  <si>
    <t>Correct study type - but might be commentary</t>
  </si>
  <si>
    <t>reason_stage3</t>
  </si>
  <si>
    <t>Study uses NHS perspective and involves NHS list price.</t>
  </si>
  <si>
    <t>Orthodontic treatment implies clinical setting.</t>
  </si>
  <si>
    <t>Study involves NHS settings in the UK for schizophrenia treatment.</t>
  </si>
  <si>
    <t>Study involves pregnancy management likely in NHS or community health settings.</t>
  </si>
  <si>
    <t>Study involves antenatal ultrasound screening, likely in NHS or community health settings.</t>
  </si>
  <si>
    <t>Study conducted from NHS perspective.</t>
  </si>
  <si>
    <t>Study uses data from NHS hospitals in England.</t>
  </si>
  <si>
    <t>Study involves treatment of hepatorenal syndrome likely in hospital settings.</t>
  </si>
  <si>
    <t>Study conducted in a UK healthcare setting with patient treatment data.</t>
  </si>
  <si>
    <t>Study conducted in a UK healthcare setting, likely NHS.</t>
  </si>
  <si>
    <t>IV antibiotics for cystic fibrosis implies hospital or community health setting.</t>
  </si>
  <si>
    <t>Study involves emergency and primary healthcare settings.</t>
  </si>
  <si>
    <t>Study involves neurorehabilitation in NHS settings.</t>
  </si>
  <si>
    <t>Study assesses budget impact in UK NHS context.</t>
  </si>
  <si>
    <t>Study involves NHS prescription data analysis.</t>
  </si>
  <si>
    <t>Study conducted in NHS paediatric diabetes services.</t>
  </si>
  <si>
    <t>Study involves perioperative care in surgical settings.</t>
  </si>
  <si>
    <t>Study involves cardiac surgery, likely in hospital settings.</t>
  </si>
  <si>
    <t>Study involves treatment of CP in children, likely in clinical settings.</t>
  </si>
  <si>
    <t>Endometrial ablation likely occurs in hospital or clinical settings.</t>
  </si>
  <si>
    <t>Study likely occurs in community health settings for HMB treatment.</t>
  </si>
  <si>
    <t>Involves NHS England specialised commissioning.</t>
  </si>
  <si>
    <t>Involves chronic disease management in community health settings.</t>
  </si>
  <si>
    <t>Study involves NHS emergency and urgent care interventions.</t>
  </si>
  <si>
    <t>Interventions likely occur in community health settings.</t>
  </si>
  <si>
    <t>Study adopts a UK NHS perspective, implying NHS setting.</t>
  </si>
  <si>
    <t>Study models NHS AAA screening programme.</t>
  </si>
  <si>
    <t>Study involves post-reduction care likely in community health settings.</t>
  </si>
  <si>
    <t>Study evaluates surgical treatments impacting NHS settings.</t>
  </si>
  <si>
    <t>Study occurs in NHS settings for oesophagectomy.</t>
  </si>
  <si>
    <t>Model estimates NHS and social care costs.</t>
  </si>
  <si>
    <t>Study estimates NHS and social care costs.</t>
  </si>
  <si>
    <t>Study occurs in NHS screening clinics.</t>
  </si>
  <si>
    <t>Study occurs in an NHS screening program.</t>
  </si>
  <si>
    <t>Study occurs in NHS settings with footcare services.</t>
  </si>
  <si>
    <t>Study focuses on nurse retention in healthcare settings.</t>
  </si>
  <si>
    <t>Study evaluates NHS cost-effectiveness for CMV prophylaxis in transplant patients.</t>
  </si>
  <si>
    <t>Appears to be a peer-reviewed cost-effectiveness analysis.</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</si>
  <si>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</si>
  <si>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</si>
  <si>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Pharmacy-based management implies community health setting.</t>
  </si>
  <si>
    <t>Systematic review of RCTs in reputable databases.</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</si>
  <si>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Ãƒâ€šÃ‚Â© 2019 Rila Publications Ltd."</t>
  </si>
  <si>
    <t>Study occurs in a UK district hospital setting.</t>
  </si>
  <si>
    <t>Published by Rila Publications Ltd, which may not be reputable.</t>
  </si>
  <si>
    <t>Study occurs in an NHS endoscopy unit.</t>
  </si>
  <si>
    <t>Publication type is unknown; lacks clear peer-review or grey literature signals.</t>
  </si>
  <si>
    <t>Study involves NHS pathways from primary to specialist care.</t>
  </si>
  <si>
    <t>Appears to be a conference abstract or report, not a peer-reviewed article.</t>
  </si>
  <si>
    <t>Grey literature</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</si>
  <si>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</si>
  <si>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Study analyzes NHS prescription drug spending in primary care.</t>
  </si>
  <si>
    <t>Appears to be grey literature, likely a conference abstract.</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</si>
  <si>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</si>
  <si>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Study likely in community health settings due to urotherapy and interventions for children.</t>
  </si>
  <si>
    <t>Peer-reviewed article from Cochrane Review.</t>
  </si>
  <si>
    <t>Study conducted in NHS hospital endoscopy unit.</t>
  </si>
  <si>
    <t>Appears to be a peer-reviewed research article.</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</si>
  <si>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</si>
  <si>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Likely occurs in community health settings for cancer survivors.</t>
  </si>
  <si>
    <t>Peer-reviewed article from reputable sources.</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</si>
  <si>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Ãƒâ€šÃ‚Â© 2019 Author(s) (or their employer(s)). Re-use permitted under CC BY-NC.</t>
  </si>
  <si>
    <t>Study occurs in community-based falls and memory assessment services.</t>
  </si>
  <si>
    <t>Qualitative study in a peer-reviewed journal.</t>
  </si>
  <si>
    <t>Study occurs in primary care and community settings.</t>
  </si>
  <si>
    <t>Article is a study protocol.</t>
  </si>
  <si>
    <t>Study occurs in a district general hospital, an NHS setting.</t>
  </si>
  <si>
    <t>Insufficient information to determine peer-review status</t>
  </si>
  <si>
    <t>- Background Although delirium is typically an acute reversible cognitive impairment, its presence is associated with devastating impact on both shortÃƒÂ¢Ã¢â€šÂ¬Ã‚Âterm and longÃƒÂ¢Ã¢â€šÂ¬Ã‚Âterm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deliriumÃƒÂ¢Ã¢â€šÂ¬Ã‚Âfree and comaÃƒÂ¢Ã¢â€šÂ¬Ã‚Âfree days; days with coma; delirium relapse; duration of mechanical ventilation; intensive care unit (ICU) and hospital length of stay; mortality; and longÃƒÂ¢Ã¢â€šÂ¬Ã‚Âterm outcomes (e.g. cognitive; discharge disposition; healthÃƒÂ¢Ã¢â€šÂ¬Ã‚Ârelated quality of life); and 2. the safety of such treatments for critically ill adult patients. Search methods We searched the following databases from their inception date to 21 March 2019: Ovid MEDLINEÃƒâ€šÃ‚Â®, Ovid MEDLINEÃƒâ€šÃ‚Â® InÃƒÂ¢Ã¢â€šÂ¬Ã‚ÂProcess &amp; Other NonÃƒÂ¢Ã¢â€šÂ¬Ã‚ÂIndexed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quasiÃƒÂ¢Ã¢â€šÂ¬Ã‚ÂRCTs, of any pharmacological (drug) for treatment of delirium in critically ill adults. The drug intervention was to be compared to another active drug treatment, placebo, or a nonÃƒÂ¢Ã¢â€šÂ¬Ã‚Âpharmacological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highÃƒÂ¢Ã¢â€šÂ¬Ã‚Âdependency unit. Data collection and analysis Two review authors independently identified studies from the search results; four review authors (in pairs) performed data extraction and assessed risk of bias independently. We performed data synthesis through pairwise metaÃƒÂ¢Ã¢â€šÂ¬Ã‚Âanalysis and network metaÃƒÂ¢Ã¢â€šÂ¬Ã‚Âanalysis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placeboÃƒÂ¢Ã¢â€šÂ¬Ã‚Âcontrolled,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nonÃƒÂ¢Ã¢â€šÂ¬Ã‚Âpharmacological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moderateÃƒÂ¢Ã¢â€šÂ¬Ã‚Âquality evidence). In order of descending SUCRA values (best to worst), the next best interventions were atypical antipsychotics (RoM 0.80, 95% CrI 0.50 to 1.11; SUCRA 0.738; moderateÃƒÂ¢Ã¢â€šÂ¬Ã‚Âquality evidence), opioids (RoM 0.88, 95% CrI 0.37 to 2.01; SUCRA 0.578; veryÃƒÂ¢Ã¢â€šÂ¬Ã‚Âlow quality evidence), and typical antipsychotics (RoM 0.96, 95% CrI 0.64 to1.36; SUCRA 0.468; highÃƒÂ¢Ã¢â€šÂ¬Ã‚Âquality evidence). The NMAs of multiple secondary outcomes revealed that only the alpha 2 agonist dexmedetomidine was associated with a shorter duration of mechanical ventilation (RoM 0.55, 95% CrI 0.34 to 0.89; moderateÃƒÂ¢Ã¢â€šÂ¬Ã‚Âquality evidence), and the CHE inhibitor rivastigmine was associated with a longer ICU stay (RoM 2.19, 95% CrI 1.47 to 3.27; moderateÃƒÂ¢Ã¢â€šÂ¬Ã‚Âquality evidence). Adverse events often were not reported in these trials or, when reported, were rare; pairÃƒÂ¢Ã¢â€šÂ¬Ã‚Âwise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deliriumÃƒÂ¢Ã¢â€šÂ¬Ã‚Âfree and comaÃƒÂ¢Ã¢â€šÂ¬Ã‚Âfree days, days with coma, physical restraint use, length of stay, longÃƒÂ¢Ã¢â€šÂ¬Ã‚Âterm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newÃƒÂ¢Ã¢â€šÂ¬Ã‚Âonset, generally shortÃƒÂ¢Ã¢â€šÂ¬Ã‚Âterm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longerÃƒÂ¢Ã¢â€šÂ¬Ã‚Âterm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ÃƒÂ¢Ã¢â€šÂ¬Ã‚Â an inactive medicine also known as a sugar pill; four studies compared different drugs. Eleven studies with 1153 participants reported on the main outcome of this review ÃƒÂ¢Ã¢â€šÂ¬Ã‚Â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metaÃƒÂ¢Ã¢â€šÂ¬Ã‚Âanalysis to compare the six different drug classes. Dexmedetomidine was ranked most effective in reducing delirium duration, followed by atypical antipsychotics. However, network metaÃƒÂ¢Ã¢â€šÂ¬Ã‚Âanalysis of delirium duration failed to rule out the possibility of no difference for all six drug classes compared to placebo. Using this method, we did not find that any drug improved the duration of coma, length of stay, longÃƒÂ¢Ã¢â€šÂ¬Ã‚Âterm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</si>
  <si>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Study occurs in ICU settings, part of NHS or Health &amp; Social Care.</t>
  </si>
  <si>
    <t>Appears to be a study protocol based on objectives and methods description.</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</si>
  <si>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</si>
  <si>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</si>
  <si>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Study occurs in hospital settings.</t>
  </si>
  <si>
    <t>Peer-reviewed article on nurse staffing models and outcomes.</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</si>
  <si>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</si>
  <si>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</si>
  <si>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Study occurs in primary care consultations.</t>
  </si>
  <si>
    <t>Study occurs in community-based CAMHS, part of NHS services.</t>
  </si>
  <si>
    <t>Observational study in a reputable journal.</t>
  </si>
  <si>
    <t>Study occurs in general practice, a community health setting.</t>
  </si>
  <si>
    <t>Identified as a study protocol</t>
  </si>
  <si>
    <t>Study evaluates screening in NHS context.</t>
  </si>
  <si>
    <t>Conference abstract, a form of grey literature.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</si>
  <si>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</si>
  <si>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Study conducted from the health service perspective in England.</t>
  </si>
  <si>
    <t>Peer-reviewed modelling study, not a protocol or commentary.</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</si>
  <si>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Ãƒâ€šÃ‚Â© Author(s) (or their employer(s)) 2019. Re-use permitted under CC BY. Published by BMJ.</t>
  </si>
  <si>
    <t>Study involves pharmacies and SRH clinics in the UK.</t>
  </si>
  <si>
    <t>FLS services are part of NHS or community health settings.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</si>
  <si>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</si>
  <si>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Study occurs in community pharmacy settings.</t>
  </si>
  <si>
    <t>Peer-reviewed article assessing interventions in community pharmacies.</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</si>
  <si>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</si>
  <si>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Study involves hospitalization and intensive care for botulism.</t>
  </si>
  <si>
    <t>Cochrane review indicates peer-reviewed status.</t>
  </si>
  <si>
    <t>Study involves NHS111 Online, an NHS service.</t>
  </si>
  <si>
    <t>Systematic review likely peer-reviewed or grey literature.</t>
  </si>
  <si>
    <t>Introduction</t>
  </si>
  <si>
    <t>Diabetes management likely in NHS or community health settings.</t>
  </si>
  <si>
    <t>Insufficient information to determine publication type or peer-review status.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</si>
  <si>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</si>
  <si>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Study involves NHS primary care prescription data.</t>
  </si>
  <si>
    <t>Peer-reviewed article estimating cost savings for NHS.</t>
  </si>
  <si>
    <t>Study involves NHS priority-setting via NICE.</t>
  </si>
  <si>
    <t>Unclear if peer-reviewed or grey literature; lacks explicit signals.</t>
  </si>
  <si>
    <t>Study conducted in a district general hospital.</t>
  </si>
  <si>
    <t>Retrospective observational study in a hospital setting.</t>
  </si>
  <si>
    <t>Study evaluates treatments relevant to NHS funding decisions.</t>
  </si>
  <si>
    <t>Peer-reviewed article evaluating cost-effectiveness in cardiology.</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</si>
  <si>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</si>
  <si>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Peer support in addition to standard care implies NHS or Health &amp; Social Care setting.</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</si>
  <si>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</si>
  <si>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Study uses NHS perspective for diabetes care cost impact.</t>
  </si>
  <si>
    <t>Appears to be a peer-reviewed article with no signs of being a protocol or commentary.</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</si>
  <si>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</si>
  <si>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Study conducted in secondary care settings.</t>
  </si>
  <si>
    <t>Peer-reviewed article from Cochrane, a reputable source.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</si>
  <si>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</si>
  <si>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Study conducted in NHS hospital setting.</t>
  </si>
  <si>
    <t>Conference abstract, part of grey literature.</t>
  </si>
  <si>
    <t>Study conducted in NHS setting (Leeds Teaching Hospitals NHS Trust).</t>
  </si>
  <si>
    <t>Publication type is unknown; cannot confirm peer-review status.</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</si>
  <si>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</si>
  <si>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</si>
  <si>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Study occurs in community-based primary and tertiary care or outpatient clinics.</t>
  </si>
  <si>
    <t>Background:</t>
  </si>
  <si>
    <t>Perioperative care implies hospital setting.</t>
  </si>
  <si>
    <t>Narrative review likely an editorial/commentary.</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</si>
  <si>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</si>
  <si>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</si>
  <si>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Study likely in clinical settings treating LUTS/BPO.</t>
  </si>
  <si>
    <t>Peer-reviewed article from a systematic review.</t>
  </si>
  <si>
    <t>Study occurs in NHS outpatient clinic.</t>
  </si>
  <si>
    <t>Publication type is unknown; insufficient information on peer-review status.</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</si>
  <si>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Ãƒâ€šÃ‚Â© Queen's Printer and Controller of HMSO 2021.</t>
  </si>
  <si>
    <t>Study occurs in NHS hospitals and community services.</t>
  </si>
  <si>
    <t>Mixed-methods study in a reputable setting, likely peer-reviewed.</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</si>
  <si>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</si>
  <si>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Study involves dementia drug withdrawal, likely in NHS or community settings.</t>
  </si>
  <si>
    <t>Peer-reviewed article from Cochrane review.</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</si>
  <si>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</si>
  <si>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Study involves NHS staff and occupational health services.</t>
  </si>
  <si>
    <t>Feasibility study in grey literature, not a protocol or commentary.</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</si>
  <si>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</si>
  <si>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Study occurs in homes of stroke survivors, a community health setting.</t>
  </si>
  <si>
    <t>Peer-reviewed article in BMJ, a reputable journal.</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</si>
  <si>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</si>
  <si>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Study conducted from a National Health Service perspective.</t>
  </si>
  <si>
    <t>Peer-reviewed cost-utility analysis article.</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</si>
  <si>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Ãƒâ€šÃ‚Â© Author(s) (or their employer(s)) 2021. Re-use permitted under CC BY. Published by BMJ.</t>
  </si>
  <si>
    <t>Study uses NHS Hospital Episode Statistics and National Vascular Registry data.</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</si>
  <si>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Ãƒâ€šÃ‚Â© 2020, The Author(s).</t>
  </si>
  <si>
    <t>Study involves surgical intervention data from NHS settings.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</si>
  <si>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Ãƒâ€šÃ‚Â© 2021</t>
  </si>
  <si>
    <t>Study occurs in community health settings.</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</si>
  <si>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</si>
  <si>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Study uses NHS and Personal Social Services perspective.</t>
  </si>
  <si>
    <t>Peer-reviewed article on cost effectiveness study.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</si>
  <si>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</si>
  <si>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ERAS protocols are implemented in hospital settings.</t>
  </si>
  <si>
    <t>Peer-reviewed systematic review and meta-analysis.</t>
  </si>
  <si>
    <t>Study occurs in UK primary care, an NHS setting.</t>
  </si>
  <si>
    <t>Peer-reviewed research article with multiple study designs.</t>
  </si>
  <si>
    <t>Study involves out-of-hospital cardiac arrest, implying emergency medical services.</t>
  </si>
  <si>
    <t>RCT suggests peer-reviewed research article.</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</si>
  <si>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</si>
  <si>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Study occurs in NHS ambulance services.</t>
  </si>
  <si>
    <t>RCT published in a reputable journal, not a protocol or commentary.</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</si>
  <si>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</si>
  <si>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Rehabilitation post-surgery implies clinical setting.</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</si>
  <si>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Ãƒâ€šÃ‚Â© The Author(s) 2020."</t>
  </si>
  <si>
    <t>Pharmacist involvement in COPD management implies community health setting.</t>
  </si>
  <si>
    <t>Appears to be a peer-reviewed article summarizing research findings.</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</si>
  <si>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</si>
  <si>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Study occurs in NHS hospital settings.</t>
  </si>
  <si>
    <t>Peer-reviewed research article in a reputable journal.</t>
  </si>
  <si>
    <t>Study conducted in UK centres, likely NHS settings.</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</si>
  <si>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</si>
  <si>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</si>
  <si>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Study involves chemotherapy, likely in hospital or outpatient settings.</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</si>
  <si>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</si>
  <si>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</si>
  <si>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Study involves treatments for variceal bleeding, likely in hospital settings.</t>
  </si>
  <si>
    <t>Peer-reviewed network meta-analysis in a reputable journal.</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</si>
  <si>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</si>
  <si>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Study includes primary, secondary, and tertiary care settings.</t>
  </si>
  <si>
    <t>Peer-reviewed article with meta-analysis in reputable sources.</t>
  </si>
  <si>
    <t>Program implementation through National Healthy Childhood Programme implies community health setting.</t>
  </si>
  <si>
    <t>Appears to be a commentary or discussion piece.</t>
  </si>
  <si>
    <t>Study uses NHS hospital data and settings.</t>
  </si>
  <si>
    <t>Cohort study likely peer-reviewed; no signs of being protocol, editorial, or predatory.</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</si>
  <si>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Ãƒâ€šÃ‚Â© 2021, The Author(s).</t>
  </si>
  <si>
    <t>Study involves NHS physiotherapy teams and home-based rehabilitation.</t>
  </si>
  <si>
    <t>Study protocol identified in the title.</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</si>
  <si>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</si>
  <si>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</si>
  <si>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Intermittent catheterisation implies clinical settings like hospitals or home care.</t>
  </si>
  <si>
    <t>Cochrane Review is peer-reviewed and not a protocol/editorial.</t>
  </si>
  <si>
    <t>Study occurs in UK ambulance service, part of NHS.</t>
  </si>
  <si>
    <t>The article is a study protocol.</t>
  </si>
  <si>
    <t>Environmental enrichment for stroke and other nonÃƒÂ¢Ã¢â€šÂ¬Ã‚Âprogressive brain injury</t>
  </si>
  <si>
    <t>- Background Rehabilitation is effective for recovery after stroke and other nonÃƒÂ¢Ã¢â€šÂ¬Ã‚Âprogressive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wellÃƒÂ¢Ã¢â€šÂ¬Ã‚Âbeing, functional recovery, activity levels and quality of life in people who have stroke or nonÃƒÂ¢Ã¢â€šÂ¬Ã‚Âprogressive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nonÃƒÂ¢Ã¢â€šÂ¬Ã‚ÂRCTs and two described coÃƒÂ¢Ã¢â€šÂ¬Ã‚Âinterventions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costÃƒÂ¢Ã¢â€šÂ¬Ã‚Âeffectiveness, and safety of the intervention in people following stroke or other nonÃƒÂ¢Ã¢â€šÂ¬Ã‚Âprogressive brain injuries. It should be noted, however, that it is challenging to randomise or doubleÃƒÂ¢Ã¢â€šÂ¬Ã‚Âblind trials of environmental enrichment given the nature of the intervention. Plain language summary Treatment using environmental enrichment for supporting rehabilitation following stroke and other brain injuries which do not get worse over time (nonÃƒÂ¢Ã¢â€šÂ¬Ã‚Âprogressive brain injury) Background Rehabilitation helps with recovery after stroke and other nonÃƒÂ¢Ã¢â€šÂ¬Ã‚Âprogressive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ÃƒÂ¢Ã¢â€šÂ¬Ã‚Â¨We wanted to find out whether treatment with environmental enrichment is better or worse than alternatives. Search date ÃƒÂ¢Ã¢â€šÂ¬Ã‚Â¨The evidence is current to 26 October 2020. Study characteristics ÃƒÂ¢Ã¢â€šÂ¬Ã‚Â¨Population: we planned to include studies in which participants were adults who had had a stroke or a nonÃƒÂ¢Ã¢â€šÂ¬Ã‚Âprogressive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wellÃƒÂ¢Ã¢â€šÂ¬Ã‚Âbeing (anxiety, depression, stress) and coping. Secondary outcomes focused on quality of life, physical function, communication and cognitive function, and activity levels. We also planned to report adverse events. Key results ÃƒÂ¢Ã¢â€šÂ¬Ã‚Â¨We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wellÃƒÂ¢Ã¢â€šÂ¬Ã‚Âbeing and coping. We were uncertain of the results because the trial was very small and highly prone to bias. Conclusion ÃƒÂ¢Ã¢â€šÂ¬Ã‚Â¨The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costÃƒÂ¢Ã¢â€šÂ¬Ã‚Âeffective, and if it is safe for people following stroke or other nonÃƒÂ¢Ã¢â€šÂ¬Ã‚Âprogressive brain injuries.</t>
  </si>
  <si>
    <t>Study occurs in an inpatient rehabilitation setting.</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</si>
  <si>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lipidÃƒÂ¢Ã¢â€šÂ¬Ã‚Âlowering therapy. However, the majority of patients in the UK and worldwide remain undiagnosed. Established diagnostic criteria in current clinical practice are the SimonÃƒÂ¢Ã¢â€šÂ¬Ã‚ÂBroome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clusterÃƒÂ¢Ã¢â€šÂ¬Ã‚ÂRCTs and nonÃƒÂ¢Ã¢â€šÂ¬Ã‚Ârandomised studies of interventions (NRSI). Eligible NRSI were nonÃƒÂ¢Ã¢â€šÂ¬Ã‚Ârandomised controlled trials, prospective cohort studies, controlled beforeÃƒÂ¢Ã¢â€šÂ¬Ã‚ÂandÃƒÂ¢Ã¢â€šÂ¬Ã‚Âafter studies, and interruptedÃƒÂ¢Ã¢â€šÂ¬Ã‚ÂtimeÃƒÂ¢Ã¢â€šÂ¬Ã‚Âseries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beforeÃƒÂ¢Ã¢â€šÂ¬Ã‚ÂandÃƒÂ¢Ã¢â€šÂ¬Ã‚Âafter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cholesterolÃƒÂ¢Ã¢â€šÂ¬Ã‚Âlowering tablets markedly reduces this risk. As well as raised cholesterol in the blood, family history of heart disease and the presence of fatty lumps under the skin could indicate familial hypercholesterolaemia. It is important that communityÃƒÂ¢Ã¢â€šÂ¬Ã‚Âbased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2021.ÃƒÂ¢Ã¢â€šÂ¬Ã‚Â¨ÃƒÂ¢Ã¢â€šÂ¬Ã‚Â¨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BetterÃƒÂ¢Ã¢â€šÂ¬Ã‚Âdesigned studies, with diagnosis of definite familial hypercholesterolaemia confirmed by genetic tests, are needed to clearly answer this question.</t>
  </si>
  <si>
    <t>Study focuses on primary care and community settings.</t>
  </si>
  <si>
    <t>Appears to be a study protocol or review with no eligible studies included.</t>
  </si>
  <si>
    <t>Study occurs in NHS setting as inferred from context.</t>
  </si>
  <si>
    <t>Appears to be a peer-reviewed cost-utility analysis.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</si>
  <si>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</si>
  <si>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IUI treatment likely occurs in fertility clinics or hospitals.</t>
  </si>
  <si>
    <t>Gestational diabetes management implies healthcare settings.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</si>
  <si>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Ãƒâ€šÃ‚Â©</t>
  </si>
  <si>
    <t>Study occurs in NHS settings in England.</t>
  </si>
  <si>
    <t>Study occurs in primary care, a community health setting.</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</si>
  <si>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Ãƒâ€šÃ‚Â© 2021, The Author(s).</t>
  </si>
  <si>
    <t>Study occurs in primary care settings.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</si>
  <si>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</si>
  <si>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Study evaluates VNS in NHS settings for epilepsy treatment.</t>
  </si>
  <si>
    <t>Peer-reviewed article published by Taylor &amp; Francis Group.</t>
  </si>
  <si>
    <t>Introduction BarrettÃƒÂ¢Ã¢â€šÂ¬Ã¢â€žÂ¢s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</si>
  <si>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Study occurs in UK NHS hospitals.</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</si>
  <si>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</si>
  <si>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</si>
  <si>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NIV treatment for COPD likely occurs in community health settings.</t>
  </si>
  <si>
    <t>Study involves NHS reimbursement and patient access in the UK.</t>
  </si>
  <si>
    <t>Peer-reviewed article analyzing treatment access and cost in oncology.</t>
  </si>
  <si>
    <t>Study on mental healthcare likely involves NHS or community health settings.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</si>
  <si>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</si>
  <si>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Study involves maternity and perinatal care in NHS settings.</t>
  </si>
  <si>
    <t>Peer-reviewed article on clinical trial data management.</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</si>
  <si>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quasiÃƒÂ¢Ã¢â€šÂ¬Ã‚Ârandomised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lowerÃƒÂ¢Ã¢â€šÂ¬Ã‚Âquality sources of evidence. In a future update of this review, we plan to appraise and incorporate eligible randomised controlled trials, as well as other highÃƒÂ¢Ã¢â€šÂ¬Ã‚Âquality, nonÃƒÂ¢Ã¢â€šÂ¬Ã‚Ârandomised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oneÃƒÂ¢Ã¢â€šÂ¬Ã‚Âthird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betterÃƒÂ¢Ã¢â€šÂ¬Ã‚Âconducted observational studies. This is an update of a previously published Cochrane Review.</t>
  </si>
  <si>
    <t>Acquired haemophilia A treatment implies hospital or clinical setting.</t>
  </si>
  <si>
    <t>Cochrane Review update, likely a commentary/editorial</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</si>
  <si>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metaÃƒÂ¢Ã¢â€šÂ¬Ã‚Âanalysis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lowÃƒÂ¢Ã¢â€šÂ¬Ã‚Âquality evidence). The rate of ipsilateral stroke under both types of anaesthesia was 3.1% (Peto OR 1.03, 95% CI 0.71 to 1.48; P = 0.89; 2 studies, 3733 participants; lowÃƒÂ¢Ã¢â€šÂ¬Ã‚Âquality evidence). The incidence of stroke or death in the local anaesthesia group was 3.5%, while stroke or death incidence was 4.1% in the general anaesthesia group (Peto OR 0.85, 95% CI 0.62 to 1.16; P = 0.31; 11 studies, 4391 participants; lowÃƒÂ¢Ã¢â€šÂ¬Ã‚Âquality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highÃƒÂ¢Ã¢â€šÂ¬Ã‚Âquality studies are still needed as the evidence is of limited reliability. Plain language summary Is local or general anaesthesia better during surgery to widen the main blood vessel to the brain when it becomes narrowed (carotid endarterectomy)? Key messages ÃƒÂ¢Ã¢â€šÂ¬Ã‚Â Current evidence does not show any clear difference between local anaesthesia (where the patient remains awake) and general anaesthesia for the risk of stroke, death, or other unwanted effects for people having surgery to widen a narrowed carotid artery (carotid endarterectomy). ÃƒÂ¢Ã¢â€šÂ¬Ã‚Â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ÃƒÂ¢Ã¢â€šÂ¬Ã¢â‚¬Å“ carotid endarterectomy ÃƒÂ¢Ã¢â€šÂ¬Ã¢â‚¬Å“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ÃƒÂ¢Ã¢â€šÂ¬Ã‚Â lowers the risk of stroke and death around the time of the operation;ÃƒÂ¢Ã¢â€šÂ¬Ã‚Â¨ÃƒÂ¢Ã¢â€šÂ¬Ã‚Â lowers the rate of other unwanted effects; andÃƒÂ¢Ã¢â€šÂ¬Ã‚Â¨ÃƒÂ¢Ã¢â€šÂ¬Ã‚Â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</si>
  <si>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Carotid endarterectomy occurs in hospital settings.</t>
  </si>
  <si>
    <t>Appears to be a Cochrane Review, likely a commentary or summary.</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</si>
  <si>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Ãƒâ€šÃ‚Â© 2021 Reynolds et al.</t>
  </si>
  <si>
    <t>Study context implies NHS or community health settings.</t>
  </si>
  <si>
    <t>Appears to be a commentary or review, not original research.</t>
  </si>
  <si>
    <t>Appears to be a report or audit, likely grey literature</t>
  </si>
  <si>
    <t>Study likely involves NHS or community health settings for childhood cancer survivors.</t>
  </si>
  <si>
    <t>Systematic review in a peer-reviewed journal.</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</si>
  <si>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</si>
  <si>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</si>
  <si>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Study involves intravenous thrombolysis and endovascular thrombectomy, implying hospital settings.</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</si>
  <si>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</si>
  <si>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</si>
  <si>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Study involves treatment of bleeding varices, likely in hospital settings.</t>
  </si>
  <si>
    <t>Network meta-analysis in peer-reviewed journal.</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</si>
  <si>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</si>
  <si>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Study conducted in hospitals, including NHS settings.</t>
  </si>
  <si>
    <t>Peer-reviewed RCT published in a reputable journal.</t>
  </si>
  <si>
    <t>Study conducted in hospitals, a community health setting.</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</si>
  <si>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Ãƒâ€šÃ‚Â© Author(s) (or their employer(s)) 2021. Re-use permitted under CC BY. Published by BMJ.</t>
  </si>
  <si>
    <t>Study occurs in NHS settings as approved by NHS Wales REC.</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</si>
  <si>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</si>
  <si>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Standard care implies NHS or community health setting.</t>
  </si>
  <si>
    <t>Study involves NHS virtual assessment for hand fractures.</t>
  </si>
  <si>
    <t>Appears to be a peer-reviewed study with clinical and financial analysis.</t>
  </si>
  <si>
    <t>Effect of testing for cancer on cancerÃƒÂ¢Ã¢â€šÂ¬Ã‚Â or venous thromboembolism (VTE)ÃƒÂ¢Ã¢â€šÂ¬Ã‚Ârelated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</si>
  <si>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nonÃƒÂ¢Ã¢â€šÂ¬Ã‚Âcancer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cancerÃƒÂ¢Ã¢â€šÂ¬Ã‚Ârelated mortality and morbidity. This is the third update of the review first published in 2015. Objectives To determine whether testing for undiagnosed cancer in people with a first episode of unprovoked VTE (DVT of the lower limb or PE) is effective in reducing cancerÃƒÂ¢Ã¢â€šÂ¬Ã‚Â or VTEÃƒÂ¢Ã¢â€šÂ¬Ã‚Ârelated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quasiÃƒÂ¢Ã¢â€šÂ¬Ã‚Ârandomised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allÃƒÂ¢Ã¢â€šÂ¬Ã‚Âcause mortality, cancerÃƒÂ¢Ã¢â€šÂ¬Ã‚Ârelated mortality and VTEÃƒÂ¢Ã¢â€šÂ¬Ã‚Ârelated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cancerÃƒÂ¢Ã¢â€šÂ¬Ã‚Ârelated mortality (odds ratio (OR) 0.49, 95% confidence interval (CI) 0.15 to 1.67; 396 participants; 2 studies; lowÃƒÂ¢Ã¢â€šÂ¬Ã‚Âcertainty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lowÃƒÂ¢Ã¢â€šÂ¬Ã‚Âcertainty evidence). There was no clear difference in detection of advanced stages between extensive tests versus tests at the physician's discretion: one participant in the extensively tested group had stage T3 compared with four participants in the control group</t>
  </si>
  <si>
    <t>Study involves testing for cancer in VTE patients, likely in NHS or hospital settings.</t>
  </si>
  <si>
    <t>Study involves NHS Scotland settings for ONS prescribing.</t>
  </si>
  <si>
    <t>Appears to be grey literature, likely a report or conference abstract.</t>
  </si>
  <si>
    <t>A pilot to support ÃƒÂ¢Ã¢â€šÂ¬Ã‹Å“New Ways of WorkingÃƒÂ¢Ã¢â€šÂ¬Ã¢â€žÂ¢ for</t>
  </si>
  <si>
    <t>Involves community pharmacy and nutritional care, likely in community health settings.</t>
  </si>
  <si>
    <t>Insufficient information to determine publication type</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</si>
  <si>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Ãƒâ€šÃ‚Â© 2020 American Journal of Preventive Medicine</t>
  </si>
  <si>
    <t>Study occurs in cervical cancer screening settings, likely in healthcare facilities.</t>
  </si>
  <si>
    <t>Peer-reviewed intervention study in a reputable journal.</t>
  </si>
  <si>
    <t>Study conducted in NHS secondary care settings.</t>
  </si>
  <si>
    <t>Peer-reviewed article published in Health Technology Assessment.</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</si>
  <si>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</si>
  <si>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</si>
  <si>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Study involves clinical trials likely in hospital settings.</t>
  </si>
  <si>
    <t>Discusses NHS pharmaceutical spending policies.</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</si>
  <si>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</si>
  <si>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Study conducted in intensive care units.</t>
  </si>
  <si>
    <t>Peer-reviewed article from Cochrane Library.</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</si>
  <si>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</si>
  <si>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</si>
  <si>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Study involves robotic-assisted laparoscopic prostatectomy, implying hospital setting.</t>
  </si>
  <si>
    <t>Peer-reviewed article from a reputable source.</t>
  </si>
  <si>
    <t>Study involves emergency care models for cancer patients, likely in hospital settings.</t>
  </si>
  <si>
    <t>Peer-reviewed article reviewing models of care for cancer patients.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</si>
  <si>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</si>
  <si>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Study adopts a National Health Service perspective.</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</si>
  <si>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Ãƒâ€šÃ‚Â© 2021 Research Institute for Gastroenterology and Liver Diseases. All rights reserved.</t>
  </si>
  <si>
    <t>Study conducted in UK hospital outpatient settings.</t>
  </si>
  <si>
    <t>Appears to be a peer-reviewed clinical audit article.</t>
  </si>
  <si>
    <t>Study occurs in UK hospital outpatient settings.</t>
  </si>
  <si>
    <t>Study involves NHS and community health settings for eating disorder treatments.</t>
  </si>
  <si>
    <t>Appears to be a report or recommendation document.</t>
  </si>
  <si>
    <t>Study conducted in NHS paediatric critical care units.</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</si>
  <si>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</si>
  <si>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Ãƒâ€šÃ‚Â© 2025, Galore Knowledge Publication Pvt. Ltd.. All rights reserved."</t>
  </si>
  <si>
    <t>Study involves hospital leadership decision making.</t>
  </si>
  <si>
    <t>Published by Galore Knowledge Publication, likely predatory.</t>
  </si>
  <si>
    <t>Study involves private ambulance services in the UK, part of Health &amp; Social Care.</t>
  </si>
  <si>
    <t>Appears to be a peer-reviewed article with research findings.</t>
  </si>
  <si>
    <t>RCTs occurred in various healthcare settings.</t>
  </si>
  <si>
    <t>Preprint status suggests non-peer-reviewed publication.</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</si>
  <si>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</si>
  <si>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</si>
  <si>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Peer-reviewed article from Cochrane Database of Systematic Reviews.</t>
  </si>
  <si>
    <t>Study occurs in an NHS hospital setting.</t>
  </si>
  <si>
    <t>Preprint on medRxiv, not peer-reviewed</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</si>
  <si>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</si>
  <si>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Study involves postpartum haemorrhage management, likely in hospital settings.</t>
  </si>
  <si>
    <t>Peer-reviewed article with RCTs and meta-analysis.</t>
  </si>
  <si>
    <t>Study occurs in UK care homes, part of Health &amp; Social Care.</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</si>
  <si>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</si>
  <si>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Study involves clinical pathways in secondary care settings.</t>
  </si>
  <si>
    <t>Study involves health service use and hospital outpatient services.</t>
  </si>
  <si>
    <t>Peer-reviewed article on cost-effectiveness of an intervention.</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</si>
  <si>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</si>
  <si>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Study involves home-exercise programs for MSK conditions, likely in community health settings.</t>
  </si>
  <si>
    <t>Study involves UK-based severe psoriasis registry, likely NHS setting.</t>
  </si>
  <si>
    <t>Published on medRxiv, a preprint server, not peer-reviewed.</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</si>
  <si>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</si>
  <si>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Study involves major orthopaedic surgery, likely in hospital settings.</t>
  </si>
  <si>
    <t>31  False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</si>
</sst>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cellXfs>
  <cellStyles count="1">
    <cellStyle name="Normal" xfId="0" builtinId="0"/>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154"/>
  <sheetViews>
    <sheetView workbookViewId="0">
      <selection activeCell="I154" sqref="I1:I154"/>
    </sheetView>
  </sheetViews>
  <sheetFormatPr defaultRowHeight="14.5" x14ac:dyDescent="0.35"/>
  <sheetData>
    <row r="1" spans="1:9" x14ac:dyDescent="0.35">
      <c r="A1" t="s">
        <v>0</v>
      </c>
      <c r="B1" t="s">
        <v>1</v>
      </c>
      <c r="C1" t="s">
        <v>2</v>
      </c>
      <c r="D1" t="s">
        <v>3</v>
      </c>
      <c r="E1" t="s">
        <v>701</v>
      </c>
      <c r="F1" t="s">
        <v>176</v>
      </c>
      <c r="G1" t="s">
        <v>177</v>
      </c>
      <c r="H1" t="s">
        <v>178</v>
      </c>
      <c r="I1" t="s">
        <v>179</v>
      </c>
    </row>
    <row r="2" spans="1:9" x14ac:dyDescent="0.35">
      <c r="A2" t="s">
        <v>8</v>
      </c>
      <c r="B2">
        <v>2019</v>
      </c>
      <c r="C2" t="s">
        <v>9</v>
      </c>
      <c r="D2" t="s">
        <v>180</v>
      </c>
      <c r="E2" t="s">
        <v>702</v>
      </c>
      <c r="F2" t="b">
        <v>1</v>
      </c>
      <c r="G2" t="s">
        <v>208</v>
      </c>
      <c r="H2" t="s">
        <v>181</v>
      </c>
      <c r="I2">
        <v>0.9</v>
      </c>
    </row>
    <row r="3" spans="1:9" x14ac:dyDescent="0.35">
      <c r="A3" t="s">
        <v>10</v>
      </c>
      <c r="B3">
        <v>2019</v>
      </c>
      <c r="C3" t="s">
        <v>11</v>
      </c>
      <c r="D3" t="s">
        <v>209</v>
      </c>
      <c r="E3" t="s">
        <v>703</v>
      </c>
      <c r="F3" t="b">
        <v>1</v>
      </c>
      <c r="G3" t="s">
        <v>210</v>
      </c>
      <c r="H3" t="s">
        <v>181</v>
      </c>
      <c r="I3">
        <v>0.9</v>
      </c>
    </row>
    <row r="4" spans="1:9" x14ac:dyDescent="0.35">
      <c r="A4" t="s">
        <v>12</v>
      </c>
      <c r="B4">
        <v>2019</v>
      </c>
      <c r="C4" t="s">
        <v>13</v>
      </c>
      <c r="D4" t="s">
        <v>182</v>
      </c>
      <c r="E4" t="s">
        <v>704</v>
      </c>
      <c r="F4" t="b">
        <v>1</v>
      </c>
      <c r="G4" t="s">
        <v>211</v>
      </c>
      <c r="H4" t="s">
        <v>181</v>
      </c>
      <c r="I4">
        <v>0.9</v>
      </c>
    </row>
    <row r="5" spans="1:9" x14ac:dyDescent="0.35">
      <c r="A5" t="s">
        <v>14</v>
      </c>
      <c r="B5">
        <v>2019</v>
      </c>
      <c r="C5" t="s">
        <v>15</v>
      </c>
      <c r="D5" t="s">
        <v>212</v>
      </c>
      <c r="E5" t="s">
        <v>705</v>
      </c>
      <c r="F5" t="b">
        <v>1</v>
      </c>
      <c r="G5" t="s">
        <v>213</v>
      </c>
      <c r="H5" t="s">
        <v>181</v>
      </c>
      <c r="I5">
        <v>0.9</v>
      </c>
    </row>
    <row r="6" spans="1:9" x14ac:dyDescent="0.35">
      <c r="A6" t="s">
        <v>16</v>
      </c>
      <c r="B6">
        <v>2019</v>
      </c>
      <c r="C6" t="s">
        <v>17</v>
      </c>
      <c r="D6" t="s">
        <v>214</v>
      </c>
      <c r="E6" t="s">
        <v>706</v>
      </c>
      <c r="F6" t="b">
        <v>0</v>
      </c>
      <c r="G6" t="s">
        <v>215</v>
      </c>
      <c r="H6" t="s">
        <v>216</v>
      </c>
      <c r="I6">
        <v>0.6</v>
      </c>
    </row>
    <row r="7" spans="1:9" x14ac:dyDescent="0.35">
      <c r="A7" t="s">
        <v>19</v>
      </c>
      <c r="B7">
        <v>2019</v>
      </c>
      <c r="C7" t="s">
        <v>20</v>
      </c>
      <c r="D7" t="s">
        <v>183</v>
      </c>
      <c r="E7" t="s">
        <v>707</v>
      </c>
      <c r="F7" t="b">
        <v>1</v>
      </c>
      <c r="G7" t="s">
        <v>217</v>
      </c>
      <c r="H7" t="s">
        <v>181</v>
      </c>
      <c r="I7">
        <v>0.9</v>
      </c>
    </row>
    <row r="8" spans="1:9" x14ac:dyDescent="0.35">
      <c r="A8" t="s">
        <v>21</v>
      </c>
      <c r="B8">
        <v>2019</v>
      </c>
      <c r="C8" t="s">
        <v>22</v>
      </c>
      <c r="D8" t="s">
        <v>184</v>
      </c>
      <c r="E8" t="s">
        <v>708</v>
      </c>
      <c r="F8" t="b">
        <v>1</v>
      </c>
      <c r="G8" t="s">
        <v>185</v>
      </c>
      <c r="H8" t="s">
        <v>181</v>
      </c>
      <c r="I8">
        <v>0.9</v>
      </c>
    </row>
    <row r="9" spans="1:9" x14ac:dyDescent="0.35">
      <c r="A9" t="s">
        <v>23</v>
      </c>
      <c r="B9">
        <v>2019</v>
      </c>
      <c r="C9" t="s">
        <v>218</v>
      </c>
      <c r="D9" t="s">
        <v>219</v>
      </c>
      <c r="E9" t="s">
        <v>709</v>
      </c>
      <c r="F9" t="b">
        <v>1</v>
      </c>
      <c r="G9" t="s">
        <v>220</v>
      </c>
      <c r="H9" t="s">
        <v>181</v>
      </c>
      <c r="I9">
        <v>0.9</v>
      </c>
    </row>
    <row r="10" spans="1:9" x14ac:dyDescent="0.35">
      <c r="A10" t="s">
        <v>24</v>
      </c>
      <c r="B10">
        <v>2019</v>
      </c>
      <c r="C10" t="s">
        <v>25</v>
      </c>
      <c r="D10" t="s">
        <v>26</v>
      </c>
      <c r="E10" t="s">
        <v>710</v>
      </c>
      <c r="F10" t="b">
        <v>1</v>
      </c>
      <c r="G10" t="s">
        <v>186</v>
      </c>
      <c r="H10" t="s">
        <v>181</v>
      </c>
      <c r="I10">
        <v>0.9</v>
      </c>
    </row>
    <row r="11" spans="1:9" x14ac:dyDescent="0.35">
      <c r="A11" t="s">
        <v>27</v>
      </c>
      <c r="B11">
        <v>2019</v>
      </c>
      <c r="C11" t="s">
        <v>28</v>
      </c>
      <c r="D11" t="s">
        <v>29</v>
      </c>
      <c r="E11" t="s">
        <v>711</v>
      </c>
      <c r="F11" t="b">
        <v>1</v>
      </c>
      <c r="G11" t="s">
        <v>186</v>
      </c>
      <c r="H11" t="s">
        <v>181</v>
      </c>
      <c r="I11">
        <v>0.9</v>
      </c>
    </row>
    <row r="12" spans="1:9" x14ac:dyDescent="0.35">
      <c r="A12" t="s">
        <v>30</v>
      </c>
      <c r="B12">
        <v>2019</v>
      </c>
      <c r="C12" t="s">
        <v>221</v>
      </c>
      <c r="D12" t="s">
        <v>222</v>
      </c>
      <c r="E12" t="s">
        <v>712</v>
      </c>
      <c r="F12" t="b">
        <v>0</v>
      </c>
      <c r="G12" t="s">
        <v>223</v>
      </c>
      <c r="H12" t="s">
        <v>216</v>
      </c>
      <c r="I12">
        <v>0.6</v>
      </c>
    </row>
    <row r="13" spans="1:9" x14ac:dyDescent="0.35">
      <c r="A13" t="s">
        <v>31</v>
      </c>
      <c r="B13">
        <v>2019</v>
      </c>
      <c r="C13" t="s">
        <v>187</v>
      </c>
      <c r="D13" t="s">
        <v>188</v>
      </c>
      <c r="E13" t="s">
        <v>713</v>
      </c>
      <c r="F13" t="b">
        <v>1</v>
      </c>
      <c r="G13" t="s">
        <v>189</v>
      </c>
      <c r="H13" t="s">
        <v>181</v>
      </c>
      <c r="I13">
        <v>0.9</v>
      </c>
    </row>
    <row r="14" spans="1:9" x14ac:dyDescent="0.35">
      <c r="A14" t="s">
        <v>32</v>
      </c>
      <c r="B14">
        <v>2019</v>
      </c>
      <c r="C14" t="s">
        <v>33</v>
      </c>
      <c r="D14" t="s">
        <v>190</v>
      </c>
      <c r="E14" t="s">
        <v>714</v>
      </c>
      <c r="F14" t="b">
        <v>1</v>
      </c>
      <c r="G14" t="s">
        <v>224</v>
      </c>
      <c r="H14" t="s">
        <v>181</v>
      </c>
      <c r="I14">
        <v>0.9</v>
      </c>
    </row>
    <row r="15" spans="1:9" x14ac:dyDescent="0.35">
      <c r="A15" t="s">
        <v>42</v>
      </c>
      <c r="B15">
        <v>2019</v>
      </c>
      <c r="C15" t="s">
        <v>43</v>
      </c>
      <c r="D15" t="s">
        <v>44</v>
      </c>
      <c r="E15" t="s">
        <v>715</v>
      </c>
      <c r="F15" t="b">
        <v>1</v>
      </c>
      <c r="G15" t="s">
        <v>225</v>
      </c>
      <c r="H15" t="s">
        <v>181</v>
      </c>
      <c r="I15">
        <v>0.9</v>
      </c>
    </row>
    <row r="16" spans="1:9" x14ac:dyDescent="0.35">
      <c r="A16" t="s">
        <v>45</v>
      </c>
      <c r="B16">
        <v>2019</v>
      </c>
      <c r="C16" t="s">
        <v>46</v>
      </c>
      <c r="D16" t="s">
        <v>191</v>
      </c>
      <c r="E16" t="s">
        <v>716</v>
      </c>
      <c r="F16" t="b">
        <v>1</v>
      </c>
      <c r="G16" t="s">
        <v>226</v>
      </c>
      <c r="H16" t="s">
        <v>181</v>
      </c>
      <c r="I16">
        <v>0.9</v>
      </c>
    </row>
    <row r="17" spans="1:9" x14ac:dyDescent="0.35">
      <c r="A17" t="s">
        <v>47</v>
      </c>
      <c r="B17">
        <v>2019</v>
      </c>
      <c r="C17" t="s">
        <v>48</v>
      </c>
      <c r="D17" t="s">
        <v>192</v>
      </c>
      <c r="E17" t="s">
        <v>717</v>
      </c>
      <c r="F17" t="b">
        <v>1</v>
      </c>
      <c r="G17" t="s">
        <v>227</v>
      </c>
      <c r="H17" t="s">
        <v>181</v>
      </c>
      <c r="I17">
        <v>0.9</v>
      </c>
    </row>
    <row r="18" spans="1:9" x14ac:dyDescent="0.35">
      <c r="A18" t="s">
        <v>49</v>
      </c>
      <c r="B18">
        <v>2019</v>
      </c>
      <c r="C18" t="s">
        <v>228</v>
      </c>
      <c r="D18" t="s">
        <v>229</v>
      </c>
      <c r="E18" t="s">
        <v>718</v>
      </c>
      <c r="F18" t="b">
        <v>1</v>
      </c>
      <c r="G18" t="s">
        <v>230</v>
      </c>
      <c r="H18" t="s">
        <v>181</v>
      </c>
      <c r="I18">
        <v>0.9</v>
      </c>
    </row>
    <row r="19" spans="1:9" x14ac:dyDescent="0.35">
      <c r="A19" t="s">
        <v>50</v>
      </c>
      <c r="B19">
        <v>2019</v>
      </c>
      <c r="C19" t="s">
        <v>231</v>
      </c>
      <c r="D19" t="s">
        <v>232</v>
      </c>
      <c r="E19" t="s">
        <v>719</v>
      </c>
      <c r="F19" t="b">
        <v>1</v>
      </c>
      <c r="G19" t="s">
        <v>233</v>
      </c>
      <c r="H19" t="s">
        <v>181</v>
      </c>
      <c r="I19">
        <v>0.9</v>
      </c>
    </row>
    <row r="20" spans="1:9" x14ac:dyDescent="0.35">
      <c r="A20" t="s">
        <v>57</v>
      </c>
      <c r="B20">
        <v>2019</v>
      </c>
      <c r="C20" t="s">
        <v>58</v>
      </c>
      <c r="D20" t="s">
        <v>234</v>
      </c>
      <c r="E20" t="s">
        <v>720</v>
      </c>
      <c r="F20" t="b">
        <v>1</v>
      </c>
      <c r="G20" t="s">
        <v>213</v>
      </c>
      <c r="H20" t="s">
        <v>181</v>
      </c>
      <c r="I20">
        <v>0.9</v>
      </c>
    </row>
    <row r="21" spans="1:9" x14ac:dyDescent="0.35">
      <c r="A21" t="s">
        <v>60</v>
      </c>
      <c r="B21">
        <v>2019</v>
      </c>
      <c r="C21" t="s">
        <v>61</v>
      </c>
      <c r="D21" t="s">
        <v>235</v>
      </c>
      <c r="E21" t="s">
        <v>721</v>
      </c>
      <c r="F21" t="b">
        <v>1</v>
      </c>
      <c r="G21" t="s">
        <v>236</v>
      </c>
      <c r="H21" t="s">
        <v>181</v>
      </c>
      <c r="I21">
        <v>0.9</v>
      </c>
    </row>
    <row r="22" spans="1:9" x14ac:dyDescent="0.35">
      <c r="A22" t="s">
        <v>62</v>
      </c>
      <c r="B22">
        <v>2019</v>
      </c>
      <c r="C22" t="s">
        <v>63</v>
      </c>
      <c r="D22" t="s">
        <v>237</v>
      </c>
      <c r="E22" t="s">
        <v>722</v>
      </c>
      <c r="F22" t="b">
        <v>1</v>
      </c>
      <c r="G22" t="s">
        <v>238</v>
      </c>
      <c r="H22" t="s">
        <v>181</v>
      </c>
      <c r="I22">
        <v>0.9</v>
      </c>
    </row>
    <row r="23" spans="1:9" x14ac:dyDescent="0.35">
      <c r="A23" t="s">
        <v>66</v>
      </c>
      <c r="B23">
        <v>2019</v>
      </c>
      <c r="C23" t="s">
        <v>67</v>
      </c>
      <c r="D23" t="s">
        <v>68</v>
      </c>
      <c r="E23" t="s">
        <v>723</v>
      </c>
      <c r="F23" t="b">
        <v>0</v>
      </c>
      <c r="G23" t="s">
        <v>239</v>
      </c>
      <c r="H23" t="s">
        <v>193</v>
      </c>
      <c r="I23">
        <v>0.9</v>
      </c>
    </row>
    <row r="24" spans="1:9" x14ac:dyDescent="0.35">
      <c r="A24" t="s">
        <v>69</v>
      </c>
      <c r="B24">
        <v>2019</v>
      </c>
      <c r="C24" t="s">
        <v>70</v>
      </c>
      <c r="D24" t="s">
        <v>194</v>
      </c>
      <c r="E24" t="s">
        <v>724</v>
      </c>
      <c r="F24" t="b">
        <v>0</v>
      </c>
      <c r="G24" t="s">
        <v>202</v>
      </c>
      <c r="H24" t="s">
        <v>195</v>
      </c>
      <c r="I24">
        <v>1</v>
      </c>
    </row>
    <row r="25" spans="1:9" ht="409.5" x14ac:dyDescent="0.35">
      <c r="A25" t="s">
        <v>71</v>
      </c>
      <c r="B25">
        <v>2019</v>
      </c>
      <c r="C25" t="s">
        <v>72</v>
      </c>
      <c r="D25" s="1" t="s">
        <v>73</v>
      </c>
      <c r="E25" t="s">
        <v>725</v>
      </c>
      <c r="F25" t="b">
        <v>1</v>
      </c>
      <c r="G25" t="s">
        <v>240</v>
      </c>
      <c r="H25" t="s">
        <v>181</v>
      </c>
      <c r="I25">
        <v>0.9</v>
      </c>
    </row>
    <row r="26" spans="1:9" x14ac:dyDescent="0.35">
      <c r="A26" t="s">
        <v>74</v>
      </c>
      <c r="B26">
        <v>2019</v>
      </c>
      <c r="C26" t="s">
        <v>75</v>
      </c>
      <c r="D26" t="s">
        <v>241</v>
      </c>
      <c r="E26" t="s">
        <v>726</v>
      </c>
      <c r="F26" t="b">
        <v>1</v>
      </c>
      <c r="G26" t="s">
        <v>242</v>
      </c>
      <c r="H26" t="s">
        <v>181</v>
      </c>
      <c r="I26">
        <v>0.9</v>
      </c>
    </row>
    <row r="27" spans="1:9" x14ac:dyDescent="0.35">
      <c r="A27" t="s">
        <v>76</v>
      </c>
      <c r="B27">
        <v>2019</v>
      </c>
      <c r="C27" t="s">
        <v>77</v>
      </c>
      <c r="D27" t="s">
        <v>196</v>
      </c>
      <c r="E27" t="s">
        <v>727</v>
      </c>
      <c r="F27" t="b">
        <v>1</v>
      </c>
      <c r="G27" t="s">
        <v>197</v>
      </c>
      <c r="H27" t="s">
        <v>181</v>
      </c>
      <c r="I27">
        <v>0.9</v>
      </c>
    </row>
    <row r="28" spans="1:9" x14ac:dyDescent="0.35">
      <c r="A28" t="s">
        <v>78</v>
      </c>
      <c r="B28">
        <v>2019</v>
      </c>
      <c r="C28" t="s">
        <v>79</v>
      </c>
      <c r="D28" t="s">
        <v>198</v>
      </c>
      <c r="E28" t="s">
        <v>728</v>
      </c>
      <c r="F28" t="b">
        <v>1</v>
      </c>
      <c r="G28" t="s">
        <v>199</v>
      </c>
      <c r="H28" t="s">
        <v>181</v>
      </c>
      <c r="I28">
        <v>0.9</v>
      </c>
    </row>
    <row r="29" spans="1:9" x14ac:dyDescent="0.35">
      <c r="A29" t="s">
        <v>83</v>
      </c>
      <c r="B29">
        <v>2019</v>
      </c>
      <c r="C29" t="s">
        <v>84</v>
      </c>
      <c r="D29" t="s">
        <v>243</v>
      </c>
      <c r="E29" t="s">
        <v>729</v>
      </c>
      <c r="F29" t="b">
        <v>1</v>
      </c>
      <c r="G29" t="s">
        <v>244</v>
      </c>
      <c r="H29" t="s">
        <v>181</v>
      </c>
      <c r="I29">
        <v>0.9</v>
      </c>
    </row>
    <row r="30" spans="1:9" ht="409.5" x14ac:dyDescent="0.35">
      <c r="A30" t="s">
        <v>85</v>
      </c>
      <c r="B30">
        <v>2019</v>
      </c>
      <c r="C30" t="s">
        <v>86</v>
      </c>
      <c r="D30" s="1" t="s">
        <v>87</v>
      </c>
      <c r="E30" t="s">
        <v>730</v>
      </c>
      <c r="F30" t="b">
        <v>1</v>
      </c>
      <c r="G30" t="s">
        <v>200</v>
      </c>
      <c r="H30" t="s">
        <v>181</v>
      </c>
      <c r="I30">
        <v>0.9</v>
      </c>
    </row>
    <row r="31" spans="1:9" x14ac:dyDescent="0.35">
      <c r="A31" t="s">
        <v>89</v>
      </c>
      <c r="B31">
        <v>2019</v>
      </c>
      <c r="C31" t="s">
        <v>90</v>
      </c>
      <c r="D31" t="s">
        <v>201</v>
      </c>
      <c r="E31" t="s">
        <v>731</v>
      </c>
      <c r="F31" t="b">
        <v>0</v>
      </c>
      <c r="G31" t="s">
        <v>245</v>
      </c>
      <c r="H31" t="s">
        <v>195</v>
      </c>
      <c r="I31">
        <v>1</v>
      </c>
    </row>
    <row r="32" spans="1:9" x14ac:dyDescent="0.35">
      <c r="A32" t="s">
        <v>91</v>
      </c>
      <c r="B32">
        <v>2019</v>
      </c>
      <c r="C32" t="s">
        <v>92</v>
      </c>
      <c r="D32" t="s">
        <v>93</v>
      </c>
      <c r="E32" t="s">
        <v>732</v>
      </c>
      <c r="F32" t="b">
        <v>1</v>
      </c>
      <c r="G32" t="s">
        <v>246</v>
      </c>
      <c r="H32" t="s">
        <v>181</v>
      </c>
      <c r="I32">
        <v>0.8</v>
      </c>
    </row>
    <row r="33" spans="1:9" x14ac:dyDescent="0.35">
      <c r="A33" t="s">
        <v>94</v>
      </c>
      <c r="B33">
        <v>2019</v>
      </c>
      <c r="C33" t="s">
        <v>95</v>
      </c>
      <c r="D33" t="s">
        <v>96</v>
      </c>
      <c r="E33" t="s">
        <v>733</v>
      </c>
      <c r="F33" t="b">
        <v>1</v>
      </c>
      <c r="G33" t="s">
        <v>203</v>
      </c>
      <c r="H33" t="s">
        <v>181</v>
      </c>
      <c r="I33">
        <v>0.9</v>
      </c>
    </row>
    <row r="34" spans="1:9" x14ac:dyDescent="0.35">
      <c r="A34" t="s">
        <v>97</v>
      </c>
      <c r="B34">
        <v>2019</v>
      </c>
      <c r="C34" t="s">
        <v>98</v>
      </c>
      <c r="D34" t="s">
        <v>204</v>
      </c>
      <c r="E34" t="s">
        <v>734</v>
      </c>
      <c r="F34" t="b">
        <v>0</v>
      </c>
      <c r="G34" t="s">
        <v>205</v>
      </c>
      <c r="H34" t="s">
        <v>195</v>
      </c>
      <c r="I34">
        <v>0.9</v>
      </c>
    </row>
    <row r="35" spans="1:9" x14ac:dyDescent="0.35">
      <c r="A35" t="s">
        <v>99</v>
      </c>
      <c r="B35">
        <v>2019</v>
      </c>
      <c r="C35" t="s">
        <v>100</v>
      </c>
      <c r="D35" t="s">
        <v>101</v>
      </c>
      <c r="E35" t="s">
        <v>735</v>
      </c>
      <c r="F35" t="b">
        <v>1</v>
      </c>
      <c r="G35" t="s">
        <v>247</v>
      </c>
      <c r="H35" t="s">
        <v>181</v>
      </c>
      <c r="I35">
        <v>0.9</v>
      </c>
    </row>
    <row r="36" spans="1:9" x14ac:dyDescent="0.35">
      <c r="A36" t="s">
        <v>103</v>
      </c>
      <c r="B36">
        <v>2019</v>
      </c>
      <c r="C36" t="s">
        <v>104</v>
      </c>
      <c r="D36" t="s">
        <v>105</v>
      </c>
      <c r="E36" t="s">
        <v>736</v>
      </c>
      <c r="F36" t="b">
        <v>1</v>
      </c>
      <c r="G36" t="s">
        <v>248</v>
      </c>
      <c r="H36" t="s">
        <v>181</v>
      </c>
      <c r="I36">
        <v>0.9</v>
      </c>
    </row>
    <row r="37" spans="1:9" x14ac:dyDescent="0.35">
      <c r="A37" t="s">
        <v>106</v>
      </c>
      <c r="B37">
        <v>2019</v>
      </c>
      <c r="C37" t="s">
        <v>107</v>
      </c>
      <c r="D37" t="s">
        <v>249</v>
      </c>
      <c r="E37" t="s">
        <v>737</v>
      </c>
      <c r="F37" t="b">
        <v>1</v>
      </c>
      <c r="G37" t="s">
        <v>250</v>
      </c>
      <c r="H37" t="s">
        <v>181</v>
      </c>
      <c r="I37">
        <v>0.9</v>
      </c>
    </row>
    <row r="38" spans="1:9" x14ac:dyDescent="0.35">
      <c r="A38" t="s">
        <v>251</v>
      </c>
      <c r="B38">
        <v>2019</v>
      </c>
      <c r="C38" t="s">
        <v>252</v>
      </c>
      <c r="D38" t="s">
        <v>253</v>
      </c>
      <c r="E38" t="s">
        <v>738</v>
      </c>
      <c r="F38" t="b">
        <v>1</v>
      </c>
      <c r="G38" t="s">
        <v>739</v>
      </c>
      <c r="H38" t="s">
        <v>181</v>
      </c>
      <c r="I38">
        <v>0.9</v>
      </c>
    </row>
    <row r="39" spans="1:9" x14ac:dyDescent="0.35">
      <c r="A39" t="s">
        <v>254</v>
      </c>
      <c r="B39">
        <v>2019</v>
      </c>
      <c r="C39" t="s">
        <v>740</v>
      </c>
      <c r="D39" t="s">
        <v>741</v>
      </c>
      <c r="E39" t="s">
        <v>742</v>
      </c>
      <c r="F39" t="b">
        <v>1</v>
      </c>
      <c r="G39" t="s">
        <v>743</v>
      </c>
      <c r="H39" t="s">
        <v>181</v>
      </c>
      <c r="I39">
        <v>0.9</v>
      </c>
    </row>
    <row r="40" spans="1:9" x14ac:dyDescent="0.35">
      <c r="A40" t="s">
        <v>260</v>
      </c>
      <c r="B40">
        <v>2019</v>
      </c>
      <c r="C40" t="s">
        <v>261</v>
      </c>
      <c r="D40" t="s">
        <v>744</v>
      </c>
      <c r="E40" t="s">
        <v>745</v>
      </c>
      <c r="F40" t="b">
        <v>0</v>
      </c>
      <c r="G40" t="s">
        <v>746</v>
      </c>
      <c r="H40" t="s">
        <v>216</v>
      </c>
      <c r="I40">
        <v>0.6</v>
      </c>
    </row>
    <row r="41" spans="1:9" x14ac:dyDescent="0.35">
      <c r="A41" t="s">
        <v>263</v>
      </c>
      <c r="B41">
        <v>2019</v>
      </c>
      <c r="C41" t="s">
        <v>264</v>
      </c>
      <c r="D41" t="s">
        <v>265</v>
      </c>
      <c r="E41" t="s">
        <v>747</v>
      </c>
      <c r="F41" t="b">
        <v>0</v>
      </c>
      <c r="G41" t="s">
        <v>748</v>
      </c>
      <c r="H41" t="s">
        <v>216</v>
      </c>
      <c r="I41">
        <v>0.5</v>
      </c>
    </row>
    <row r="42" spans="1:9" x14ac:dyDescent="0.35">
      <c r="A42" t="s">
        <v>266</v>
      </c>
      <c r="B42">
        <v>2019</v>
      </c>
      <c r="C42" t="s">
        <v>267</v>
      </c>
      <c r="D42" t="s">
        <v>268</v>
      </c>
      <c r="E42" t="s">
        <v>749</v>
      </c>
      <c r="F42" t="b">
        <v>0</v>
      </c>
      <c r="G42" t="s">
        <v>750</v>
      </c>
      <c r="H42" t="s">
        <v>751</v>
      </c>
      <c r="I42">
        <v>0.8</v>
      </c>
    </row>
    <row r="43" spans="1:9" x14ac:dyDescent="0.35">
      <c r="A43" t="s">
        <v>269</v>
      </c>
      <c r="B43">
        <v>2019</v>
      </c>
      <c r="C43" t="s">
        <v>270</v>
      </c>
      <c r="D43" t="s">
        <v>752</v>
      </c>
      <c r="E43" t="s">
        <v>753</v>
      </c>
      <c r="F43" t="b">
        <v>1</v>
      </c>
      <c r="G43" t="s">
        <v>754</v>
      </c>
      <c r="H43" t="s">
        <v>751</v>
      </c>
      <c r="I43">
        <v>0.8</v>
      </c>
    </row>
    <row r="44" spans="1:9" x14ac:dyDescent="0.35">
      <c r="A44" t="s">
        <v>272</v>
      </c>
      <c r="B44">
        <v>2019</v>
      </c>
      <c r="C44" t="s">
        <v>273</v>
      </c>
      <c r="D44" t="s">
        <v>755</v>
      </c>
      <c r="E44" t="s">
        <v>756</v>
      </c>
      <c r="F44" t="b">
        <v>1</v>
      </c>
      <c r="G44" t="s">
        <v>757</v>
      </c>
      <c r="H44" t="s">
        <v>181</v>
      </c>
      <c r="I44">
        <v>0.9</v>
      </c>
    </row>
    <row r="45" spans="1:9" x14ac:dyDescent="0.35">
      <c r="A45" t="s">
        <v>275</v>
      </c>
      <c r="B45">
        <v>2019</v>
      </c>
      <c r="C45" t="s">
        <v>276</v>
      </c>
      <c r="D45" t="s">
        <v>277</v>
      </c>
      <c r="E45" t="s">
        <v>758</v>
      </c>
      <c r="F45" t="b">
        <v>1</v>
      </c>
      <c r="G45" t="s">
        <v>759</v>
      </c>
      <c r="H45" t="s">
        <v>181</v>
      </c>
      <c r="I45">
        <v>0.9</v>
      </c>
    </row>
    <row r="46" spans="1:9" x14ac:dyDescent="0.35">
      <c r="A46" t="s">
        <v>281</v>
      </c>
      <c r="B46">
        <v>2019</v>
      </c>
      <c r="C46" t="s">
        <v>282</v>
      </c>
      <c r="D46" t="s">
        <v>760</v>
      </c>
      <c r="E46" t="s">
        <v>761</v>
      </c>
      <c r="F46" t="b">
        <v>1</v>
      </c>
      <c r="G46" t="s">
        <v>762</v>
      </c>
      <c r="H46" t="s">
        <v>181</v>
      </c>
      <c r="I46">
        <v>0.9</v>
      </c>
    </row>
    <row r="47" spans="1:9" x14ac:dyDescent="0.35">
      <c r="A47" t="s">
        <v>284</v>
      </c>
      <c r="B47">
        <v>2019</v>
      </c>
      <c r="C47" t="s">
        <v>285</v>
      </c>
      <c r="D47" t="s">
        <v>763</v>
      </c>
      <c r="E47" t="s">
        <v>764</v>
      </c>
      <c r="F47" t="b">
        <v>1</v>
      </c>
      <c r="G47" t="s">
        <v>765</v>
      </c>
      <c r="H47" t="s">
        <v>181</v>
      </c>
      <c r="I47">
        <v>0.9</v>
      </c>
    </row>
    <row r="48" spans="1:9" x14ac:dyDescent="0.35">
      <c r="A48" t="s">
        <v>287</v>
      </c>
      <c r="B48">
        <v>2019</v>
      </c>
      <c r="C48" t="s">
        <v>288</v>
      </c>
      <c r="D48" t="s">
        <v>289</v>
      </c>
      <c r="E48" t="s">
        <v>766</v>
      </c>
      <c r="F48" t="b">
        <v>0</v>
      </c>
      <c r="G48" t="s">
        <v>767</v>
      </c>
      <c r="H48" t="s">
        <v>195</v>
      </c>
      <c r="I48">
        <v>1</v>
      </c>
    </row>
    <row r="49" spans="1:9" x14ac:dyDescent="0.35">
      <c r="A49" t="s">
        <v>293</v>
      </c>
      <c r="B49">
        <v>2019</v>
      </c>
      <c r="C49" t="s">
        <v>294</v>
      </c>
      <c r="D49" t="s">
        <v>295</v>
      </c>
      <c r="E49" t="s">
        <v>768</v>
      </c>
      <c r="F49" t="b">
        <v>0</v>
      </c>
      <c r="G49" t="s">
        <v>769</v>
      </c>
      <c r="H49" t="s">
        <v>216</v>
      </c>
      <c r="I49">
        <v>0.5</v>
      </c>
    </row>
    <row r="50" spans="1:9" x14ac:dyDescent="0.35">
      <c r="A50" t="s">
        <v>296</v>
      </c>
      <c r="B50">
        <v>2019</v>
      </c>
      <c r="C50" t="s">
        <v>297</v>
      </c>
      <c r="D50" t="s">
        <v>770</v>
      </c>
      <c r="E50" t="s">
        <v>771</v>
      </c>
      <c r="F50" t="b">
        <v>0</v>
      </c>
      <c r="G50" t="s">
        <v>772</v>
      </c>
      <c r="H50" t="s">
        <v>195</v>
      </c>
      <c r="I50">
        <v>0.9</v>
      </c>
    </row>
    <row r="51" spans="1:9" x14ac:dyDescent="0.35">
      <c r="A51" t="s">
        <v>299</v>
      </c>
      <c r="B51">
        <v>2019</v>
      </c>
      <c r="C51" t="s">
        <v>773</v>
      </c>
      <c r="D51" t="s">
        <v>774</v>
      </c>
      <c r="E51" t="s">
        <v>775</v>
      </c>
      <c r="F51" t="b">
        <v>1</v>
      </c>
      <c r="G51" t="s">
        <v>776</v>
      </c>
      <c r="H51" t="s">
        <v>181</v>
      </c>
      <c r="I51">
        <v>0.9</v>
      </c>
    </row>
    <row r="52" spans="1:9" x14ac:dyDescent="0.35">
      <c r="A52" t="s">
        <v>308</v>
      </c>
      <c r="B52">
        <v>2019</v>
      </c>
      <c r="C52" t="s">
        <v>777</v>
      </c>
      <c r="D52" t="s">
        <v>778</v>
      </c>
      <c r="E52" t="s">
        <v>779</v>
      </c>
      <c r="F52" t="b">
        <v>1</v>
      </c>
      <c r="G52" t="s">
        <v>189</v>
      </c>
      <c r="H52" t="s">
        <v>181</v>
      </c>
      <c r="I52">
        <v>0.9</v>
      </c>
    </row>
    <row r="53" spans="1:9" ht="409.5" x14ac:dyDescent="0.35">
      <c r="A53" t="s">
        <v>311</v>
      </c>
      <c r="B53">
        <v>2019</v>
      </c>
      <c r="C53" t="s">
        <v>312</v>
      </c>
      <c r="D53" s="1" t="s">
        <v>313</v>
      </c>
      <c r="E53" t="s">
        <v>780</v>
      </c>
      <c r="F53" t="b">
        <v>1</v>
      </c>
      <c r="G53" t="s">
        <v>781</v>
      </c>
      <c r="H53" t="s">
        <v>181</v>
      </c>
      <c r="I53">
        <v>0.9</v>
      </c>
    </row>
    <row r="54" spans="1:9" x14ac:dyDescent="0.35">
      <c r="A54" t="s">
        <v>317</v>
      </c>
      <c r="B54">
        <v>2019</v>
      </c>
      <c r="C54" t="s">
        <v>318</v>
      </c>
      <c r="D54" t="s">
        <v>319</v>
      </c>
      <c r="E54" t="s">
        <v>782</v>
      </c>
      <c r="F54" t="b">
        <v>0</v>
      </c>
      <c r="G54" t="s">
        <v>783</v>
      </c>
      <c r="H54" t="s">
        <v>195</v>
      </c>
      <c r="I54">
        <v>1</v>
      </c>
    </row>
    <row r="55" spans="1:9" x14ac:dyDescent="0.35">
      <c r="A55" t="s">
        <v>320</v>
      </c>
      <c r="B55">
        <v>2019</v>
      </c>
      <c r="C55" t="s">
        <v>321</v>
      </c>
      <c r="D55" t="s">
        <v>322</v>
      </c>
      <c r="E55" t="s">
        <v>784</v>
      </c>
      <c r="F55" t="b">
        <v>1</v>
      </c>
      <c r="G55" t="s">
        <v>785</v>
      </c>
      <c r="H55" t="s">
        <v>751</v>
      </c>
      <c r="I55">
        <v>0.9</v>
      </c>
    </row>
    <row r="56" spans="1:9" x14ac:dyDescent="0.35">
      <c r="A56" t="s">
        <v>323</v>
      </c>
      <c r="B56">
        <v>2019</v>
      </c>
      <c r="C56" t="s">
        <v>324</v>
      </c>
      <c r="D56" t="s">
        <v>786</v>
      </c>
      <c r="E56" t="s">
        <v>787</v>
      </c>
      <c r="F56" t="b">
        <v>1</v>
      </c>
      <c r="G56" t="s">
        <v>788</v>
      </c>
      <c r="H56" t="s">
        <v>181</v>
      </c>
      <c r="I56">
        <v>0.9</v>
      </c>
    </row>
    <row r="57" spans="1:9" x14ac:dyDescent="0.35">
      <c r="A57" t="s">
        <v>326</v>
      </c>
      <c r="B57">
        <v>2019</v>
      </c>
      <c r="C57" t="s">
        <v>327</v>
      </c>
      <c r="D57" t="s">
        <v>789</v>
      </c>
      <c r="E57" t="s">
        <v>790</v>
      </c>
      <c r="F57" t="b">
        <v>0</v>
      </c>
      <c r="G57" t="s">
        <v>202</v>
      </c>
      <c r="H57" t="s">
        <v>195</v>
      </c>
      <c r="I57">
        <v>1</v>
      </c>
    </row>
    <row r="58" spans="1:9" x14ac:dyDescent="0.35">
      <c r="A58" t="s">
        <v>341</v>
      </c>
      <c r="B58">
        <v>2019</v>
      </c>
      <c r="C58" t="s">
        <v>342</v>
      </c>
      <c r="D58" t="s">
        <v>343</v>
      </c>
      <c r="E58" t="s">
        <v>791</v>
      </c>
      <c r="F58" t="b">
        <v>0</v>
      </c>
      <c r="G58" t="s">
        <v>750</v>
      </c>
      <c r="H58" t="s">
        <v>751</v>
      </c>
      <c r="I58">
        <v>0.8</v>
      </c>
    </row>
    <row r="59" spans="1:9" x14ac:dyDescent="0.35">
      <c r="A59" t="s">
        <v>347</v>
      </c>
      <c r="B59">
        <v>2019</v>
      </c>
      <c r="C59" t="s">
        <v>348</v>
      </c>
      <c r="D59" t="s">
        <v>792</v>
      </c>
      <c r="E59" t="s">
        <v>793</v>
      </c>
      <c r="F59" t="b">
        <v>1</v>
      </c>
      <c r="G59" t="s">
        <v>794</v>
      </c>
      <c r="H59" t="s">
        <v>181</v>
      </c>
      <c r="I59">
        <v>0.9</v>
      </c>
    </row>
    <row r="60" spans="1:9" x14ac:dyDescent="0.35">
      <c r="A60" t="s">
        <v>356</v>
      </c>
      <c r="B60">
        <v>2019</v>
      </c>
      <c r="C60" t="s">
        <v>357</v>
      </c>
      <c r="D60" t="s">
        <v>795</v>
      </c>
      <c r="E60" t="s">
        <v>796</v>
      </c>
      <c r="F60" t="b">
        <v>1</v>
      </c>
      <c r="G60" t="s">
        <v>797</v>
      </c>
      <c r="H60" t="s">
        <v>181</v>
      </c>
      <c r="I60">
        <v>0.9</v>
      </c>
    </row>
    <row r="61" spans="1:9" ht="409.5" x14ac:dyDescent="0.35">
      <c r="A61" t="s">
        <v>359</v>
      </c>
      <c r="B61">
        <v>2019</v>
      </c>
      <c r="C61" t="s">
        <v>360</v>
      </c>
      <c r="D61" s="1" t="s">
        <v>361</v>
      </c>
      <c r="E61" t="s">
        <v>798</v>
      </c>
      <c r="F61" t="b">
        <v>1</v>
      </c>
      <c r="G61" t="s">
        <v>799</v>
      </c>
      <c r="H61" t="s">
        <v>751</v>
      </c>
      <c r="I61">
        <v>0.8</v>
      </c>
    </row>
    <row r="62" spans="1:9" x14ac:dyDescent="0.35">
      <c r="A62" t="s">
        <v>362</v>
      </c>
      <c r="B62">
        <v>2019</v>
      </c>
      <c r="C62" t="s">
        <v>363</v>
      </c>
      <c r="D62" t="s">
        <v>800</v>
      </c>
      <c r="E62" t="s">
        <v>801</v>
      </c>
      <c r="F62" t="b">
        <v>0</v>
      </c>
      <c r="G62" t="s">
        <v>802</v>
      </c>
      <c r="H62" t="s">
        <v>216</v>
      </c>
      <c r="I62">
        <v>0.5</v>
      </c>
    </row>
    <row r="63" spans="1:9" x14ac:dyDescent="0.35">
      <c r="A63" t="s">
        <v>368</v>
      </c>
      <c r="B63">
        <v>2019</v>
      </c>
      <c r="C63" t="s">
        <v>369</v>
      </c>
      <c r="D63" t="s">
        <v>803</v>
      </c>
      <c r="E63" t="s">
        <v>804</v>
      </c>
      <c r="F63" t="b">
        <v>1</v>
      </c>
      <c r="G63" t="s">
        <v>805</v>
      </c>
      <c r="H63" t="s">
        <v>181</v>
      </c>
      <c r="I63">
        <v>0.9</v>
      </c>
    </row>
    <row r="64" spans="1:9" x14ac:dyDescent="0.35">
      <c r="A64" t="s">
        <v>374</v>
      </c>
      <c r="B64">
        <v>2019</v>
      </c>
      <c r="C64" t="s">
        <v>375</v>
      </c>
      <c r="D64" t="s">
        <v>376</v>
      </c>
      <c r="E64" t="s">
        <v>806</v>
      </c>
      <c r="F64" t="b">
        <v>0</v>
      </c>
      <c r="G64" t="s">
        <v>807</v>
      </c>
      <c r="H64" t="s">
        <v>216</v>
      </c>
      <c r="I64">
        <v>0.5</v>
      </c>
    </row>
    <row r="65" spans="1:9" x14ac:dyDescent="0.35">
      <c r="A65" t="s">
        <v>377</v>
      </c>
      <c r="B65">
        <v>2019</v>
      </c>
      <c r="C65" t="s">
        <v>378</v>
      </c>
      <c r="D65" t="s">
        <v>379</v>
      </c>
      <c r="E65" t="s">
        <v>808</v>
      </c>
      <c r="F65" t="b">
        <v>1</v>
      </c>
      <c r="G65" t="s">
        <v>809</v>
      </c>
      <c r="H65" t="s">
        <v>181</v>
      </c>
      <c r="I65">
        <v>0.9</v>
      </c>
    </row>
    <row r="66" spans="1:9" x14ac:dyDescent="0.35">
      <c r="A66" t="s">
        <v>380</v>
      </c>
      <c r="B66">
        <v>2019</v>
      </c>
      <c r="C66" t="s">
        <v>381</v>
      </c>
      <c r="D66" t="s">
        <v>382</v>
      </c>
      <c r="E66" t="s">
        <v>810</v>
      </c>
      <c r="F66" t="b">
        <v>1</v>
      </c>
      <c r="G66" t="s">
        <v>811</v>
      </c>
      <c r="H66" t="s">
        <v>181</v>
      </c>
      <c r="I66">
        <v>0.9</v>
      </c>
    </row>
    <row r="67" spans="1:9" x14ac:dyDescent="0.35">
      <c r="A67" t="s">
        <v>383</v>
      </c>
      <c r="B67">
        <v>2019</v>
      </c>
      <c r="C67" t="s">
        <v>384</v>
      </c>
      <c r="D67" t="s">
        <v>812</v>
      </c>
      <c r="E67" t="s">
        <v>813</v>
      </c>
      <c r="F67" t="b">
        <v>1</v>
      </c>
      <c r="G67" t="s">
        <v>757</v>
      </c>
      <c r="H67" t="s">
        <v>181</v>
      </c>
      <c r="I67">
        <v>0.9</v>
      </c>
    </row>
    <row r="68" spans="1:9" x14ac:dyDescent="0.35">
      <c r="A68" t="s">
        <v>392</v>
      </c>
      <c r="B68">
        <v>2019</v>
      </c>
      <c r="C68" t="s">
        <v>393</v>
      </c>
      <c r="D68" t="s">
        <v>814</v>
      </c>
      <c r="E68" t="s">
        <v>815</v>
      </c>
      <c r="F68" t="b">
        <v>1</v>
      </c>
      <c r="G68" t="s">
        <v>816</v>
      </c>
      <c r="H68" t="s">
        <v>181</v>
      </c>
      <c r="I68">
        <v>0.9</v>
      </c>
    </row>
    <row r="69" spans="1:9" x14ac:dyDescent="0.35">
      <c r="A69" t="s">
        <v>395</v>
      </c>
      <c r="B69">
        <v>2019</v>
      </c>
      <c r="C69" t="s">
        <v>396</v>
      </c>
      <c r="D69" t="s">
        <v>817</v>
      </c>
      <c r="E69" t="s">
        <v>818</v>
      </c>
      <c r="F69" t="b">
        <v>1</v>
      </c>
      <c r="G69" t="s">
        <v>819</v>
      </c>
      <c r="H69" t="s">
        <v>181</v>
      </c>
      <c r="I69">
        <v>0.9</v>
      </c>
    </row>
    <row r="70" spans="1:9" x14ac:dyDescent="0.35">
      <c r="A70" t="s">
        <v>398</v>
      </c>
      <c r="B70">
        <v>2021</v>
      </c>
      <c r="C70" t="s">
        <v>399</v>
      </c>
      <c r="D70" t="s">
        <v>820</v>
      </c>
      <c r="E70" t="s">
        <v>821</v>
      </c>
      <c r="F70" t="b">
        <v>1</v>
      </c>
      <c r="G70" t="s">
        <v>822</v>
      </c>
      <c r="H70" t="s">
        <v>751</v>
      </c>
      <c r="I70">
        <v>0.9</v>
      </c>
    </row>
    <row r="71" spans="1:9" x14ac:dyDescent="0.35">
      <c r="A71" t="s">
        <v>404</v>
      </c>
      <c r="B71">
        <v>2021</v>
      </c>
      <c r="C71" t="s">
        <v>405</v>
      </c>
      <c r="D71" t="s">
        <v>406</v>
      </c>
      <c r="E71" t="s">
        <v>823</v>
      </c>
      <c r="F71" t="b">
        <v>0</v>
      </c>
      <c r="G71" t="s">
        <v>824</v>
      </c>
      <c r="H71" t="s">
        <v>216</v>
      </c>
      <c r="I71">
        <v>0.6</v>
      </c>
    </row>
    <row r="72" spans="1:9" x14ac:dyDescent="0.35">
      <c r="A72" t="s">
        <v>407</v>
      </c>
      <c r="B72">
        <v>2021</v>
      </c>
      <c r="C72" t="s">
        <v>825</v>
      </c>
      <c r="D72" t="s">
        <v>826</v>
      </c>
      <c r="E72" t="s">
        <v>827</v>
      </c>
      <c r="F72" t="b">
        <v>1</v>
      </c>
      <c r="G72" t="s">
        <v>213</v>
      </c>
      <c r="H72" t="s">
        <v>181</v>
      </c>
      <c r="I72">
        <v>0.9</v>
      </c>
    </row>
    <row r="73" spans="1:9" x14ac:dyDescent="0.35">
      <c r="A73" t="s">
        <v>410</v>
      </c>
      <c r="B73">
        <v>2021</v>
      </c>
      <c r="C73" t="s">
        <v>411</v>
      </c>
      <c r="D73" t="s">
        <v>828</v>
      </c>
      <c r="E73" t="s">
        <v>829</v>
      </c>
      <c r="F73" t="b">
        <v>0</v>
      </c>
      <c r="G73" t="s">
        <v>830</v>
      </c>
      <c r="H73" t="s">
        <v>193</v>
      </c>
      <c r="I73">
        <v>0.8</v>
      </c>
    </row>
    <row r="74" spans="1:9" x14ac:dyDescent="0.35">
      <c r="A74" t="s">
        <v>413</v>
      </c>
      <c r="B74">
        <v>2021</v>
      </c>
      <c r="C74" t="s">
        <v>831</v>
      </c>
      <c r="D74" t="s">
        <v>832</v>
      </c>
      <c r="E74" t="s">
        <v>833</v>
      </c>
      <c r="F74" t="b">
        <v>1</v>
      </c>
      <c r="G74" t="s">
        <v>834</v>
      </c>
      <c r="H74" t="s">
        <v>181</v>
      </c>
      <c r="I74">
        <v>0.9</v>
      </c>
    </row>
    <row r="75" spans="1:9" x14ac:dyDescent="0.35">
      <c r="A75" t="s">
        <v>416</v>
      </c>
      <c r="B75">
        <v>2021</v>
      </c>
      <c r="C75" t="s">
        <v>417</v>
      </c>
      <c r="D75" t="s">
        <v>418</v>
      </c>
      <c r="E75" t="s">
        <v>835</v>
      </c>
      <c r="F75" t="b">
        <v>0</v>
      </c>
      <c r="G75" t="s">
        <v>836</v>
      </c>
      <c r="H75" t="s">
        <v>216</v>
      </c>
      <c r="I75">
        <v>0.5</v>
      </c>
    </row>
    <row r="76" spans="1:9" x14ac:dyDescent="0.35">
      <c r="A76" t="s">
        <v>428</v>
      </c>
      <c r="B76">
        <v>2021</v>
      </c>
      <c r="C76" t="s">
        <v>429</v>
      </c>
      <c r="D76" t="s">
        <v>837</v>
      </c>
      <c r="E76" t="s">
        <v>838</v>
      </c>
      <c r="F76" t="b">
        <v>1</v>
      </c>
      <c r="G76" t="s">
        <v>839</v>
      </c>
      <c r="H76" t="s">
        <v>181</v>
      </c>
      <c r="I76">
        <v>0.8</v>
      </c>
    </row>
    <row r="77" spans="1:9" x14ac:dyDescent="0.35">
      <c r="A77" t="s">
        <v>431</v>
      </c>
      <c r="B77">
        <v>2021</v>
      </c>
      <c r="C77" t="s">
        <v>432</v>
      </c>
      <c r="D77" t="s">
        <v>840</v>
      </c>
      <c r="E77" t="s">
        <v>841</v>
      </c>
      <c r="F77" t="b">
        <v>1</v>
      </c>
      <c r="G77" t="s">
        <v>842</v>
      </c>
      <c r="H77" t="s">
        <v>181</v>
      </c>
      <c r="I77">
        <v>0.9</v>
      </c>
    </row>
    <row r="78" spans="1:9" x14ac:dyDescent="0.35">
      <c r="A78" t="s">
        <v>434</v>
      </c>
      <c r="B78">
        <v>2021</v>
      </c>
      <c r="C78" t="s">
        <v>435</v>
      </c>
      <c r="D78" t="s">
        <v>843</v>
      </c>
      <c r="E78" t="s">
        <v>844</v>
      </c>
      <c r="F78" t="b">
        <v>1</v>
      </c>
      <c r="G78" t="s">
        <v>845</v>
      </c>
      <c r="H78" t="s">
        <v>751</v>
      </c>
      <c r="I78">
        <v>0.9</v>
      </c>
    </row>
    <row r="79" spans="1:9" x14ac:dyDescent="0.35">
      <c r="A79" t="s">
        <v>437</v>
      </c>
      <c r="B79">
        <v>2021</v>
      </c>
      <c r="C79" t="s">
        <v>438</v>
      </c>
      <c r="D79" t="s">
        <v>846</v>
      </c>
      <c r="E79" t="s">
        <v>847</v>
      </c>
      <c r="F79" t="b">
        <v>1</v>
      </c>
      <c r="G79" t="s">
        <v>848</v>
      </c>
      <c r="H79" t="s">
        <v>181</v>
      </c>
      <c r="I79">
        <v>0.9</v>
      </c>
    </row>
    <row r="80" spans="1:9" x14ac:dyDescent="0.35">
      <c r="A80" t="s">
        <v>440</v>
      </c>
      <c r="B80">
        <v>2021</v>
      </c>
      <c r="C80" t="s">
        <v>441</v>
      </c>
      <c r="D80" t="s">
        <v>849</v>
      </c>
      <c r="E80" t="s">
        <v>850</v>
      </c>
      <c r="F80" t="b">
        <v>1</v>
      </c>
      <c r="G80" t="s">
        <v>851</v>
      </c>
      <c r="H80" t="s">
        <v>181</v>
      </c>
      <c r="I80">
        <v>0.9</v>
      </c>
    </row>
    <row r="81" spans="1:9" x14ac:dyDescent="0.35">
      <c r="A81" t="s">
        <v>443</v>
      </c>
      <c r="B81">
        <v>2021</v>
      </c>
      <c r="C81" t="s">
        <v>444</v>
      </c>
      <c r="D81" t="s">
        <v>852</v>
      </c>
      <c r="E81" t="s">
        <v>853</v>
      </c>
      <c r="F81" t="b">
        <v>0</v>
      </c>
      <c r="G81" t="s">
        <v>202</v>
      </c>
      <c r="H81" t="s">
        <v>195</v>
      </c>
      <c r="I81">
        <v>1</v>
      </c>
    </row>
    <row r="82" spans="1:9" x14ac:dyDescent="0.35">
      <c r="A82" t="s">
        <v>446</v>
      </c>
      <c r="B82">
        <v>2021</v>
      </c>
      <c r="C82" t="s">
        <v>447</v>
      </c>
      <c r="D82" t="s">
        <v>854</v>
      </c>
      <c r="E82" t="s">
        <v>855</v>
      </c>
      <c r="F82" t="b">
        <v>1</v>
      </c>
      <c r="G82" t="s">
        <v>759</v>
      </c>
      <c r="H82" t="s">
        <v>181</v>
      </c>
      <c r="I82">
        <v>0.9</v>
      </c>
    </row>
    <row r="83" spans="1:9" x14ac:dyDescent="0.35">
      <c r="A83" t="s">
        <v>449</v>
      </c>
      <c r="B83">
        <v>2021</v>
      </c>
      <c r="C83" t="s">
        <v>450</v>
      </c>
      <c r="D83" t="s">
        <v>856</v>
      </c>
      <c r="E83" t="s">
        <v>857</v>
      </c>
      <c r="F83" t="b">
        <v>1</v>
      </c>
      <c r="G83" t="s">
        <v>765</v>
      </c>
      <c r="H83" t="s">
        <v>181</v>
      </c>
      <c r="I83">
        <v>0.9</v>
      </c>
    </row>
    <row r="84" spans="1:9" x14ac:dyDescent="0.35">
      <c r="A84" t="s">
        <v>452</v>
      </c>
      <c r="B84">
        <v>2021</v>
      </c>
      <c r="C84" t="s">
        <v>453</v>
      </c>
      <c r="D84" t="s">
        <v>858</v>
      </c>
      <c r="E84" t="s">
        <v>859</v>
      </c>
      <c r="F84" t="b">
        <v>1</v>
      </c>
      <c r="G84" t="s">
        <v>860</v>
      </c>
      <c r="H84" t="s">
        <v>181</v>
      </c>
      <c r="I84">
        <v>0.9</v>
      </c>
    </row>
    <row r="85" spans="1:9" x14ac:dyDescent="0.35">
      <c r="A85" t="s">
        <v>455</v>
      </c>
      <c r="B85">
        <v>2021</v>
      </c>
      <c r="C85" t="s">
        <v>456</v>
      </c>
      <c r="D85" t="s">
        <v>861</v>
      </c>
      <c r="E85" t="s">
        <v>862</v>
      </c>
      <c r="F85" t="b">
        <v>1</v>
      </c>
      <c r="G85" t="s">
        <v>863</v>
      </c>
      <c r="H85" t="s">
        <v>181</v>
      </c>
      <c r="I85">
        <v>0.9</v>
      </c>
    </row>
    <row r="86" spans="1:9" ht="409.5" x14ac:dyDescent="0.35">
      <c r="A86" t="s">
        <v>458</v>
      </c>
      <c r="B86">
        <v>2021</v>
      </c>
      <c r="C86" t="s">
        <v>459</v>
      </c>
      <c r="D86" s="1" t="s">
        <v>460</v>
      </c>
      <c r="E86" t="s">
        <v>864</v>
      </c>
      <c r="F86" t="b">
        <v>1</v>
      </c>
      <c r="G86" t="s">
        <v>865</v>
      </c>
      <c r="H86" t="s">
        <v>181</v>
      </c>
      <c r="I86">
        <v>0.9</v>
      </c>
    </row>
    <row r="87" spans="1:9" x14ac:dyDescent="0.35">
      <c r="A87" t="s">
        <v>461</v>
      </c>
      <c r="B87">
        <v>2021</v>
      </c>
      <c r="C87" t="s">
        <v>462</v>
      </c>
      <c r="D87" t="s">
        <v>463</v>
      </c>
      <c r="E87" t="s">
        <v>866</v>
      </c>
      <c r="F87" t="b">
        <v>1</v>
      </c>
      <c r="G87" t="s">
        <v>867</v>
      </c>
      <c r="H87" t="s">
        <v>181</v>
      </c>
      <c r="I87">
        <v>0.9</v>
      </c>
    </row>
    <row r="88" spans="1:9" x14ac:dyDescent="0.35">
      <c r="A88" t="s">
        <v>464</v>
      </c>
      <c r="B88">
        <v>2021</v>
      </c>
      <c r="C88" t="s">
        <v>465</v>
      </c>
      <c r="D88" t="s">
        <v>868</v>
      </c>
      <c r="E88" t="s">
        <v>869</v>
      </c>
      <c r="F88" t="b">
        <v>1</v>
      </c>
      <c r="G88" t="s">
        <v>870</v>
      </c>
      <c r="H88" t="s">
        <v>181</v>
      </c>
      <c r="I88">
        <v>0.9</v>
      </c>
    </row>
    <row r="89" spans="1:9" x14ac:dyDescent="0.35">
      <c r="A89" t="s">
        <v>467</v>
      </c>
      <c r="B89">
        <v>2021</v>
      </c>
      <c r="C89" t="s">
        <v>468</v>
      </c>
      <c r="D89" t="s">
        <v>871</v>
      </c>
      <c r="E89" t="s">
        <v>872</v>
      </c>
      <c r="F89" t="b">
        <v>1</v>
      </c>
      <c r="G89" t="s">
        <v>189</v>
      </c>
      <c r="H89" t="s">
        <v>181</v>
      </c>
      <c r="I89">
        <v>0.9</v>
      </c>
    </row>
    <row r="90" spans="1:9" x14ac:dyDescent="0.35">
      <c r="A90" t="s">
        <v>470</v>
      </c>
      <c r="B90">
        <v>2021</v>
      </c>
      <c r="C90" t="s">
        <v>471</v>
      </c>
      <c r="D90" t="s">
        <v>873</v>
      </c>
      <c r="E90" t="s">
        <v>874</v>
      </c>
      <c r="F90" t="b">
        <v>1</v>
      </c>
      <c r="G90" t="s">
        <v>875</v>
      </c>
      <c r="H90" t="s">
        <v>181</v>
      </c>
      <c r="I90">
        <v>0.9</v>
      </c>
    </row>
    <row r="91" spans="1:9" x14ac:dyDescent="0.35">
      <c r="A91" t="s">
        <v>473</v>
      </c>
      <c r="B91">
        <v>2021</v>
      </c>
      <c r="C91" t="s">
        <v>474</v>
      </c>
      <c r="D91" t="s">
        <v>876</v>
      </c>
      <c r="E91" t="s">
        <v>877</v>
      </c>
      <c r="F91" t="b">
        <v>1</v>
      </c>
      <c r="G91" t="s">
        <v>878</v>
      </c>
      <c r="H91" t="s">
        <v>181</v>
      </c>
      <c r="I91">
        <v>0.9</v>
      </c>
    </row>
    <row r="92" spans="1:9" x14ac:dyDescent="0.35">
      <c r="A92" t="s">
        <v>476</v>
      </c>
      <c r="B92">
        <v>2021</v>
      </c>
      <c r="C92" t="s">
        <v>477</v>
      </c>
      <c r="D92" t="s">
        <v>478</v>
      </c>
      <c r="E92" t="s">
        <v>879</v>
      </c>
      <c r="F92" t="b">
        <v>1</v>
      </c>
      <c r="G92" t="s">
        <v>213</v>
      </c>
      <c r="H92" t="s">
        <v>181</v>
      </c>
      <c r="I92">
        <v>0.9</v>
      </c>
    </row>
    <row r="93" spans="1:9" x14ac:dyDescent="0.35">
      <c r="A93" t="s">
        <v>479</v>
      </c>
      <c r="B93">
        <v>2021</v>
      </c>
      <c r="C93" t="s">
        <v>880</v>
      </c>
      <c r="D93" t="s">
        <v>881</v>
      </c>
      <c r="E93" t="s">
        <v>882</v>
      </c>
      <c r="F93" t="b">
        <v>1</v>
      </c>
      <c r="G93" t="s">
        <v>220</v>
      </c>
      <c r="H93" t="s">
        <v>181</v>
      </c>
      <c r="I93">
        <v>0.9</v>
      </c>
    </row>
    <row r="94" spans="1:9" x14ac:dyDescent="0.35">
      <c r="A94" t="s">
        <v>482</v>
      </c>
      <c r="B94">
        <v>2021</v>
      </c>
      <c r="C94" t="s">
        <v>883</v>
      </c>
      <c r="D94" t="s">
        <v>884</v>
      </c>
      <c r="E94" t="s">
        <v>885</v>
      </c>
      <c r="F94" t="b">
        <v>1</v>
      </c>
      <c r="G94" t="s">
        <v>886</v>
      </c>
      <c r="H94" t="s">
        <v>181</v>
      </c>
      <c r="I94">
        <v>0.9</v>
      </c>
    </row>
    <row r="95" spans="1:9" x14ac:dyDescent="0.35">
      <c r="A95" t="s">
        <v>491</v>
      </c>
      <c r="B95">
        <v>2021</v>
      </c>
      <c r="C95" t="s">
        <v>492</v>
      </c>
      <c r="D95" t="s">
        <v>887</v>
      </c>
      <c r="E95" t="s">
        <v>888</v>
      </c>
      <c r="F95" t="b">
        <v>1</v>
      </c>
      <c r="G95" t="s">
        <v>889</v>
      </c>
      <c r="H95" t="s">
        <v>181</v>
      </c>
      <c r="I95">
        <v>0.9</v>
      </c>
    </row>
    <row r="96" spans="1:9" x14ac:dyDescent="0.35">
      <c r="A96" t="s">
        <v>494</v>
      </c>
      <c r="B96">
        <v>2021</v>
      </c>
      <c r="C96" t="s">
        <v>495</v>
      </c>
      <c r="D96" t="s">
        <v>496</v>
      </c>
      <c r="E96" t="s">
        <v>890</v>
      </c>
      <c r="F96" t="b">
        <v>0</v>
      </c>
      <c r="G96" t="s">
        <v>891</v>
      </c>
      <c r="H96" t="s">
        <v>193</v>
      </c>
      <c r="I96">
        <v>0.8</v>
      </c>
    </row>
    <row r="97" spans="1:9" ht="409.5" x14ac:dyDescent="0.35">
      <c r="A97" t="s">
        <v>497</v>
      </c>
      <c r="B97">
        <v>2021</v>
      </c>
      <c r="C97" t="s">
        <v>498</v>
      </c>
      <c r="D97" s="1" t="s">
        <v>499</v>
      </c>
      <c r="E97" t="s">
        <v>892</v>
      </c>
      <c r="F97" t="b">
        <v>1</v>
      </c>
      <c r="G97" t="s">
        <v>893</v>
      </c>
      <c r="H97" t="s">
        <v>181</v>
      </c>
      <c r="I97">
        <v>0.9</v>
      </c>
    </row>
    <row r="98" spans="1:9" x14ac:dyDescent="0.35">
      <c r="A98" t="s">
        <v>500</v>
      </c>
      <c r="B98">
        <v>2021</v>
      </c>
      <c r="C98" t="s">
        <v>501</v>
      </c>
      <c r="D98" t="s">
        <v>894</v>
      </c>
      <c r="E98" t="s">
        <v>895</v>
      </c>
      <c r="F98" t="b">
        <v>0</v>
      </c>
      <c r="G98" t="s">
        <v>896</v>
      </c>
      <c r="H98" t="s">
        <v>195</v>
      </c>
      <c r="I98">
        <v>1</v>
      </c>
    </row>
    <row r="99" spans="1:9" x14ac:dyDescent="0.35">
      <c r="A99" t="s">
        <v>503</v>
      </c>
      <c r="B99">
        <v>2021</v>
      </c>
      <c r="C99" t="s">
        <v>897</v>
      </c>
      <c r="D99" t="s">
        <v>898</v>
      </c>
      <c r="E99" t="s">
        <v>899</v>
      </c>
      <c r="F99" t="b">
        <v>1</v>
      </c>
      <c r="G99" t="s">
        <v>900</v>
      </c>
      <c r="H99" t="s">
        <v>181</v>
      </c>
      <c r="I99">
        <v>0.9</v>
      </c>
    </row>
    <row r="100" spans="1:9" x14ac:dyDescent="0.35">
      <c r="A100" t="s">
        <v>506</v>
      </c>
      <c r="B100">
        <v>2021</v>
      </c>
      <c r="C100" t="s">
        <v>507</v>
      </c>
      <c r="D100" t="s">
        <v>508</v>
      </c>
      <c r="E100" t="s">
        <v>901</v>
      </c>
      <c r="F100" t="b">
        <v>0</v>
      </c>
      <c r="G100" t="s">
        <v>902</v>
      </c>
      <c r="H100" t="s">
        <v>195</v>
      </c>
      <c r="I100">
        <v>1</v>
      </c>
    </row>
    <row r="101" spans="1:9" x14ac:dyDescent="0.35">
      <c r="A101" t="s">
        <v>509</v>
      </c>
      <c r="B101">
        <v>2021</v>
      </c>
      <c r="C101" t="s">
        <v>903</v>
      </c>
      <c r="D101" t="s">
        <v>904</v>
      </c>
      <c r="E101" t="s">
        <v>905</v>
      </c>
      <c r="F101" t="b">
        <v>0</v>
      </c>
      <c r="G101" t="s">
        <v>223</v>
      </c>
      <c r="H101" t="s">
        <v>216</v>
      </c>
      <c r="I101">
        <v>0.7</v>
      </c>
    </row>
    <row r="102" spans="1:9" x14ac:dyDescent="0.35">
      <c r="A102" t="s">
        <v>512</v>
      </c>
      <c r="B102">
        <v>2021</v>
      </c>
      <c r="C102" t="s">
        <v>513</v>
      </c>
      <c r="D102" t="s">
        <v>906</v>
      </c>
      <c r="E102" t="s">
        <v>907</v>
      </c>
      <c r="F102" t="b">
        <v>0</v>
      </c>
      <c r="G102" t="s">
        <v>908</v>
      </c>
      <c r="H102" t="s">
        <v>195</v>
      </c>
      <c r="I102">
        <v>0.9</v>
      </c>
    </row>
    <row r="103" spans="1:9" x14ac:dyDescent="0.35">
      <c r="A103" t="s">
        <v>515</v>
      </c>
      <c r="B103">
        <v>2021</v>
      </c>
      <c r="C103" t="s">
        <v>516</v>
      </c>
      <c r="D103" t="s">
        <v>517</v>
      </c>
      <c r="E103" t="s">
        <v>909</v>
      </c>
      <c r="F103" t="b">
        <v>1</v>
      </c>
      <c r="G103" t="s">
        <v>910</v>
      </c>
      <c r="H103" t="s">
        <v>181</v>
      </c>
      <c r="I103">
        <v>0.9</v>
      </c>
    </row>
    <row r="104" spans="1:9" x14ac:dyDescent="0.35">
      <c r="A104" t="s">
        <v>518</v>
      </c>
      <c r="B104">
        <v>2021</v>
      </c>
      <c r="C104" t="s">
        <v>519</v>
      </c>
      <c r="D104" t="s">
        <v>911</v>
      </c>
      <c r="E104" t="s">
        <v>912</v>
      </c>
      <c r="F104" t="b">
        <v>1</v>
      </c>
      <c r="G104" t="s">
        <v>213</v>
      </c>
      <c r="H104" t="s">
        <v>181</v>
      </c>
      <c r="I104">
        <v>0.9</v>
      </c>
    </row>
    <row r="105" spans="1:9" x14ac:dyDescent="0.35">
      <c r="A105" t="s">
        <v>521</v>
      </c>
      <c r="B105">
        <v>2021</v>
      </c>
      <c r="C105" t="s">
        <v>522</v>
      </c>
      <c r="D105" t="s">
        <v>523</v>
      </c>
      <c r="E105" t="s">
        <v>913</v>
      </c>
      <c r="F105" t="b">
        <v>1</v>
      </c>
      <c r="G105" t="s">
        <v>863</v>
      </c>
      <c r="H105" t="s">
        <v>181</v>
      </c>
      <c r="I105">
        <v>0.9</v>
      </c>
    </row>
    <row r="106" spans="1:9" x14ac:dyDescent="0.35">
      <c r="A106" t="s">
        <v>524</v>
      </c>
      <c r="B106">
        <v>2021</v>
      </c>
      <c r="C106" t="s">
        <v>525</v>
      </c>
      <c r="D106" t="s">
        <v>914</v>
      </c>
      <c r="E106" t="s">
        <v>915</v>
      </c>
      <c r="F106" t="b">
        <v>0</v>
      </c>
      <c r="G106" t="s">
        <v>202</v>
      </c>
      <c r="H106" t="s">
        <v>195</v>
      </c>
      <c r="I106">
        <v>1</v>
      </c>
    </row>
    <row r="107" spans="1:9" x14ac:dyDescent="0.35">
      <c r="A107" t="s">
        <v>527</v>
      </c>
      <c r="B107">
        <v>2021</v>
      </c>
      <c r="C107" t="s">
        <v>528</v>
      </c>
      <c r="D107" t="s">
        <v>529</v>
      </c>
      <c r="E107" t="s">
        <v>916</v>
      </c>
      <c r="F107" t="b">
        <v>0</v>
      </c>
      <c r="G107" t="s">
        <v>767</v>
      </c>
      <c r="H107" t="s">
        <v>195</v>
      </c>
      <c r="I107">
        <v>1</v>
      </c>
    </row>
    <row r="108" spans="1:9" x14ac:dyDescent="0.35">
      <c r="A108" t="s">
        <v>530</v>
      </c>
      <c r="B108">
        <v>2021</v>
      </c>
      <c r="C108" t="s">
        <v>531</v>
      </c>
      <c r="D108" t="s">
        <v>917</v>
      </c>
      <c r="E108" t="s">
        <v>918</v>
      </c>
      <c r="F108" t="b">
        <v>0</v>
      </c>
      <c r="G108" t="s">
        <v>202</v>
      </c>
      <c r="H108" t="s">
        <v>195</v>
      </c>
      <c r="I108">
        <v>1</v>
      </c>
    </row>
    <row r="109" spans="1:9" x14ac:dyDescent="0.35">
      <c r="A109" t="s">
        <v>536</v>
      </c>
      <c r="B109">
        <v>2021</v>
      </c>
      <c r="C109" t="s">
        <v>537</v>
      </c>
      <c r="D109" t="s">
        <v>919</v>
      </c>
      <c r="E109" t="s">
        <v>920</v>
      </c>
      <c r="F109" t="b">
        <v>1</v>
      </c>
      <c r="G109" t="s">
        <v>921</v>
      </c>
      <c r="H109" t="s">
        <v>181</v>
      </c>
      <c r="I109">
        <v>0.9</v>
      </c>
    </row>
    <row r="110" spans="1:9" x14ac:dyDescent="0.35">
      <c r="A110" t="s">
        <v>539</v>
      </c>
      <c r="B110">
        <v>2021</v>
      </c>
      <c r="C110" t="s">
        <v>540</v>
      </c>
      <c r="D110" t="s">
        <v>922</v>
      </c>
      <c r="E110" t="s">
        <v>923</v>
      </c>
      <c r="F110" t="b">
        <v>0</v>
      </c>
      <c r="G110" t="s">
        <v>769</v>
      </c>
      <c r="H110" t="s">
        <v>216</v>
      </c>
      <c r="I110">
        <v>0.5</v>
      </c>
    </row>
    <row r="111" spans="1:9" x14ac:dyDescent="0.35">
      <c r="A111" t="s">
        <v>542</v>
      </c>
      <c r="B111">
        <v>2021</v>
      </c>
      <c r="C111" t="s">
        <v>924</v>
      </c>
      <c r="D111" t="s">
        <v>925</v>
      </c>
      <c r="E111" t="s">
        <v>926</v>
      </c>
      <c r="F111" t="b">
        <v>1</v>
      </c>
      <c r="G111" t="s">
        <v>757</v>
      </c>
      <c r="H111" t="s">
        <v>181</v>
      </c>
      <c r="I111">
        <v>0.9</v>
      </c>
    </row>
    <row r="112" spans="1:9" x14ac:dyDescent="0.35">
      <c r="A112" t="s">
        <v>545</v>
      </c>
      <c r="B112">
        <v>2021</v>
      </c>
      <c r="C112" t="s">
        <v>546</v>
      </c>
      <c r="D112" t="s">
        <v>547</v>
      </c>
      <c r="E112" t="s">
        <v>927</v>
      </c>
      <c r="F112" t="b">
        <v>1</v>
      </c>
      <c r="G112" t="s">
        <v>928</v>
      </c>
      <c r="H112" t="s">
        <v>181</v>
      </c>
      <c r="I112">
        <v>0.9</v>
      </c>
    </row>
    <row r="113" spans="1:9" x14ac:dyDescent="0.35">
      <c r="A113" t="s">
        <v>548</v>
      </c>
      <c r="B113">
        <v>2021</v>
      </c>
      <c r="C113" t="s">
        <v>549</v>
      </c>
      <c r="D113" t="s">
        <v>529</v>
      </c>
      <c r="E113" t="s">
        <v>929</v>
      </c>
      <c r="F113" t="b">
        <v>0</v>
      </c>
      <c r="G113" t="s">
        <v>802</v>
      </c>
      <c r="H113" t="s">
        <v>216</v>
      </c>
      <c r="I113">
        <v>0.5</v>
      </c>
    </row>
    <row r="114" spans="1:9" x14ac:dyDescent="0.35">
      <c r="A114" t="s">
        <v>550</v>
      </c>
      <c r="B114">
        <v>2021</v>
      </c>
      <c r="C114" t="s">
        <v>551</v>
      </c>
      <c r="D114" t="s">
        <v>930</v>
      </c>
      <c r="E114" t="s">
        <v>931</v>
      </c>
      <c r="F114" t="b">
        <v>1</v>
      </c>
      <c r="G114" t="s">
        <v>932</v>
      </c>
      <c r="H114" t="s">
        <v>181</v>
      </c>
      <c r="I114">
        <v>0.9</v>
      </c>
    </row>
    <row r="115" spans="1:9" x14ac:dyDescent="0.35">
      <c r="A115" t="s">
        <v>553</v>
      </c>
      <c r="B115">
        <v>2021</v>
      </c>
      <c r="C115" t="s">
        <v>554</v>
      </c>
      <c r="D115" t="s">
        <v>933</v>
      </c>
      <c r="E115" t="s">
        <v>934</v>
      </c>
      <c r="F115" t="b">
        <v>0</v>
      </c>
      <c r="G115" t="s">
        <v>935</v>
      </c>
      <c r="H115" t="s">
        <v>193</v>
      </c>
      <c r="I115">
        <v>0.9</v>
      </c>
    </row>
    <row r="116" spans="1:9" x14ac:dyDescent="0.35">
      <c r="A116" t="s">
        <v>556</v>
      </c>
      <c r="B116">
        <v>2021</v>
      </c>
      <c r="C116" t="s">
        <v>557</v>
      </c>
      <c r="D116" t="s">
        <v>936</v>
      </c>
      <c r="E116" t="s">
        <v>937</v>
      </c>
      <c r="F116" t="b">
        <v>0</v>
      </c>
      <c r="G116" t="s">
        <v>938</v>
      </c>
      <c r="H116" t="s">
        <v>193</v>
      </c>
      <c r="I116">
        <v>0.8</v>
      </c>
    </row>
    <row r="117" spans="1:9" x14ac:dyDescent="0.35">
      <c r="A117" t="s">
        <v>559</v>
      </c>
      <c r="B117">
        <v>2021</v>
      </c>
      <c r="C117" t="s">
        <v>560</v>
      </c>
      <c r="D117" t="s">
        <v>939</v>
      </c>
      <c r="E117" t="s">
        <v>940</v>
      </c>
      <c r="F117" t="b">
        <v>0</v>
      </c>
      <c r="G117" t="s">
        <v>941</v>
      </c>
      <c r="H117" t="s">
        <v>193</v>
      </c>
      <c r="I117">
        <v>0.8</v>
      </c>
    </row>
    <row r="118" spans="1:9" x14ac:dyDescent="0.35">
      <c r="A118" t="s">
        <v>562</v>
      </c>
      <c r="B118">
        <v>2021</v>
      </c>
      <c r="C118" t="s">
        <v>563</v>
      </c>
      <c r="D118" t="s">
        <v>564</v>
      </c>
      <c r="E118" t="s">
        <v>877</v>
      </c>
      <c r="F118" t="b">
        <v>0</v>
      </c>
      <c r="G118" t="s">
        <v>942</v>
      </c>
      <c r="H118" t="s">
        <v>751</v>
      </c>
      <c r="I118">
        <v>0.7</v>
      </c>
    </row>
    <row r="119" spans="1:9" x14ac:dyDescent="0.35">
      <c r="A119" t="s">
        <v>565</v>
      </c>
      <c r="B119">
        <v>2021</v>
      </c>
      <c r="C119" t="s">
        <v>566</v>
      </c>
      <c r="D119" t="s">
        <v>567</v>
      </c>
      <c r="E119" t="s">
        <v>943</v>
      </c>
      <c r="F119" t="b">
        <v>1</v>
      </c>
      <c r="G119" t="s">
        <v>944</v>
      </c>
      <c r="H119" t="s">
        <v>181</v>
      </c>
      <c r="I119">
        <v>0.9</v>
      </c>
    </row>
    <row r="120" spans="1:9" x14ac:dyDescent="0.35">
      <c r="A120" t="s">
        <v>568</v>
      </c>
      <c r="B120">
        <v>2021</v>
      </c>
      <c r="C120" t="s">
        <v>945</v>
      </c>
      <c r="D120" t="s">
        <v>946</v>
      </c>
      <c r="E120" t="s">
        <v>947</v>
      </c>
      <c r="F120" t="b">
        <v>1</v>
      </c>
      <c r="G120" t="s">
        <v>842</v>
      </c>
      <c r="H120" t="s">
        <v>181</v>
      </c>
      <c r="I120">
        <v>0.9</v>
      </c>
    </row>
    <row r="121" spans="1:9" x14ac:dyDescent="0.35">
      <c r="A121" t="s">
        <v>571</v>
      </c>
      <c r="B121">
        <v>2021</v>
      </c>
      <c r="C121" t="s">
        <v>948</v>
      </c>
      <c r="D121" t="s">
        <v>949</v>
      </c>
      <c r="E121" t="s">
        <v>950</v>
      </c>
      <c r="F121" t="b">
        <v>1</v>
      </c>
      <c r="G121" t="s">
        <v>951</v>
      </c>
      <c r="H121" t="s">
        <v>181</v>
      </c>
      <c r="I121">
        <v>0.9</v>
      </c>
    </row>
    <row r="122" spans="1:9" x14ac:dyDescent="0.35">
      <c r="A122" t="s">
        <v>574</v>
      </c>
      <c r="B122">
        <v>2021</v>
      </c>
      <c r="C122" t="s">
        <v>575</v>
      </c>
      <c r="D122" t="s">
        <v>952</v>
      </c>
      <c r="E122" t="s">
        <v>953</v>
      </c>
      <c r="F122" t="b">
        <v>1</v>
      </c>
      <c r="G122" t="s">
        <v>954</v>
      </c>
      <c r="H122" t="s">
        <v>181</v>
      </c>
      <c r="I122">
        <v>0.9</v>
      </c>
    </row>
    <row r="123" spans="1:9" ht="409.5" x14ac:dyDescent="0.35">
      <c r="A123" t="s">
        <v>577</v>
      </c>
      <c r="B123">
        <v>2021</v>
      </c>
      <c r="C123" t="s">
        <v>578</v>
      </c>
      <c r="D123" s="1" t="s">
        <v>579</v>
      </c>
      <c r="E123" t="s">
        <v>955</v>
      </c>
      <c r="F123" t="b">
        <v>1</v>
      </c>
      <c r="G123" t="s">
        <v>954</v>
      </c>
      <c r="H123" t="s">
        <v>181</v>
      </c>
      <c r="I123">
        <v>0.9</v>
      </c>
    </row>
    <row r="124" spans="1:9" x14ac:dyDescent="0.35">
      <c r="A124" t="s">
        <v>580</v>
      </c>
      <c r="B124">
        <v>2021</v>
      </c>
      <c r="C124" t="s">
        <v>581</v>
      </c>
      <c r="D124" t="s">
        <v>956</v>
      </c>
      <c r="E124" t="s">
        <v>957</v>
      </c>
      <c r="F124" t="b">
        <v>0</v>
      </c>
      <c r="G124" t="s">
        <v>767</v>
      </c>
      <c r="H124" t="s">
        <v>195</v>
      </c>
      <c r="I124">
        <v>1</v>
      </c>
    </row>
    <row r="125" spans="1:9" x14ac:dyDescent="0.35">
      <c r="A125" t="s">
        <v>583</v>
      </c>
      <c r="B125">
        <v>2021</v>
      </c>
      <c r="C125" t="s">
        <v>584</v>
      </c>
      <c r="D125" t="s">
        <v>958</v>
      </c>
      <c r="E125" t="s">
        <v>959</v>
      </c>
      <c r="F125" t="b">
        <v>1</v>
      </c>
      <c r="G125" t="s">
        <v>757</v>
      </c>
      <c r="H125" t="s">
        <v>181</v>
      </c>
      <c r="I125">
        <v>0.9</v>
      </c>
    </row>
    <row r="126" spans="1:9" x14ac:dyDescent="0.35">
      <c r="A126" t="s">
        <v>586</v>
      </c>
      <c r="B126">
        <v>2021</v>
      </c>
      <c r="C126" t="s">
        <v>587</v>
      </c>
      <c r="D126" t="s">
        <v>588</v>
      </c>
      <c r="E126" t="s">
        <v>960</v>
      </c>
      <c r="F126" t="b">
        <v>1</v>
      </c>
      <c r="G126" t="s">
        <v>961</v>
      </c>
      <c r="H126" t="s">
        <v>181</v>
      </c>
      <c r="I126">
        <v>0.9</v>
      </c>
    </row>
    <row r="127" spans="1:9" x14ac:dyDescent="0.35">
      <c r="A127" t="s">
        <v>589</v>
      </c>
      <c r="B127">
        <v>2021</v>
      </c>
      <c r="C127" t="s">
        <v>962</v>
      </c>
      <c r="D127" t="s">
        <v>963</v>
      </c>
      <c r="E127" t="s">
        <v>964</v>
      </c>
      <c r="F127" t="b">
        <v>0</v>
      </c>
      <c r="G127" t="s">
        <v>215</v>
      </c>
      <c r="H127" t="s">
        <v>216</v>
      </c>
      <c r="I127">
        <v>0.7</v>
      </c>
    </row>
    <row r="128" spans="1:9" x14ac:dyDescent="0.35">
      <c r="A128" t="s">
        <v>592</v>
      </c>
      <c r="B128">
        <v>2021</v>
      </c>
      <c r="C128" t="s">
        <v>593</v>
      </c>
      <c r="D128" t="s">
        <v>594</v>
      </c>
      <c r="E128" t="s">
        <v>965</v>
      </c>
      <c r="F128" t="b">
        <v>1</v>
      </c>
      <c r="G128" t="s">
        <v>966</v>
      </c>
      <c r="H128" t="s">
        <v>751</v>
      </c>
      <c r="I128">
        <v>0.8</v>
      </c>
    </row>
    <row r="129" spans="1:9" x14ac:dyDescent="0.35">
      <c r="A129" t="s">
        <v>595</v>
      </c>
      <c r="B129">
        <v>2021</v>
      </c>
      <c r="C129" t="s">
        <v>596</v>
      </c>
      <c r="D129" t="s">
        <v>967</v>
      </c>
      <c r="E129" t="s">
        <v>968</v>
      </c>
      <c r="F129" t="b">
        <v>0</v>
      </c>
      <c r="G129" t="s">
        <v>969</v>
      </c>
      <c r="H129" t="s">
        <v>216</v>
      </c>
      <c r="I129">
        <v>0.3</v>
      </c>
    </row>
    <row r="130" spans="1:9" x14ac:dyDescent="0.35">
      <c r="A130" t="s">
        <v>598</v>
      </c>
      <c r="B130">
        <v>2021</v>
      </c>
      <c r="C130" t="s">
        <v>599</v>
      </c>
      <c r="D130" t="s">
        <v>970</v>
      </c>
      <c r="E130" t="s">
        <v>971</v>
      </c>
      <c r="F130" t="b">
        <v>1</v>
      </c>
      <c r="G130" t="s">
        <v>972</v>
      </c>
      <c r="H130" t="s">
        <v>181</v>
      </c>
      <c r="I130">
        <v>0.9</v>
      </c>
    </row>
    <row r="131" spans="1:9" ht="409.5" x14ac:dyDescent="0.35">
      <c r="A131" t="s">
        <v>601</v>
      </c>
      <c r="B131">
        <v>2021</v>
      </c>
      <c r="C131" t="s">
        <v>602</v>
      </c>
      <c r="D131" s="1" t="s">
        <v>603</v>
      </c>
      <c r="E131" t="s">
        <v>973</v>
      </c>
      <c r="F131" t="b">
        <v>1</v>
      </c>
      <c r="G131" t="s">
        <v>974</v>
      </c>
      <c r="H131" t="s">
        <v>181</v>
      </c>
      <c r="I131">
        <v>0.9</v>
      </c>
    </row>
    <row r="132" spans="1:9" x14ac:dyDescent="0.35">
      <c r="A132" t="s">
        <v>604</v>
      </c>
      <c r="B132">
        <v>2021</v>
      </c>
      <c r="C132" t="s">
        <v>975</v>
      </c>
      <c r="D132" t="s">
        <v>976</v>
      </c>
      <c r="E132" t="s">
        <v>977</v>
      </c>
      <c r="F132" t="b">
        <v>1</v>
      </c>
      <c r="G132" t="s">
        <v>220</v>
      </c>
      <c r="H132" t="s">
        <v>181</v>
      </c>
      <c r="I132">
        <v>0.9</v>
      </c>
    </row>
    <row r="133" spans="1:9" x14ac:dyDescent="0.35">
      <c r="A133" t="s">
        <v>613</v>
      </c>
      <c r="B133">
        <v>2021</v>
      </c>
      <c r="C133" t="s">
        <v>614</v>
      </c>
      <c r="D133" t="s">
        <v>615</v>
      </c>
      <c r="E133" t="s">
        <v>978</v>
      </c>
      <c r="F133" t="b">
        <v>0</v>
      </c>
      <c r="G133" t="s">
        <v>239</v>
      </c>
      <c r="H133" t="s">
        <v>193</v>
      </c>
      <c r="I133">
        <v>0.9</v>
      </c>
    </row>
    <row r="134" spans="1:9" x14ac:dyDescent="0.35">
      <c r="A134" t="s">
        <v>618</v>
      </c>
      <c r="B134">
        <v>2021</v>
      </c>
      <c r="C134" t="s">
        <v>619</v>
      </c>
      <c r="D134" t="s">
        <v>979</v>
      </c>
      <c r="E134" t="s">
        <v>980</v>
      </c>
      <c r="F134" t="b">
        <v>1</v>
      </c>
      <c r="G134" t="s">
        <v>981</v>
      </c>
      <c r="H134" t="s">
        <v>181</v>
      </c>
      <c r="I134">
        <v>0.9</v>
      </c>
    </row>
    <row r="135" spans="1:9" x14ac:dyDescent="0.35">
      <c r="A135" t="s">
        <v>621</v>
      </c>
      <c r="B135">
        <v>2021</v>
      </c>
      <c r="C135" t="s">
        <v>982</v>
      </c>
      <c r="D135" t="s">
        <v>983</v>
      </c>
      <c r="E135" t="s">
        <v>984</v>
      </c>
      <c r="F135" t="b">
        <v>1</v>
      </c>
      <c r="G135" t="s">
        <v>985</v>
      </c>
      <c r="H135" t="s">
        <v>181</v>
      </c>
      <c r="I135">
        <v>0.9</v>
      </c>
    </row>
    <row r="136" spans="1:9" x14ac:dyDescent="0.35">
      <c r="A136" t="s">
        <v>624</v>
      </c>
      <c r="B136">
        <v>2021</v>
      </c>
      <c r="C136" t="s">
        <v>625</v>
      </c>
      <c r="D136" t="s">
        <v>626</v>
      </c>
      <c r="E136" t="s">
        <v>986</v>
      </c>
      <c r="F136" t="b">
        <v>1</v>
      </c>
      <c r="G136" t="s">
        <v>987</v>
      </c>
      <c r="H136" t="s">
        <v>181</v>
      </c>
      <c r="I136">
        <v>0.9</v>
      </c>
    </row>
    <row r="137" spans="1:9" x14ac:dyDescent="0.35">
      <c r="A137" t="s">
        <v>627</v>
      </c>
      <c r="B137">
        <v>2021</v>
      </c>
      <c r="C137" t="s">
        <v>628</v>
      </c>
      <c r="D137" t="s">
        <v>988</v>
      </c>
      <c r="E137" t="s">
        <v>989</v>
      </c>
      <c r="F137" t="b">
        <v>1</v>
      </c>
      <c r="G137" t="s">
        <v>185</v>
      </c>
      <c r="H137" t="s">
        <v>181</v>
      </c>
      <c r="I137">
        <v>0.9</v>
      </c>
    </row>
    <row r="138" spans="1:9" x14ac:dyDescent="0.35">
      <c r="A138" t="s">
        <v>630</v>
      </c>
      <c r="B138">
        <v>2021</v>
      </c>
      <c r="C138" t="s">
        <v>631</v>
      </c>
      <c r="D138" t="s">
        <v>990</v>
      </c>
      <c r="E138" t="s">
        <v>991</v>
      </c>
      <c r="F138" t="b">
        <v>1</v>
      </c>
      <c r="G138" t="s">
        <v>992</v>
      </c>
      <c r="H138" t="s">
        <v>181</v>
      </c>
      <c r="I138">
        <v>0.9</v>
      </c>
    </row>
    <row r="139" spans="1:9" ht="409.5" x14ac:dyDescent="0.35">
      <c r="A139" t="s">
        <v>633</v>
      </c>
      <c r="B139">
        <v>2021</v>
      </c>
      <c r="C139" t="s">
        <v>631</v>
      </c>
      <c r="D139" s="1" t="s">
        <v>634</v>
      </c>
      <c r="E139" t="s">
        <v>993</v>
      </c>
      <c r="F139" t="b">
        <v>1</v>
      </c>
      <c r="G139" t="s">
        <v>992</v>
      </c>
      <c r="H139" t="s">
        <v>181</v>
      </c>
      <c r="I139">
        <v>0.9</v>
      </c>
    </row>
    <row r="140" spans="1:9" x14ac:dyDescent="0.35">
      <c r="A140" t="s">
        <v>635</v>
      </c>
      <c r="B140">
        <v>2021</v>
      </c>
      <c r="C140" t="s">
        <v>636</v>
      </c>
      <c r="D140" t="s">
        <v>637</v>
      </c>
      <c r="E140" t="s">
        <v>994</v>
      </c>
      <c r="F140" t="b">
        <v>0</v>
      </c>
      <c r="G140" t="s">
        <v>995</v>
      </c>
      <c r="H140" t="s">
        <v>751</v>
      </c>
      <c r="I140">
        <v>0.8</v>
      </c>
    </row>
    <row r="141" spans="1:9" ht="409.5" x14ac:dyDescent="0.35">
      <c r="A141" t="s">
        <v>638</v>
      </c>
      <c r="B141">
        <v>2025</v>
      </c>
      <c r="C141" t="s">
        <v>639</v>
      </c>
      <c r="D141" s="1" t="s">
        <v>640</v>
      </c>
      <c r="E141" t="s">
        <v>996</v>
      </c>
      <c r="F141" t="b">
        <v>1</v>
      </c>
      <c r="G141" t="s">
        <v>954</v>
      </c>
      <c r="H141" t="s">
        <v>181</v>
      </c>
      <c r="I141">
        <v>0.9</v>
      </c>
    </row>
    <row r="142" spans="1:9" x14ac:dyDescent="0.35">
      <c r="A142" t="s">
        <v>641</v>
      </c>
      <c r="B142">
        <v>2025</v>
      </c>
      <c r="C142" t="s">
        <v>639</v>
      </c>
      <c r="D142" t="s">
        <v>997</v>
      </c>
      <c r="E142" t="s">
        <v>996</v>
      </c>
      <c r="F142" t="b">
        <v>1</v>
      </c>
      <c r="G142" t="s">
        <v>954</v>
      </c>
      <c r="H142" t="s">
        <v>181</v>
      </c>
      <c r="I142">
        <v>0.9</v>
      </c>
    </row>
    <row r="143" spans="1:9" x14ac:dyDescent="0.35">
      <c r="A143" t="s">
        <v>643</v>
      </c>
      <c r="B143">
        <v>2025</v>
      </c>
      <c r="C143" t="s">
        <v>644</v>
      </c>
      <c r="D143" t="s">
        <v>998</v>
      </c>
      <c r="E143" t="s">
        <v>999</v>
      </c>
      <c r="F143" t="b">
        <v>0</v>
      </c>
      <c r="G143" t="s">
        <v>1000</v>
      </c>
      <c r="H143" t="s">
        <v>181</v>
      </c>
      <c r="I143">
        <v>0.8</v>
      </c>
    </row>
    <row r="144" spans="1:9" x14ac:dyDescent="0.35">
      <c r="A144" t="s">
        <v>649</v>
      </c>
      <c r="B144">
        <v>2025</v>
      </c>
      <c r="C144" t="s">
        <v>650</v>
      </c>
      <c r="D144" t="s">
        <v>651</v>
      </c>
      <c r="E144" t="s">
        <v>1001</v>
      </c>
      <c r="F144" t="b">
        <v>1</v>
      </c>
      <c r="G144" t="s">
        <v>1002</v>
      </c>
      <c r="H144" t="s">
        <v>181</v>
      </c>
      <c r="I144">
        <v>0.9</v>
      </c>
    </row>
    <row r="145" spans="1:9" x14ac:dyDescent="0.35">
      <c r="A145" t="s">
        <v>652</v>
      </c>
      <c r="B145">
        <v>2025</v>
      </c>
      <c r="C145" t="s">
        <v>653</v>
      </c>
      <c r="D145" t="s">
        <v>654</v>
      </c>
      <c r="E145" t="s">
        <v>1003</v>
      </c>
      <c r="F145" t="b">
        <v>0</v>
      </c>
      <c r="G145" t="s">
        <v>1004</v>
      </c>
      <c r="H145" t="s">
        <v>181</v>
      </c>
      <c r="I145">
        <v>0.8</v>
      </c>
    </row>
    <row r="146" spans="1:9" x14ac:dyDescent="0.35">
      <c r="A146" t="s">
        <v>655</v>
      </c>
      <c r="B146">
        <v>2025</v>
      </c>
      <c r="C146" t="s">
        <v>1005</v>
      </c>
      <c r="D146" t="s">
        <v>1006</v>
      </c>
      <c r="E146" t="s">
        <v>726</v>
      </c>
      <c r="F146" t="b">
        <v>1</v>
      </c>
      <c r="G146" t="s">
        <v>1007</v>
      </c>
      <c r="H146" t="s">
        <v>181</v>
      </c>
      <c r="I146">
        <v>0.9</v>
      </c>
    </row>
    <row r="147" spans="1:9" x14ac:dyDescent="0.35">
      <c r="A147" t="s">
        <v>658</v>
      </c>
      <c r="B147">
        <v>2025</v>
      </c>
      <c r="C147" t="s">
        <v>659</v>
      </c>
      <c r="D147" t="s">
        <v>660</v>
      </c>
      <c r="E147" t="s">
        <v>1008</v>
      </c>
      <c r="F147" t="b">
        <v>0</v>
      </c>
      <c r="G147" t="s">
        <v>1009</v>
      </c>
      <c r="H147" t="s">
        <v>181</v>
      </c>
      <c r="I147">
        <v>0.9</v>
      </c>
    </row>
    <row r="148" spans="1:9" x14ac:dyDescent="0.35">
      <c r="A148" t="s">
        <v>664</v>
      </c>
      <c r="B148">
        <v>2025</v>
      </c>
      <c r="C148" t="s">
        <v>665</v>
      </c>
      <c r="D148" t="s">
        <v>1010</v>
      </c>
      <c r="E148" t="s">
        <v>1011</v>
      </c>
      <c r="F148" t="b">
        <v>1</v>
      </c>
      <c r="G148" t="s">
        <v>1012</v>
      </c>
      <c r="H148" t="s">
        <v>181</v>
      </c>
      <c r="I148">
        <v>0.9</v>
      </c>
    </row>
    <row r="149" spans="1:9" x14ac:dyDescent="0.35">
      <c r="A149" t="s">
        <v>667</v>
      </c>
      <c r="B149">
        <v>2025</v>
      </c>
      <c r="C149" t="s">
        <v>668</v>
      </c>
      <c r="D149" t="s">
        <v>669</v>
      </c>
      <c r="E149" t="s">
        <v>1013</v>
      </c>
      <c r="F149" t="b">
        <v>1</v>
      </c>
      <c r="G149" t="s">
        <v>759</v>
      </c>
      <c r="H149" t="s">
        <v>181</v>
      </c>
      <c r="I149">
        <v>0.9</v>
      </c>
    </row>
    <row r="150" spans="1:9" x14ac:dyDescent="0.35">
      <c r="A150" t="s">
        <v>670</v>
      </c>
      <c r="B150">
        <v>2025</v>
      </c>
      <c r="C150" t="s">
        <v>671</v>
      </c>
      <c r="D150" t="s">
        <v>1014</v>
      </c>
      <c r="E150" t="s">
        <v>1015</v>
      </c>
      <c r="F150" t="b">
        <v>1</v>
      </c>
      <c r="G150" t="s">
        <v>944</v>
      </c>
      <c r="H150" t="s">
        <v>181</v>
      </c>
      <c r="I150">
        <v>0.9</v>
      </c>
    </row>
    <row r="151" spans="1:9" x14ac:dyDescent="0.35">
      <c r="A151" t="s">
        <v>673</v>
      </c>
      <c r="B151">
        <v>2025</v>
      </c>
      <c r="C151" t="s">
        <v>674</v>
      </c>
      <c r="D151" t="s">
        <v>675</v>
      </c>
      <c r="E151" t="s">
        <v>1016</v>
      </c>
      <c r="F151" t="b">
        <v>1</v>
      </c>
      <c r="G151" t="s">
        <v>1017</v>
      </c>
      <c r="H151" t="s">
        <v>181</v>
      </c>
      <c r="I151">
        <v>0.9</v>
      </c>
    </row>
    <row r="152" spans="1:9" x14ac:dyDescent="0.35">
      <c r="A152" t="s">
        <v>676</v>
      </c>
      <c r="B152">
        <v>2025</v>
      </c>
      <c r="C152" t="s">
        <v>677</v>
      </c>
      <c r="D152" t="s">
        <v>1018</v>
      </c>
      <c r="E152" t="s">
        <v>1019</v>
      </c>
      <c r="F152" t="b">
        <v>1</v>
      </c>
      <c r="G152" t="s">
        <v>944</v>
      </c>
      <c r="H152" t="s">
        <v>181</v>
      </c>
      <c r="I152">
        <v>0.9</v>
      </c>
    </row>
    <row r="153" spans="1:9" x14ac:dyDescent="0.35">
      <c r="A153" t="s">
        <v>688</v>
      </c>
      <c r="B153">
        <v>2025</v>
      </c>
      <c r="C153" t="s">
        <v>689</v>
      </c>
      <c r="D153" t="s">
        <v>690</v>
      </c>
      <c r="E153" t="s">
        <v>1020</v>
      </c>
      <c r="F153" t="b">
        <v>0</v>
      </c>
      <c r="G153" t="s">
        <v>1021</v>
      </c>
      <c r="H153" t="s">
        <v>181</v>
      </c>
      <c r="I153">
        <v>0.9</v>
      </c>
    </row>
    <row r="154" spans="1:9" x14ac:dyDescent="0.35">
      <c r="A154" t="s">
        <v>691</v>
      </c>
      <c r="B154">
        <v>2025</v>
      </c>
      <c r="C154" t="s">
        <v>692</v>
      </c>
      <c r="D154" t="s">
        <v>1022</v>
      </c>
      <c r="E154" t="s">
        <v>1023</v>
      </c>
      <c r="F154" t="b">
        <v>1</v>
      </c>
      <c r="G154" t="s">
        <v>1007</v>
      </c>
      <c r="H154" t="s">
        <v>181</v>
      </c>
      <c r="I154">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54"/>
  <sheetViews>
    <sheetView workbookViewId="0">
      <selection sqref="A1:A154"/>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19</v>
      </c>
    </row>
    <row r="8" spans="1:1" x14ac:dyDescent="0.35">
      <c r="A8" t="s">
        <v>21</v>
      </c>
    </row>
    <row r="9" spans="1:1" x14ac:dyDescent="0.35">
      <c r="A9" t="s">
        <v>23</v>
      </c>
    </row>
    <row r="10" spans="1:1" x14ac:dyDescent="0.35">
      <c r="A10" t="s">
        <v>24</v>
      </c>
    </row>
    <row r="11" spans="1:1" x14ac:dyDescent="0.35">
      <c r="A11" t="s">
        <v>27</v>
      </c>
    </row>
    <row r="12" spans="1:1" x14ac:dyDescent="0.35">
      <c r="A12" t="s">
        <v>30</v>
      </c>
    </row>
    <row r="13" spans="1:1" x14ac:dyDescent="0.35">
      <c r="A13" t="s">
        <v>31</v>
      </c>
    </row>
    <row r="14" spans="1:1" x14ac:dyDescent="0.35">
      <c r="A14" t="s">
        <v>32</v>
      </c>
    </row>
    <row r="15" spans="1:1" x14ac:dyDescent="0.35">
      <c r="A15" t="s">
        <v>42</v>
      </c>
    </row>
    <row r="16" spans="1:1" x14ac:dyDescent="0.35">
      <c r="A16" t="s">
        <v>45</v>
      </c>
    </row>
    <row r="17" spans="1:1" x14ac:dyDescent="0.35">
      <c r="A17" t="s">
        <v>47</v>
      </c>
    </row>
    <row r="18" spans="1:1" x14ac:dyDescent="0.35">
      <c r="A18" t="s">
        <v>49</v>
      </c>
    </row>
    <row r="19" spans="1:1" x14ac:dyDescent="0.35">
      <c r="A19" t="s">
        <v>50</v>
      </c>
    </row>
    <row r="20" spans="1:1" x14ac:dyDescent="0.35">
      <c r="A20" t="s">
        <v>57</v>
      </c>
    </row>
    <row r="21" spans="1:1" x14ac:dyDescent="0.35">
      <c r="A21" t="s">
        <v>60</v>
      </c>
    </row>
    <row r="22" spans="1:1" x14ac:dyDescent="0.35">
      <c r="A22" t="s">
        <v>62</v>
      </c>
    </row>
    <row r="23" spans="1:1" x14ac:dyDescent="0.35">
      <c r="A23" t="s">
        <v>66</v>
      </c>
    </row>
    <row r="24" spans="1:1" x14ac:dyDescent="0.35">
      <c r="A24" t="s">
        <v>69</v>
      </c>
    </row>
    <row r="25" spans="1:1" x14ac:dyDescent="0.35">
      <c r="A25" t="s">
        <v>71</v>
      </c>
    </row>
    <row r="26" spans="1:1" x14ac:dyDescent="0.35">
      <c r="A26" t="s">
        <v>74</v>
      </c>
    </row>
    <row r="27" spans="1:1" x14ac:dyDescent="0.35">
      <c r="A27" t="s">
        <v>76</v>
      </c>
    </row>
    <row r="28" spans="1:1" x14ac:dyDescent="0.35">
      <c r="A28" t="s">
        <v>78</v>
      </c>
    </row>
    <row r="29" spans="1:1" x14ac:dyDescent="0.35">
      <c r="A29" t="s">
        <v>83</v>
      </c>
    </row>
    <row r="30" spans="1:1" x14ac:dyDescent="0.35">
      <c r="A30" t="s">
        <v>85</v>
      </c>
    </row>
    <row r="31" spans="1:1" x14ac:dyDescent="0.35">
      <c r="A31" t="s">
        <v>89</v>
      </c>
    </row>
    <row r="32" spans="1:1" x14ac:dyDescent="0.35">
      <c r="A32" t="s">
        <v>91</v>
      </c>
    </row>
    <row r="33" spans="1:1" x14ac:dyDescent="0.35">
      <c r="A33" t="s">
        <v>94</v>
      </c>
    </row>
    <row r="34" spans="1:1" x14ac:dyDescent="0.35">
      <c r="A34" t="s">
        <v>97</v>
      </c>
    </row>
    <row r="35" spans="1:1" x14ac:dyDescent="0.35">
      <c r="A35" t="s">
        <v>99</v>
      </c>
    </row>
    <row r="36" spans="1:1" x14ac:dyDescent="0.35">
      <c r="A36" t="s">
        <v>103</v>
      </c>
    </row>
    <row r="37" spans="1:1" x14ac:dyDescent="0.35">
      <c r="A37" t="s">
        <v>106</v>
      </c>
    </row>
    <row r="38" spans="1:1" x14ac:dyDescent="0.35">
      <c r="A38" t="s">
        <v>251</v>
      </c>
    </row>
    <row r="39" spans="1:1" x14ac:dyDescent="0.35">
      <c r="A39" t="s">
        <v>254</v>
      </c>
    </row>
    <row r="40" spans="1:1" x14ac:dyDescent="0.35">
      <c r="A40" t="s">
        <v>260</v>
      </c>
    </row>
    <row r="41" spans="1:1" x14ac:dyDescent="0.35">
      <c r="A41" t="s">
        <v>263</v>
      </c>
    </row>
    <row r="42" spans="1:1" x14ac:dyDescent="0.35">
      <c r="A42" t="s">
        <v>266</v>
      </c>
    </row>
    <row r="43" spans="1:1" x14ac:dyDescent="0.35">
      <c r="A43" t="s">
        <v>269</v>
      </c>
    </row>
    <row r="44" spans="1:1" x14ac:dyDescent="0.35">
      <c r="A44" t="s">
        <v>272</v>
      </c>
    </row>
    <row r="45" spans="1:1" x14ac:dyDescent="0.35">
      <c r="A45" t="s">
        <v>275</v>
      </c>
    </row>
    <row r="46" spans="1:1" x14ac:dyDescent="0.35">
      <c r="A46" t="s">
        <v>281</v>
      </c>
    </row>
    <row r="47" spans="1:1" x14ac:dyDescent="0.35">
      <c r="A47" t="s">
        <v>284</v>
      </c>
    </row>
    <row r="48" spans="1:1" x14ac:dyDescent="0.35">
      <c r="A48" t="s">
        <v>287</v>
      </c>
    </row>
    <row r="49" spans="1:1" x14ac:dyDescent="0.35">
      <c r="A49" t="s">
        <v>293</v>
      </c>
    </row>
    <row r="50" spans="1:1" x14ac:dyDescent="0.35">
      <c r="A50" t="s">
        <v>296</v>
      </c>
    </row>
    <row r="51" spans="1:1" x14ac:dyDescent="0.35">
      <c r="A51" t="s">
        <v>299</v>
      </c>
    </row>
    <row r="52" spans="1:1" x14ac:dyDescent="0.35">
      <c r="A52" t="s">
        <v>308</v>
      </c>
    </row>
    <row r="53" spans="1:1" x14ac:dyDescent="0.35">
      <c r="A53" t="s">
        <v>311</v>
      </c>
    </row>
    <row r="54" spans="1:1" x14ac:dyDescent="0.35">
      <c r="A54" t="s">
        <v>317</v>
      </c>
    </row>
    <row r="55" spans="1:1" x14ac:dyDescent="0.35">
      <c r="A55" t="s">
        <v>320</v>
      </c>
    </row>
    <row r="56" spans="1:1" x14ac:dyDescent="0.35">
      <c r="A56" t="s">
        <v>323</v>
      </c>
    </row>
    <row r="57" spans="1:1" x14ac:dyDescent="0.35">
      <c r="A57" t="s">
        <v>326</v>
      </c>
    </row>
    <row r="58" spans="1:1" x14ac:dyDescent="0.35">
      <c r="A58" t="s">
        <v>341</v>
      </c>
    </row>
    <row r="59" spans="1:1" x14ac:dyDescent="0.35">
      <c r="A59" t="s">
        <v>347</v>
      </c>
    </row>
    <row r="60" spans="1:1" x14ac:dyDescent="0.35">
      <c r="A60" t="s">
        <v>356</v>
      </c>
    </row>
    <row r="61" spans="1:1" x14ac:dyDescent="0.35">
      <c r="A61" t="s">
        <v>359</v>
      </c>
    </row>
    <row r="62" spans="1:1" x14ac:dyDescent="0.35">
      <c r="A62" t="s">
        <v>362</v>
      </c>
    </row>
    <row r="63" spans="1:1" x14ac:dyDescent="0.35">
      <c r="A63" t="s">
        <v>368</v>
      </c>
    </row>
    <row r="64" spans="1:1" x14ac:dyDescent="0.35">
      <c r="A64" t="s">
        <v>374</v>
      </c>
    </row>
    <row r="65" spans="1:1" x14ac:dyDescent="0.35">
      <c r="A65" t="s">
        <v>377</v>
      </c>
    </row>
    <row r="66" spans="1:1" x14ac:dyDescent="0.35">
      <c r="A66" t="s">
        <v>380</v>
      </c>
    </row>
    <row r="67" spans="1:1" x14ac:dyDescent="0.35">
      <c r="A67" t="s">
        <v>383</v>
      </c>
    </row>
    <row r="68" spans="1:1" x14ac:dyDescent="0.35">
      <c r="A68" t="s">
        <v>392</v>
      </c>
    </row>
    <row r="69" spans="1:1" x14ac:dyDescent="0.35">
      <c r="A69" t="s">
        <v>395</v>
      </c>
    </row>
    <row r="70" spans="1:1" x14ac:dyDescent="0.35">
      <c r="A70" t="s">
        <v>398</v>
      </c>
    </row>
    <row r="71" spans="1:1" x14ac:dyDescent="0.35">
      <c r="A71" t="s">
        <v>404</v>
      </c>
    </row>
    <row r="72" spans="1:1" x14ac:dyDescent="0.35">
      <c r="A72" t="s">
        <v>407</v>
      </c>
    </row>
    <row r="73" spans="1:1" x14ac:dyDescent="0.35">
      <c r="A73" t="s">
        <v>410</v>
      </c>
    </row>
    <row r="74" spans="1:1" x14ac:dyDescent="0.35">
      <c r="A74" t="s">
        <v>413</v>
      </c>
    </row>
    <row r="75" spans="1:1" x14ac:dyDescent="0.35">
      <c r="A75" t="s">
        <v>416</v>
      </c>
    </row>
    <row r="76" spans="1:1" x14ac:dyDescent="0.35">
      <c r="A76" t="s">
        <v>428</v>
      </c>
    </row>
    <row r="77" spans="1:1" x14ac:dyDescent="0.35">
      <c r="A77" t="s">
        <v>431</v>
      </c>
    </row>
    <row r="78" spans="1:1" x14ac:dyDescent="0.35">
      <c r="A78" t="s">
        <v>434</v>
      </c>
    </row>
    <row r="79" spans="1:1" x14ac:dyDescent="0.35">
      <c r="A79" t="s">
        <v>437</v>
      </c>
    </row>
    <row r="80" spans="1:1" x14ac:dyDescent="0.35">
      <c r="A80" t="s">
        <v>440</v>
      </c>
    </row>
    <row r="81" spans="1:1" x14ac:dyDescent="0.35">
      <c r="A81" t="s">
        <v>443</v>
      </c>
    </row>
    <row r="82" spans="1:1" x14ac:dyDescent="0.35">
      <c r="A82" t="s">
        <v>446</v>
      </c>
    </row>
    <row r="83" spans="1:1" x14ac:dyDescent="0.35">
      <c r="A83" t="s">
        <v>449</v>
      </c>
    </row>
    <row r="84" spans="1:1" x14ac:dyDescent="0.35">
      <c r="A84" t="s">
        <v>452</v>
      </c>
    </row>
    <row r="85" spans="1:1" x14ac:dyDescent="0.35">
      <c r="A85" t="s">
        <v>455</v>
      </c>
    </row>
    <row r="86" spans="1:1" x14ac:dyDescent="0.35">
      <c r="A86" t="s">
        <v>458</v>
      </c>
    </row>
    <row r="87" spans="1:1" x14ac:dyDescent="0.35">
      <c r="A87" t="s">
        <v>461</v>
      </c>
    </row>
    <row r="88" spans="1:1" x14ac:dyDescent="0.35">
      <c r="A88" t="s">
        <v>464</v>
      </c>
    </row>
    <row r="89" spans="1:1" x14ac:dyDescent="0.35">
      <c r="A89" t="s">
        <v>467</v>
      </c>
    </row>
    <row r="90" spans="1:1" x14ac:dyDescent="0.35">
      <c r="A90" t="s">
        <v>470</v>
      </c>
    </row>
    <row r="91" spans="1:1" x14ac:dyDescent="0.35">
      <c r="A91" t="s">
        <v>473</v>
      </c>
    </row>
    <row r="92" spans="1:1" x14ac:dyDescent="0.35">
      <c r="A92" t="s">
        <v>476</v>
      </c>
    </row>
    <row r="93" spans="1:1" x14ac:dyDescent="0.35">
      <c r="A93" t="s">
        <v>479</v>
      </c>
    </row>
    <row r="94" spans="1:1" x14ac:dyDescent="0.35">
      <c r="A94" t="s">
        <v>482</v>
      </c>
    </row>
    <row r="95" spans="1:1" x14ac:dyDescent="0.35">
      <c r="A95" t="s">
        <v>491</v>
      </c>
    </row>
    <row r="96" spans="1:1" x14ac:dyDescent="0.35">
      <c r="A96" t="s">
        <v>494</v>
      </c>
    </row>
    <row r="97" spans="1:1" x14ac:dyDescent="0.35">
      <c r="A97" t="s">
        <v>497</v>
      </c>
    </row>
    <row r="98" spans="1:1" x14ac:dyDescent="0.35">
      <c r="A98" t="s">
        <v>500</v>
      </c>
    </row>
    <row r="99" spans="1:1" x14ac:dyDescent="0.35">
      <c r="A99" t="s">
        <v>503</v>
      </c>
    </row>
    <row r="100" spans="1:1" x14ac:dyDescent="0.35">
      <c r="A100" t="s">
        <v>506</v>
      </c>
    </row>
    <row r="101" spans="1:1" x14ac:dyDescent="0.35">
      <c r="A101" t="s">
        <v>509</v>
      </c>
    </row>
    <row r="102" spans="1:1" x14ac:dyDescent="0.35">
      <c r="A102" t="s">
        <v>512</v>
      </c>
    </row>
    <row r="103" spans="1:1" x14ac:dyDescent="0.35">
      <c r="A103" t="s">
        <v>515</v>
      </c>
    </row>
    <row r="104" spans="1:1" x14ac:dyDescent="0.35">
      <c r="A104" t="s">
        <v>518</v>
      </c>
    </row>
    <row r="105" spans="1:1" x14ac:dyDescent="0.35">
      <c r="A105" t="s">
        <v>521</v>
      </c>
    </row>
    <row r="106" spans="1:1" x14ac:dyDescent="0.35">
      <c r="A106" t="s">
        <v>524</v>
      </c>
    </row>
    <row r="107" spans="1:1" x14ac:dyDescent="0.35">
      <c r="A107" t="s">
        <v>527</v>
      </c>
    </row>
    <row r="108" spans="1:1" x14ac:dyDescent="0.35">
      <c r="A108" t="s">
        <v>530</v>
      </c>
    </row>
    <row r="109" spans="1:1" x14ac:dyDescent="0.35">
      <c r="A109" t="s">
        <v>536</v>
      </c>
    </row>
    <row r="110" spans="1:1" x14ac:dyDescent="0.35">
      <c r="A110" t="s">
        <v>539</v>
      </c>
    </row>
    <row r="111" spans="1:1" x14ac:dyDescent="0.35">
      <c r="A111" t="s">
        <v>542</v>
      </c>
    </row>
    <row r="112" spans="1:1" x14ac:dyDescent="0.35">
      <c r="A112" t="s">
        <v>545</v>
      </c>
    </row>
    <row r="113" spans="1:1" x14ac:dyDescent="0.35">
      <c r="A113" t="s">
        <v>548</v>
      </c>
    </row>
    <row r="114" spans="1:1" x14ac:dyDescent="0.35">
      <c r="A114" t="s">
        <v>550</v>
      </c>
    </row>
    <row r="115" spans="1:1" x14ac:dyDescent="0.35">
      <c r="A115" t="s">
        <v>553</v>
      </c>
    </row>
    <row r="116" spans="1:1" x14ac:dyDescent="0.35">
      <c r="A116" t="s">
        <v>556</v>
      </c>
    </row>
    <row r="117" spans="1:1" x14ac:dyDescent="0.35">
      <c r="A117" t="s">
        <v>559</v>
      </c>
    </row>
    <row r="118" spans="1:1" x14ac:dyDescent="0.35">
      <c r="A118" t="s">
        <v>562</v>
      </c>
    </row>
    <row r="119" spans="1:1" x14ac:dyDescent="0.35">
      <c r="A119" t="s">
        <v>565</v>
      </c>
    </row>
    <row r="120" spans="1:1" x14ac:dyDescent="0.35">
      <c r="A120" t="s">
        <v>568</v>
      </c>
    </row>
    <row r="121" spans="1:1" x14ac:dyDescent="0.35">
      <c r="A121" t="s">
        <v>571</v>
      </c>
    </row>
    <row r="122" spans="1:1" x14ac:dyDescent="0.35">
      <c r="A122" t="s">
        <v>574</v>
      </c>
    </row>
    <row r="123" spans="1:1" x14ac:dyDescent="0.35">
      <c r="A123" t="s">
        <v>577</v>
      </c>
    </row>
    <row r="124" spans="1:1" x14ac:dyDescent="0.35">
      <c r="A124" t="s">
        <v>580</v>
      </c>
    </row>
    <row r="125" spans="1:1" x14ac:dyDescent="0.35">
      <c r="A125" t="s">
        <v>583</v>
      </c>
    </row>
    <row r="126" spans="1:1" x14ac:dyDescent="0.35">
      <c r="A126" t="s">
        <v>586</v>
      </c>
    </row>
    <row r="127" spans="1:1" x14ac:dyDescent="0.35">
      <c r="A127" t="s">
        <v>589</v>
      </c>
    </row>
    <row r="128" spans="1:1" x14ac:dyDescent="0.35">
      <c r="A128" t="s">
        <v>592</v>
      </c>
    </row>
    <row r="129" spans="1:1" x14ac:dyDescent="0.35">
      <c r="A129" t="s">
        <v>595</v>
      </c>
    </row>
    <row r="130" spans="1:1" x14ac:dyDescent="0.35">
      <c r="A130" t="s">
        <v>598</v>
      </c>
    </row>
    <row r="131" spans="1:1" x14ac:dyDescent="0.35">
      <c r="A131" t="s">
        <v>601</v>
      </c>
    </row>
    <row r="132" spans="1:1" x14ac:dyDescent="0.35">
      <c r="A132" t="s">
        <v>604</v>
      </c>
    </row>
    <row r="133" spans="1:1" x14ac:dyDescent="0.35">
      <c r="A133" t="s">
        <v>613</v>
      </c>
    </row>
    <row r="134" spans="1:1" x14ac:dyDescent="0.35">
      <c r="A134" t="s">
        <v>618</v>
      </c>
    </row>
    <row r="135" spans="1:1" x14ac:dyDescent="0.35">
      <c r="A135" t="s">
        <v>621</v>
      </c>
    </row>
    <row r="136" spans="1:1" x14ac:dyDescent="0.35">
      <c r="A136" t="s">
        <v>624</v>
      </c>
    </row>
    <row r="137" spans="1:1" x14ac:dyDescent="0.35">
      <c r="A137" t="s">
        <v>627</v>
      </c>
    </row>
    <row r="138" spans="1:1" x14ac:dyDescent="0.35">
      <c r="A138" t="s">
        <v>630</v>
      </c>
    </row>
    <row r="139" spans="1:1" x14ac:dyDescent="0.35">
      <c r="A139" t="s">
        <v>633</v>
      </c>
    </row>
    <row r="140" spans="1:1" x14ac:dyDescent="0.35">
      <c r="A140" t="s">
        <v>635</v>
      </c>
    </row>
    <row r="141" spans="1:1" x14ac:dyDescent="0.35">
      <c r="A141" t="s">
        <v>638</v>
      </c>
    </row>
    <row r="142" spans="1:1" x14ac:dyDescent="0.35">
      <c r="A142" t="s">
        <v>641</v>
      </c>
    </row>
    <row r="143" spans="1:1" x14ac:dyDescent="0.35">
      <c r="A143" t="s">
        <v>643</v>
      </c>
    </row>
    <row r="144" spans="1:1" x14ac:dyDescent="0.35">
      <c r="A144" t="s">
        <v>649</v>
      </c>
    </row>
    <row r="145" spans="1:1" x14ac:dyDescent="0.35">
      <c r="A145" t="s">
        <v>652</v>
      </c>
    </row>
    <row r="146" spans="1:1" x14ac:dyDescent="0.35">
      <c r="A146" t="s">
        <v>655</v>
      </c>
    </row>
    <row r="147" spans="1:1" x14ac:dyDescent="0.35">
      <c r="A147" t="s">
        <v>658</v>
      </c>
    </row>
    <row r="148" spans="1:1" x14ac:dyDescent="0.35">
      <c r="A148" t="s">
        <v>664</v>
      </c>
    </row>
    <row r="149" spans="1:1" x14ac:dyDescent="0.35">
      <c r="A149" t="s">
        <v>667</v>
      </c>
    </row>
    <row r="150" spans="1:1" x14ac:dyDescent="0.35">
      <c r="A150" t="s">
        <v>670</v>
      </c>
    </row>
    <row r="151" spans="1:1" x14ac:dyDescent="0.35">
      <c r="A151" t="s">
        <v>673</v>
      </c>
    </row>
    <row r="152" spans="1:1" x14ac:dyDescent="0.35">
      <c r="A152" t="s">
        <v>676</v>
      </c>
    </row>
    <row r="153" spans="1:1" x14ac:dyDescent="0.35">
      <c r="A153" t="s">
        <v>688</v>
      </c>
    </row>
    <row r="154" spans="1:1" x14ac:dyDescent="0.35">
      <c r="A154" t="s">
        <v>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tabSelected="1" workbookViewId="0">
      <selection activeCell="E1" sqref="E1:G1048576"/>
    </sheetView>
  </sheetViews>
  <sheetFormatPr defaultRowHeight="14.5" x14ac:dyDescent="0.35"/>
  <sheetData>
    <row r="1" spans="1:8" ht="15" thickBot="1" x14ac:dyDescent="0.4">
      <c r="A1" t="s">
        <v>108</v>
      </c>
      <c r="B1" t="s">
        <v>1</v>
      </c>
      <c r="C1" t="s">
        <v>2</v>
      </c>
      <c r="D1" t="s">
        <v>3</v>
      </c>
      <c r="E1" s="3" t="s">
        <v>109</v>
      </c>
      <c r="F1" s="4" t="s">
        <v>110</v>
      </c>
      <c r="G1" t="s">
        <v>175</v>
      </c>
      <c r="H1" t="s">
        <v>174</v>
      </c>
    </row>
    <row r="2" spans="1:8" hidden="1" x14ac:dyDescent="0.35">
      <c r="A2" t="s">
        <v>4</v>
      </c>
      <c r="B2">
        <v>2019</v>
      </c>
      <c r="C2" t="s">
        <v>5</v>
      </c>
      <c r="D2" t="s">
        <v>111</v>
      </c>
      <c r="E2" t="s">
        <v>112</v>
      </c>
      <c r="F2" t="s">
        <v>206</v>
      </c>
      <c r="G2" t="b">
        <f>IF(E2="Include", TRUE, FALSE)</f>
        <v>1</v>
      </c>
      <c r="H2" t="e">
        <f>VLOOKUP(A2,ID_Lookup!$A:$A,1,FALSE)</f>
        <v>#N/A</v>
      </c>
    </row>
    <row r="3" spans="1:8" hidden="1" x14ac:dyDescent="0.35">
      <c r="A3" t="s">
        <v>6</v>
      </c>
      <c r="B3">
        <v>2019</v>
      </c>
      <c r="C3" t="s">
        <v>7</v>
      </c>
      <c r="D3" t="s">
        <v>113</v>
      </c>
      <c r="E3" t="s">
        <v>112</v>
      </c>
      <c r="F3" t="s">
        <v>206</v>
      </c>
      <c r="G3" t="b">
        <f t="shared" ref="G3:G66" si="0">IF(E3="Include", TRUE, FALSE)</f>
        <v>1</v>
      </c>
      <c r="H3" t="e">
        <f>VLOOKUP(A3,ID_Lookup!$A:$A,1,FALSE)</f>
        <v>#N/A</v>
      </c>
    </row>
    <row r="4" spans="1:8" x14ac:dyDescent="0.35">
      <c r="A4" t="s">
        <v>8</v>
      </c>
      <c r="B4">
        <v>2019</v>
      </c>
      <c r="C4" t="s">
        <v>9</v>
      </c>
      <c r="D4" t="s">
        <v>114</v>
      </c>
      <c r="E4" t="s">
        <v>112</v>
      </c>
      <c r="F4" t="s">
        <v>206</v>
      </c>
      <c r="G4" t="b">
        <f t="shared" si="0"/>
        <v>1</v>
      </c>
      <c r="H4" t="str">
        <f>VLOOKUP(A4,ID_Lookup!$A:$A,1,FALSE)</f>
        <v>J502</v>
      </c>
    </row>
    <row r="5" spans="1:8" x14ac:dyDescent="0.35">
      <c r="A5" t="s">
        <v>10</v>
      </c>
      <c r="B5">
        <v>2019</v>
      </c>
      <c r="C5" t="s">
        <v>11</v>
      </c>
      <c r="D5" t="s">
        <v>115</v>
      </c>
      <c r="E5" t="s">
        <v>112</v>
      </c>
      <c r="F5" t="s">
        <v>206</v>
      </c>
      <c r="G5" t="b">
        <f t="shared" si="0"/>
        <v>1</v>
      </c>
      <c r="H5" t="str">
        <f>VLOOKUP(A5,ID_Lookup!$A:$A,1,FALSE)</f>
        <v>J503</v>
      </c>
    </row>
    <row r="6" spans="1:8" x14ac:dyDescent="0.35">
      <c r="A6" t="s">
        <v>12</v>
      </c>
      <c r="B6">
        <v>2019</v>
      </c>
      <c r="C6" t="s">
        <v>13</v>
      </c>
      <c r="D6" t="s">
        <v>116</v>
      </c>
      <c r="E6" t="s">
        <v>112</v>
      </c>
      <c r="F6" t="s">
        <v>206</v>
      </c>
      <c r="G6" t="b">
        <f t="shared" si="0"/>
        <v>1</v>
      </c>
      <c r="H6" t="str">
        <f>VLOOKUP(A6,ID_Lookup!$A:$A,1,FALSE)</f>
        <v>J504</v>
      </c>
    </row>
    <row r="7" spans="1:8" x14ac:dyDescent="0.35">
      <c r="A7" t="s">
        <v>14</v>
      </c>
      <c r="B7">
        <v>2019</v>
      </c>
      <c r="C7" t="s">
        <v>15</v>
      </c>
      <c r="D7" t="s">
        <v>117</v>
      </c>
      <c r="E7" t="s">
        <v>112</v>
      </c>
      <c r="F7" t="s">
        <v>206</v>
      </c>
      <c r="G7" t="b">
        <f t="shared" si="0"/>
        <v>1</v>
      </c>
      <c r="H7" t="str">
        <f>VLOOKUP(A7,ID_Lookup!$A:$A,1,FALSE)</f>
        <v>J505</v>
      </c>
    </row>
    <row r="8" spans="1:8" x14ac:dyDescent="0.35">
      <c r="A8" t="s">
        <v>16</v>
      </c>
      <c r="B8">
        <v>2019</v>
      </c>
      <c r="C8" t="s">
        <v>17</v>
      </c>
      <c r="D8" t="s">
        <v>118</v>
      </c>
      <c r="E8" t="s">
        <v>112</v>
      </c>
      <c r="F8" t="s">
        <v>206</v>
      </c>
      <c r="G8" t="b">
        <f t="shared" si="0"/>
        <v>1</v>
      </c>
      <c r="H8" t="str">
        <f>VLOOKUP(A8,ID_Lookup!$A:$A,1,FALSE)</f>
        <v>J506</v>
      </c>
    </row>
    <row r="9" spans="1:8" hidden="1" x14ac:dyDescent="0.35">
      <c r="A9" t="s">
        <v>18</v>
      </c>
      <c r="B9">
        <v>2019</v>
      </c>
      <c r="C9" t="s">
        <v>119</v>
      </c>
      <c r="D9" t="s">
        <v>120</v>
      </c>
      <c r="E9" t="s">
        <v>112</v>
      </c>
      <c r="F9" t="s">
        <v>206</v>
      </c>
      <c r="G9" t="b">
        <f t="shared" si="0"/>
        <v>1</v>
      </c>
      <c r="H9" t="e">
        <f>VLOOKUP(A9,ID_Lookup!$A:$A,1,FALSE)</f>
        <v>#N/A</v>
      </c>
    </row>
    <row r="10" spans="1:8" x14ac:dyDescent="0.35">
      <c r="A10" t="s">
        <v>19</v>
      </c>
      <c r="B10">
        <v>2019</v>
      </c>
      <c r="C10" t="s">
        <v>20</v>
      </c>
      <c r="D10" t="s">
        <v>121</v>
      </c>
      <c r="E10" t="s">
        <v>112</v>
      </c>
      <c r="F10" t="s">
        <v>206</v>
      </c>
      <c r="G10" t="b">
        <f t="shared" si="0"/>
        <v>1</v>
      </c>
      <c r="H10" t="str">
        <f>VLOOKUP(A10,ID_Lookup!$A:$A,1,FALSE)</f>
        <v>J508</v>
      </c>
    </row>
    <row r="11" spans="1:8" x14ac:dyDescent="0.35">
      <c r="A11" t="s">
        <v>21</v>
      </c>
      <c r="B11">
        <v>2019</v>
      </c>
      <c r="C11" t="s">
        <v>22</v>
      </c>
      <c r="D11" t="s">
        <v>122</v>
      </c>
      <c r="E11" t="s">
        <v>112</v>
      </c>
      <c r="F11" t="s">
        <v>206</v>
      </c>
      <c r="G11" t="b">
        <f t="shared" si="0"/>
        <v>1</v>
      </c>
      <c r="H11" t="str">
        <f>VLOOKUP(A11,ID_Lookup!$A:$A,1,FALSE)</f>
        <v>J509</v>
      </c>
    </row>
    <row r="12" spans="1:8" x14ac:dyDescent="0.35">
      <c r="A12" t="s">
        <v>23</v>
      </c>
      <c r="B12">
        <v>2019</v>
      </c>
      <c r="C12" t="s">
        <v>123</v>
      </c>
      <c r="D12" t="s">
        <v>124</v>
      </c>
      <c r="E12" t="s">
        <v>112</v>
      </c>
      <c r="F12" t="s">
        <v>206</v>
      </c>
      <c r="G12" t="b">
        <f t="shared" si="0"/>
        <v>1</v>
      </c>
      <c r="H12" t="str">
        <f>VLOOKUP(A12,ID_Lookup!$A:$A,1,FALSE)</f>
        <v>J510</v>
      </c>
    </row>
    <row r="13" spans="1:8" x14ac:dyDescent="0.35">
      <c r="A13" t="s">
        <v>24</v>
      </c>
      <c r="B13">
        <v>2019</v>
      </c>
      <c r="C13" t="s">
        <v>25</v>
      </c>
      <c r="D13" t="s">
        <v>26</v>
      </c>
      <c r="E13" t="s">
        <v>112</v>
      </c>
      <c r="F13" t="s">
        <v>206</v>
      </c>
      <c r="G13" t="b">
        <f t="shared" si="0"/>
        <v>1</v>
      </c>
      <c r="H13" t="str">
        <f>VLOOKUP(A13,ID_Lookup!$A:$A,1,FALSE)</f>
        <v>J511</v>
      </c>
    </row>
    <row r="14" spans="1:8" x14ac:dyDescent="0.35">
      <c r="A14" t="s">
        <v>27</v>
      </c>
      <c r="B14">
        <v>2019</v>
      </c>
      <c r="C14" t="s">
        <v>28</v>
      </c>
      <c r="D14" t="s">
        <v>29</v>
      </c>
      <c r="E14" t="s">
        <v>112</v>
      </c>
      <c r="F14" t="s">
        <v>206</v>
      </c>
      <c r="G14" t="b">
        <f t="shared" si="0"/>
        <v>1</v>
      </c>
      <c r="H14" t="str">
        <f>VLOOKUP(A14,ID_Lookup!$A:$A,1,FALSE)</f>
        <v>J512</v>
      </c>
    </row>
    <row r="15" spans="1:8" x14ac:dyDescent="0.35">
      <c r="A15" t="s">
        <v>30</v>
      </c>
      <c r="B15">
        <v>2019</v>
      </c>
      <c r="C15" t="s">
        <v>125</v>
      </c>
      <c r="D15" t="s">
        <v>126</v>
      </c>
      <c r="E15" t="s">
        <v>112</v>
      </c>
      <c r="F15" t="s">
        <v>206</v>
      </c>
      <c r="G15" t="b">
        <f t="shared" si="0"/>
        <v>1</v>
      </c>
      <c r="H15" t="str">
        <f>VLOOKUP(A15,ID_Lookup!$A:$A,1,FALSE)</f>
        <v>J513</v>
      </c>
    </row>
    <row r="16" spans="1:8" x14ac:dyDescent="0.35">
      <c r="A16" t="s">
        <v>31</v>
      </c>
      <c r="B16">
        <v>2019</v>
      </c>
      <c r="C16" t="s">
        <v>127</v>
      </c>
      <c r="D16" t="s">
        <v>128</v>
      </c>
      <c r="E16" t="s">
        <v>112</v>
      </c>
      <c r="F16" t="s">
        <v>206</v>
      </c>
      <c r="G16" t="b">
        <f t="shared" si="0"/>
        <v>1</v>
      </c>
      <c r="H16" t="str">
        <f>VLOOKUP(A16,ID_Lookup!$A:$A,1,FALSE)</f>
        <v>J514</v>
      </c>
    </row>
    <row r="17" spans="1:8" x14ac:dyDescent="0.35">
      <c r="A17" t="s">
        <v>32</v>
      </c>
      <c r="B17">
        <v>2019</v>
      </c>
      <c r="C17" t="s">
        <v>33</v>
      </c>
      <c r="D17" t="s">
        <v>129</v>
      </c>
      <c r="E17" t="s">
        <v>112</v>
      </c>
      <c r="F17" t="s">
        <v>206</v>
      </c>
      <c r="G17" t="b">
        <f t="shared" si="0"/>
        <v>1</v>
      </c>
      <c r="H17" t="str">
        <f>VLOOKUP(A17,ID_Lookup!$A:$A,1,FALSE)</f>
        <v>J515</v>
      </c>
    </row>
    <row r="18" spans="1:8" hidden="1" x14ac:dyDescent="0.35">
      <c r="A18" t="s">
        <v>34</v>
      </c>
      <c r="B18">
        <v>2019</v>
      </c>
      <c r="C18" t="s">
        <v>35</v>
      </c>
      <c r="D18" t="s">
        <v>130</v>
      </c>
      <c r="E18" t="s">
        <v>112</v>
      </c>
      <c r="F18" t="s">
        <v>206</v>
      </c>
      <c r="G18" t="b">
        <f t="shared" si="0"/>
        <v>1</v>
      </c>
      <c r="H18" t="e">
        <f>VLOOKUP(A18,ID_Lookup!$A:$A,1,FALSE)</f>
        <v>#N/A</v>
      </c>
    </row>
    <row r="19" spans="1:8" s="2" customFormat="1" hidden="1" x14ac:dyDescent="0.35">
      <c r="A19" s="2" t="s">
        <v>36</v>
      </c>
      <c r="B19" s="2">
        <v>2019</v>
      </c>
      <c r="C19" s="2" t="s">
        <v>37</v>
      </c>
      <c r="D19" s="2" t="s">
        <v>131</v>
      </c>
      <c r="E19" t="s">
        <v>112</v>
      </c>
      <c r="F19" t="s">
        <v>206</v>
      </c>
      <c r="G19" t="b">
        <f t="shared" si="0"/>
        <v>1</v>
      </c>
      <c r="H19" t="e">
        <f>VLOOKUP(A19,ID_Lookup!$A:$A,1,FALSE)</f>
        <v>#N/A</v>
      </c>
    </row>
    <row r="20" spans="1:8" hidden="1" x14ac:dyDescent="0.35">
      <c r="A20" t="s">
        <v>38</v>
      </c>
      <c r="B20">
        <v>2019</v>
      </c>
      <c r="C20" t="s">
        <v>39</v>
      </c>
      <c r="D20" t="s">
        <v>132</v>
      </c>
      <c r="E20" t="s">
        <v>112</v>
      </c>
      <c r="F20" t="s">
        <v>206</v>
      </c>
      <c r="G20" t="b">
        <f t="shared" si="0"/>
        <v>1</v>
      </c>
      <c r="H20" t="e">
        <f>VLOOKUP(A20,ID_Lookup!$A:$A,1,FALSE)</f>
        <v>#N/A</v>
      </c>
    </row>
    <row r="21" spans="1:8" hidden="1" x14ac:dyDescent="0.35">
      <c r="A21" t="s">
        <v>40</v>
      </c>
      <c r="B21">
        <v>2019</v>
      </c>
      <c r="C21" t="s">
        <v>41</v>
      </c>
      <c r="D21" t="s">
        <v>133</v>
      </c>
      <c r="E21" t="s">
        <v>112</v>
      </c>
      <c r="F21" t="s">
        <v>206</v>
      </c>
      <c r="G21" t="b">
        <f t="shared" si="0"/>
        <v>1</v>
      </c>
      <c r="H21" t="e">
        <f>VLOOKUP(A21,ID_Lookup!$A:$A,1,FALSE)</f>
        <v>#N/A</v>
      </c>
    </row>
    <row r="22" spans="1:8" x14ac:dyDescent="0.35">
      <c r="A22" t="s">
        <v>42</v>
      </c>
      <c r="B22">
        <v>2019</v>
      </c>
      <c r="C22" t="s">
        <v>43</v>
      </c>
      <c r="D22" t="s">
        <v>44</v>
      </c>
      <c r="E22" t="s">
        <v>112</v>
      </c>
      <c r="F22" t="s">
        <v>206</v>
      </c>
      <c r="G22" t="b">
        <f t="shared" si="0"/>
        <v>1</v>
      </c>
      <c r="H22" t="str">
        <f>VLOOKUP(A22,ID_Lookup!$A:$A,1,FALSE)</f>
        <v>J520</v>
      </c>
    </row>
    <row r="23" spans="1:8" x14ac:dyDescent="0.35">
      <c r="A23" t="s">
        <v>45</v>
      </c>
      <c r="B23">
        <v>2019</v>
      </c>
      <c r="C23" t="s">
        <v>46</v>
      </c>
      <c r="D23" t="s">
        <v>134</v>
      </c>
      <c r="E23" t="s">
        <v>112</v>
      </c>
      <c r="F23" t="s">
        <v>206</v>
      </c>
      <c r="G23" t="b">
        <f t="shared" si="0"/>
        <v>1</v>
      </c>
      <c r="H23" t="str">
        <f>VLOOKUP(A23,ID_Lookup!$A:$A,1,FALSE)</f>
        <v>J521</v>
      </c>
    </row>
    <row r="24" spans="1:8" x14ac:dyDescent="0.35">
      <c r="A24" t="s">
        <v>47</v>
      </c>
      <c r="B24">
        <v>2019</v>
      </c>
      <c r="C24" t="s">
        <v>48</v>
      </c>
      <c r="D24" t="s">
        <v>135</v>
      </c>
      <c r="E24" t="s">
        <v>112</v>
      </c>
      <c r="F24" t="s">
        <v>206</v>
      </c>
      <c r="G24" t="b">
        <f t="shared" si="0"/>
        <v>1</v>
      </c>
      <c r="H24" t="str">
        <f>VLOOKUP(A24,ID_Lookup!$A:$A,1,FALSE)</f>
        <v>J522</v>
      </c>
    </row>
    <row r="25" spans="1:8" x14ac:dyDescent="0.35">
      <c r="A25" t="s">
        <v>49</v>
      </c>
      <c r="B25">
        <v>2019</v>
      </c>
      <c r="C25" t="s">
        <v>136</v>
      </c>
      <c r="D25" t="s">
        <v>137</v>
      </c>
      <c r="E25" t="s">
        <v>112</v>
      </c>
      <c r="F25" t="s">
        <v>206</v>
      </c>
      <c r="G25" t="b">
        <f t="shared" si="0"/>
        <v>1</v>
      </c>
      <c r="H25" t="str">
        <f>VLOOKUP(A25,ID_Lookup!$A:$A,1,FALSE)</f>
        <v>J523</v>
      </c>
    </row>
    <row r="26" spans="1:8" x14ac:dyDescent="0.35">
      <c r="A26" t="s">
        <v>50</v>
      </c>
      <c r="B26">
        <v>2019</v>
      </c>
      <c r="C26" t="s">
        <v>138</v>
      </c>
      <c r="D26" t="s">
        <v>139</v>
      </c>
      <c r="E26" t="s">
        <v>112</v>
      </c>
      <c r="F26" t="s">
        <v>206</v>
      </c>
      <c r="G26" t="b">
        <f t="shared" si="0"/>
        <v>1</v>
      </c>
      <c r="H26" t="str">
        <f>VLOOKUP(A26,ID_Lookup!$A:$A,1,FALSE)</f>
        <v>J524</v>
      </c>
    </row>
    <row r="27" spans="1:8" hidden="1" x14ac:dyDescent="0.35">
      <c r="A27" t="s">
        <v>51</v>
      </c>
      <c r="B27">
        <v>2019</v>
      </c>
      <c r="C27" t="s">
        <v>52</v>
      </c>
      <c r="D27" t="s">
        <v>53</v>
      </c>
      <c r="E27" t="s">
        <v>112</v>
      </c>
      <c r="F27" t="s">
        <v>206</v>
      </c>
      <c r="G27" t="b">
        <f t="shared" si="0"/>
        <v>1</v>
      </c>
      <c r="H27" t="e">
        <f>VLOOKUP(A27,ID_Lookup!$A:$A,1,FALSE)</f>
        <v>#N/A</v>
      </c>
    </row>
    <row r="28" spans="1:8" hidden="1" x14ac:dyDescent="0.35">
      <c r="A28" t="s">
        <v>54</v>
      </c>
      <c r="B28">
        <v>2019</v>
      </c>
      <c r="C28" t="s">
        <v>55</v>
      </c>
      <c r="D28" t="s">
        <v>56</v>
      </c>
      <c r="E28" t="s">
        <v>112</v>
      </c>
      <c r="F28" t="s">
        <v>206</v>
      </c>
      <c r="G28" t="b">
        <f t="shared" si="0"/>
        <v>1</v>
      </c>
      <c r="H28" t="e">
        <f>VLOOKUP(A28,ID_Lookup!$A:$A,1,FALSE)</f>
        <v>#N/A</v>
      </c>
    </row>
    <row r="29" spans="1:8" x14ac:dyDescent="0.35">
      <c r="A29" t="s">
        <v>57</v>
      </c>
      <c r="B29">
        <v>2019</v>
      </c>
      <c r="C29" t="s">
        <v>58</v>
      </c>
      <c r="D29" t="s">
        <v>140</v>
      </c>
      <c r="E29" t="s">
        <v>112</v>
      </c>
      <c r="F29" t="s">
        <v>206</v>
      </c>
      <c r="G29" t="b">
        <f t="shared" si="0"/>
        <v>1</v>
      </c>
      <c r="H29" t="str">
        <f>VLOOKUP(A29,ID_Lookup!$A:$A,1,FALSE)</f>
        <v>J527</v>
      </c>
    </row>
    <row r="30" spans="1:8" hidden="1" x14ac:dyDescent="0.35">
      <c r="A30" t="s">
        <v>59</v>
      </c>
      <c r="B30">
        <v>2019</v>
      </c>
      <c r="C30" t="s">
        <v>141</v>
      </c>
      <c r="D30" t="s">
        <v>142</v>
      </c>
      <c r="E30" t="s">
        <v>112</v>
      </c>
      <c r="F30" t="s">
        <v>206</v>
      </c>
      <c r="G30" t="b">
        <f t="shared" si="0"/>
        <v>1</v>
      </c>
      <c r="H30" t="e">
        <f>VLOOKUP(A30,ID_Lookup!$A:$A,1,FALSE)</f>
        <v>#N/A</v>
      </c>
    </row>
    <row r="31" spans="1:8" x14ac:dyDescent="0.35">
      <c r="A31" t="s">
        <v>60</v>
      </c>
      <c r="B31">
        <v>2019</v>
      </c>
      <c r="C31" t="s">
        <v>61</v>
      </c>
      <c r="D31" t="s">
        <v>143</v>
      </c>
      <c r="E31" t="s">
        <v>112</v>
      </c>
      <c r="F31" t="s">
        <v>206</v>
      </c>
      <c r="G31" t="b">
        <f t="shared" si="0"/>
        <v>1</v>
      </c>
      <c r="H31" t="str">
        <f>VLOOKUP(A31,ID_Lookup!$A:$A,1,FALSE)</f>
        <v>J529</v>
      </c>
    </row>
    <row r="32" spans="1:8" x14ac:dyDescent="0.35">
      <c r="A32" t="s">
        <v>62</v>
      </c>
      <c r="B32">
        <v>2019</v>
      </c>
      <c r="C32" t="s">
        <v>63</v>
      </c>
      <c r="D32" t="s">
        <v>144</v>
      </c>
      <c r="E32" t="s">
        <v>112</v>
      </c>
      <c r="F32" t="s">
        <v>206</v>
      </c>
      <c r="G32" t="b">
        <f t="shared" si="0"/>
        <v>1</v>
      </c>
      <c r="H32" t="str">
        <f>VLOOKUP(A32,ID_Lookup!$A:$A,1,FALSE)</f>
        <v>J530</v>
      </c>
    </row>
    <row r="33" spans="1:8" hidden="1" x14ac:dyDescent="0.35">
      <c r="A33" t="s">
        <v>64</v>
      </c>
      <c r="B33">
        <v>2019</v>
      </c>
      <c r="C33" t="s">
        <v>65</v>
      </c>
      <c r="D33" t="s">
        <v>145</v>
      </c>
      <c r="E33" t="s">
        <v>112</v>
      </c>
      <c r="F33" t="s">
        <v>206</v>
      </c>
      <c r="G33" t="b">
        <f t="shared" si="0"/>
        <v>1</v>
      </c>
      <c r="H33" t="e">
        <f>VLOOKUP(A33,ID_Lookup!$A:$A,1,FALSE)</f>
        <v>#N/A</v>
      </c>
    </row>
    <row r="34" spans="1:8" x14ac:dyDescent="0.35">
      <c r="A34" t="s">
        <v>66</v>
      </c>
      <c r="B34">
        <v>2019</v>
      </c>
      <c r="C34" t="s">
        <v>67</v>
      </c>
      <c r="D34" t="s">
        <v>68</v>
      </c>
      <c r="E34" t="s">
        <v>112</v>
      </c>
      <c r="F34" t="s">
        <v>206</v>
      </c>
      <c r="G34" t="b">
        <f t="shared" si="0"/>
        <v>1</v>
      </c>
      <c r="H34" t="str">
        <f>VLOOKUP(A34,ID_Lookup!$A:$A,1,FALSE)</f>
        <v>J532</v>
      </c>
    </row>
    <row r="35" spans="1:8" x14ac:dyDescent="0.35">
      <c r="A35" t="s">
        <v>69</v>
      </c>
      <c r="B35">
        <v>2019</v>
      </c>
      <c r="C35" t="s">
        <v>70</v>
      </c>
      <c r="D35" t="s">
        <v>146</v>
      </c>
      <c r="E35" t="s">
        <v>173</v>
      </c>
      <c r="F35" t="s">
        <v>195</v>
      </c>
      <c r="G35" t="b">
        <f t="shared" si="0"/>
        <v>0</v>
      </c>
      <c r="H35" t="str">
        <f>VLOOKUP(A35,ID_Lookup!$A:$A,1,FALSE)</f>
        <v>J533</v>
      </c>
    </row>
    <row r="36" spans="1:8" ht="409.5" x14ac:dyDescent="0.35">
      <c r="A36" t="s">
        <v>71</v>
      </c>
      <c r="B36">
        <v>2019</v>
      </c>
      <c r="C36" t="s">
        <v>72</v>
      </c>
      <c r="D36" s="1" t="s">
        <v>73</v>
      </c>
      <c r="E36" t="s">
        <v>112</v>
      </c>
      <c r="F36" t="s">
        <v>206</v>
      </c>
      <c r="G36" t="b">
        <f t="shared" si="0"/>
        <v>1</v>
      </c>
      <c r="H36" t="str">
        <f>VLOOKUP(A36,ID_Lookup!$A:$A,1,FALSE)</f>
        <v>J534</v>
      </c>
    </row>
    <row r="37" spans="1:8" x14ac:dyDescent="0.35">
      <c r="A37" t="s">
        <v>74</v>
      </c>
      <c r="B37">
        <v>2019</v>
      </c>
      <c r="C37" t="s">
        <v>75</v>
      </c>
      <c r="D37" t="s">
        <v>147</v>
      </c>
      <c r="E37" t="s">
        <v>112</v>
      </c>
      <c r="F37" t="s">
        <v>206</v>
      </c>
      <c r="G37" t="b">
        <f t="shared" si="0"/>
        <v>1</v>
      </c>
      <c r="H37" t="str">
        <f>VLOOKUP(A37,ID_Lookup!$A:$A,1,FALSE)</f>
        <v>J535</v>
      </c>
    </row>
    <row r="38" spans="1:8" x14ac:dyDescent="0.35">
      <c r="A38" t="s">
        <v>76</v>
      </c>
      <c r="B38">
        <v>2019</v>
      </c>
      <c r="C38" t="s">
        <v>77</v>
      </c>
      <c r="D38" t="s">
        <v>148</v>
      </c>
      <c r="E38" t="s">
        <v>112</v>
      </c>
      <c r="F38" t="s">
        <v>206</v>
      </c>
      <c r="G38" t="b">
        <f t="shared" si="0"/>
        <v>1</v>
      </c>
      <c r="H38" t="str">
        <f>VLOOKUP(A38,ID_Lookup!$A:$A,1,FALSE)</f>
        <v>J536</v>
      </c>
    </row>
    <row r="39" spans="1:8" x14ac:dyDescent="0.35">
      <c r="A39" t="s">
        <v>78</v>
      </c>
      <c r="B39">
        <v>2019</v>
      </c>
      <c r="C39" t="s">
        <v>79</v>
      </c>
      <c r="D39" t="s">
        <v>149</v>
      </c>
      <c r="E39" t="s">
        <v>112</v>
      </c>
      <c r="F39" t="s">
        <v>206</v>
      </c>
      <c r="G39" t="b">
        <f t="shared" si="0"/>
        <v>1</v>
      </c>
      <c r="H39" t="str">
        <f>VLOOKUP(A39,ID_Lookup!$A:$A,1,FALSE)</f>
        <v>J537</v>
      </c>
    </row>
    <row r="40" spans="1:8" hidden="1" x14ac:dyDescent="0.35">
      <c r="A40" t="s">
        <v>80</v>
      </c>
      <c r="B40">
        <v>2019</v>
      </c>
      <c r="C40" t="s">
        <v>81</v>
      </c>
      <c r="D40" t="s">
        <v>150</v>
      </c>
      <c r="E40" t="s">
        <v>112</v>
      </c>
      <c r="F40" t="s">
        <v>206</v>
      </c>
      <c r="G40" t="b">
        <f t="shared" si="0"/>
        <v>1</v>
      </c>
      <c r="H40" t="e">
        <f>VLOOKUP(A40,ID_Lookup!$A:$A,1,FALSE)</f>
        <v>#N/A</v>
      </c>
    </row>
    <row r="41" spans="1:8" hidden="1" x14ac:dyDescent="0.35">
      <c r="A41" t="s">
        <v>82</v>
      </c>
      <c r="B41">
        <v>2019</v>
      </c>
      <c r="C41" t="s">
        <v>151</v>
      </c>
      <c r="D41" t="s">
        <v>152</v>
      </c>
      <c r="E41" t="s">
        <v>112</v>
      </c>
      <c r="F41" t="s">
        <v>206</v>
      </c>
      <c r="G41" t="b">
        <f t="shared" si="0"/>
        <v>1</v>
      </c>
      <c r="H41" t="e">
        <f>VLOOKUP(A41,ID_Lookup!$A:$A,1,FALSE)</f>
        <v>#N/A</v>
      </c>
    </row>
    <row r="42" spans="1:8" x14ac:dyDescent="0.35">
      <c r="A42" t="s">
        <v>83</v>
      </c>
      <c r="B42">
        <v>2019</v>
      </c>
      <c r="C42" t="s">
        <v>84</v>
      </c>
      <c r="D42" t="s">
        <v>153</v>
      </c>
      <c r="E42" t="s">
        <v>112</v>
      </c>
      <c r="F42" t="s">
        <v>206</v>
      </c>
      <c r="G42" t="b">
        <f t="shared" si="0"/>
        <v>1</v>
      </c>
      <c r="H42" t="str">
        <f>VLOOKUP(A42,ID_Lookup!$A:$A,1,FALSE)</f>
        <v>J540</v>
      </c>
    </row>
    <row r="43" spans="1:8" ht="409.5" x14ac:dyDescent="0.35">
      <c r="A43" t="s">
        <v>85</v>
      </c>
      <c r="B43">
        <v>2019</v>
      </c>
      <c r="C43" t="s">
        <v>86</v>
      </c>
      <c r="D43" s="1" t="s">
        <v>87</v>
      </c>
      <c r="E43" t="s">
        <v>112</v>
      </c>
      <c r="F43" t="s">
        <v>206</v>
      </c>
      <c r="G43" t="b">
        <f t="shared" si="0"/>
        <v>1</v>
      </c>
      <c r="H43" t="str">
        <f>VLOOKUP(A43,ID_Lookup!$A:$A,1,FALSE)</f>
        <v>J541</v>
      </c>
    </row>
    <row r="44" spans="1:8" hidden="1" x14ac:dyDescent="0.35">
      <c r="A44" t="s">
        <v>88</v>
      </c>
      <c r="B44">
        <v>2019</v>
      </c>
      <c r="C44" t="s">
        <v>154</v>
      </c>
      <c r="D44" t="s">
        <v>155</v>
      </c>
      <c r="E44" t="s">
        <v>112</v>
      </c>
      <c r="F44" t="s">
        <v>206</v>
      </c>
      <c r="G44" t="b">
        <f t="shared" si="0"/>
        <v>1</v>
      </c>
      <c r="H44" t="e">
        <f>VLOOKUP(A44,ID_Lookup!$A:$A,1,FALSE)</f>
        <v>#N/A</v>
      </c>
    </row>
    <row r="45" spans="1:8" x14ac:dyDescent="0.35">
      <c r="A45" t="s">
        <v>89</v>
      </c>
      <c r="B45">
        <v>2019</v>
      </c>
      <c r="C45" t="s">
        <v>90</v>
      </c>
      <c r="D45" t="s">
        <v>156</v>
      </c>
      <c r="E45" t="s">
        <v>173</v>
      </c>
      <c r="F45" t="s">
        <v>195</v>
      </c>
      <c r="G45" t="b">
        <f t="shared" si="0"/>
        <v>0</v>
      </c>
      <c r="H45" t="str">
        <f>VLOOKUP(A45,ID_Lookup!$A:$A,1,FALSE)</f>
        <v>J543</v>
      </c>
    </row>
    <row r="46" spans="1:8" x14ac:dyDescent="0.35">
      <c r="A46" t="s">
        <v>91</v>
      </c>
      <c r="B46">
        <v>2019</v>
      </c>
      <c r="C46" t="s">
        <v>92</v>
      </c>
      <c r="D46" t="s">
        <v>93</v>
      </c>
      <c r="E46" t="s">
        <v>112</v>
      </c>
      <c r="F46" t="s">
        <v>206</v>
      </c>
      <c r="G46" t="b">
        <f t="shared" si="0"/>
        <v>1</v>
      </c>
      <c r="H46" t="str">
        <f>VLOOKUP(A46,ID_Lookup!$A:$A,1,FALSE)</f>
        <v>J544</v>
      </c>
    </row>
    <row r="47" spans="1:8" x14ac:dyDescent="0.35">
      <c r="A47" t="s">
        <v>94</v>
      </c>
      <c r="B47">
        <v>2019</v>
      </c>
      <c r="C47" t="s">
        <v>95</v>
      </c>
      <c r="D47" t="s">
        <v>96</v>
      </c>
      <c r="E47" t="s">
        <v>112</v>
      </c>
      <c r="F47" t="s">
        <v>206</v>
      </c>
      <c r="G47" t="b">
        <f t="shared" si="0"/>
        <v>1</v>
      </c>
      <c r="H47" t="str">
        <f>VLOOKUP(A47,ID_Lookup!$A:$A,1,FALSE)</f>
        <v>J545</v>
      </c>
    </row>
    <row r="48" spans="1:8" x14ac:dyDescent="0.35">
      <c r="A48" t="s">
        <v>97</v>
      </c>
      <c r="B48">
        <v>2019</v>
      </c>
      <c r="C48" t="s">
        <v>98</v>
      </c>
      <c r="D48" t="s">
        <v>157</v>
      </c>
      <c r="E48" t="s">
        <v>173</v>
      </c>
      <c r="F48" t="s">
        <v>207</v>
      </c>
      <c r="G48" t="b">
        <f t="shared" si="0"/>
        <v>0</v>
      </c>
      <c r="H48" t="str">
        <f>VLOOKUP(A48,ID_Lookup!$A:$A,1,FALSE)</f>
        <v>J546</v>
      </c>
    </row>
    <row r="49" spans="1:8" x14ac:dyDescent="0.35">
      <c r="A49" t="s">
        <v>99</v>
      </c>
      <c r="B49">
        <v>2019</v>
      </c>
      <c r="C49" t="s">
        <v>100</v>
      </c>
      <c r="D49" t="s">
        <v>101</v>
      </c>
      <c r="E49" t="s">
        <v>112</v>
      </c>
      <c r="F49" t="s">
        <v>206</v>
      </c>
      <c r="G49" t="b">
        <f t="shared" si="0"/>
        <v>1</v>
      </c>
      <c r="H49" t="str">
        <f>VLOOKUP(A49,ID_Lookup!$A:$A,1,FALSE)</f>
        <v>J547</v>
      </c>
    </row>
    <row r="50" spans="1:8" hidden="1" x14ac:dyDescent="0.35">
      <c r="A50" t="s">
        <v>102</v>
      </c>
      <c r="B50">
        <v>2019</v>
      </c>
      <c r="C50" t="s">
        <v>158</v>
      </c>
      <c r="D50" t="s">
        <v>159</v>
      </c>
      <c r="E50" t="s">
        <v>112</v>
      </c>
      <c r="F50" t="s">
        <v>206</v>
      </c>
      <c r="G50" t="b">
        <f t="shared" si="0"/>
        <v>1</v>
      </c>
      <c r="H50" t="e">
        <f>VLOOKUP(A50,ID_Lookup!$A:$A,1,FALSE)</f>
        <v>#N/A</v>
      </c>
    </row>
    <row r="51" spans="1:8" x14ac:dyDescent="0.35">
      <c r="A51" t="s">
        <v>103</v>
      </c>
      <c r="B51">
        <v>2019</v>
      </c>
      <c r="C51" t="s">
        <v>104</v>
      </c>
      <c r="D51" t="s">
        <v>105</v>
      </c>
      <c r="E51" t="s">
        <v>112</v>
      </c>
      <c r="F51" t="s">
        <v>206</v>
      </c>
      <c r="G51" t="b">
        <f t="shared" si="0"/>
        <v>1</v>
      </c>
      <c r="H51" t="str">
        <f>VLOOKUP(A51,ID_Lookup!$A:$A,1,FALSE)</f>
        <v>J549</v>
      </c>
    </row>
    <row r="52" spans="1:8" x14ac:dyDescent="0.35">
      <c r="A52" t="s">
        <v>106</v>
      </c>
      <c r="B52">
        <v>2019</v>
      </c>
      <c r="C52" t="s">
        <v>107</v>
      </c>
      <c r="D52" t="s">
        <v>160</v>
      </c>
      <c r="E52" t="s">
        <v>112</v>
      </c>
      <c r="F52" t="s">
        <v>206</v>
      </c>
      <c r="G52" t="b">
        <f t="shared" si="0"/>
        <v>1</v>
      </c>
      <c r="H52" t="str">
        <f>VLOOKUP(A52,ID_Lookup!$A:$A,1,FALSE)</f>
        <v>J550</v>
      </c>
    </row>
    <row r="53" spans="1:8" x14ac:dyDescent="0.35">
      <c r="A53" t="s">
        <v>251</v>
      </c>
      <c r="B53">
        <v>2019</v>
      </c>
      <c r="C53" t="s">
        <v>252</v>
      </c>
      <c r="D53" t="s">
        <v>253</v>
      </c>
      <c r="E53" t="s">
        <v>112</v>
      </c>
      <c r="F53" t="s">
        <v>206</v>
      </c>
      <c r="G53" t="b">
        <f t="shared" si="0"/>
        <v>1</v>
      </c>
      <c r="H53" t="str">
        <f>VLOOKUP(A53,ID_Lookup!$A:$A,1,FALSE)</f>
        <v>J551</v>
      </c>
    </row>
    <row r="54" spans="1:8" x14ac:dyDescent="0.35">
      <c r="A54" t="s">
        <v>254</v>
      </c>
      <c r="B54">
        <v>2019</v>
      </c>
      <c r="C54" t="s">
        <v>255</v>
      </c>
      <c r="D54" t="s">
        <v>256</v>
      </c>
      <c r="E54" t="s">
        <v>112</v>
      </c>
      <c r="F54" t="s">
        <v>206</v>
      </c>
      <c r="G54" t="b">
        <f t="shared" si="0"/>
        <v>1</v>
      </c>
      <c r="H54" t="str">
        <f>VLOOKUP(A54,ID_Lookup!$A:$A,1,FALSE)</f>
        <v>J552</v>
      </c>
    </row>
    <row r="55" spans="1:8" hidden="1" x14ac:dyDescent="0.35">
      <c r="A55" t="s">
        <v>257</v>
      </c>
      <c r="B55">
        <v>2019</v>
      </c>
      <c r="C55" t="s">
        <v>258</v>
      </c>
      <c r="D55" t="s">
        <v>259</v>
      </c>
      <c r="E55" t="s">
        <v>112</v>
      </c>
      <c r="F55" t="s">
        <v>206</v>
      </c>
      <c r="G55" t="b">
        <f t="shared" si="0"/>
        <v>1</v>
      </c>
      <c r="H55" t="e">
        <f>VLOOKUP(A55,ID_Lookup!$A:$A,1,FALSE)</f>
        <v>#N/A</v>
      </c>
    </row>
    <row r="56" spans="1:8" x14ac:dyDescent="0.35">
      <c r="A56" t="s">
        <v>260</v>
      </c>
      <c r="B56">
        <v>2019</v>
      </c>
      <c r="C56" t="s">
        <v>261</v>
      </c>
      <c r="D56" t="s">
        <v>262</v>
      </c>
      <c r="E56" t="s">
        <v>112</v>
      </c>
      <c r="F56" t="s">
        <v>206</v>
      </c>
      <c r="G56" t="b">
        <f t="shared" si="0"/>
        <v>1</v>
      </c>
      <c r="H56" t="str">
        <f>VLOOKUP(A56,ID_Lookup!$A:$A,1,FALSE)</f>
        <v>J554</v>
      </c>
    </row>
    <row r="57" spans="1:8" x14ac:dyDescent="0.35">
      <c r="A57" t="s">
        <v>263</v>
      </c>
      <c r="B57">
        <v>2019</v>
      </c>
      <c r="C57" t="s">
        <v>264</v>
      </c>
      <c r="D57" t="s">
        <v>265</v>
      </c>
      <c r="E57" t="s">
        <v>112</v>
      </c>
      <c r="F57" t="s">
        <v>206</v>
      </c>
      <c r="G57" t="b">
        <f t="shared" si="0"/>
        <v>1</v>
      </c>
      <c r="H57" t="str">
        <f>VLOOKUP(A57,ID_Lookup!$A:$A,1,FALSE)</f>
        <v>J555</v>
      </c>
    </row>
    <row r="58" spans="1:8" x14ac:dyDescent="0.35">
      <c r="A58" t="s">
        <v>266</v>
      </c>
      <c r="B58">
        <v>2019</v>
      </c>
      <c r="C58" t="s">
        <v>267</v>
      </c>
      <c r="D58" t="s">
        <v>268</v>
      </c>
      <c r="E58" t="s">
        <v>112</v>
      </c>
      <c r="F58" t="s">
        <v>206</v>
      </c>
      <c r="G58" t="b">
        <f t="shared" si="0"/>
        <v>1</v>
      </c>
      <c r="H58" t="str">
        <f>VLOOKUP(A58,ID_Lookup!$A:$A,1,FALSE)</f>
        <v>J556</v>
      </c>
    </row>
    <row r="59" spans="1:8" x14ac:dyDescent="0.35">
      <c r="A59" t="s">
        <v>269</v>
      </c>
      <c r="B59">
        <v>2019</v>
      </c>
      <c r="C59" t="s">
        <v>270</v>
      </c>
      <c r="D59" t="s">
        <v>271</v>
      </c>
      <c r="E59" t="s">
        <v>112</v>
      </c>
      <c r="F59" t="s">
        <v>206</v>
      </c>
      <c r="G59" t="b">
        <f t="shared" si="0"/>
        <v>1</v>
      </c>
      <c r="H59" t="str">
        <f>VLOOKUP(A59,ID_Lookup!$A:$A,1,FALSE)</f>
        <v>J557</v>
      </c>
    </row>
    <row r="60" spans="1:8" x14ac:dyDescent="0.35">
      <c r="A60" t="s">
        <v>272</v>
      </c>
      <c r="B60">
        <v>2019</v>
      </c>
      <c r="C60" t="s">
        <v>273</v>
      </c>
      <c r="D60" t="s">
        <v>274</v>
      </c>
      <c r="E60" t="s">
        <v>112</v>
      </c>
      <c r="F60" t="s">
        <v>206</v>
      </c>
      <c r="G60" t="b">
        <f t="shared" si="0"/>
        <v>1</v>
      </c>
      <c r="H60" t="str">
        <f>VLOOKUP(A60,ID_Lookup!$A:$A,1,FALSE)</f>
        <v>J558</v>
      </c>
    </row>
    <row r="61" spans="1:8" x14ac:dyDescent="0.35">
      <c r="A61" t="s">
        <v>275</v>
      </c>
      <c r="B61">
        <v>2019</v>
      </c>
      <c r="C61" t="s">
        <v>276</v>
      </c>
      <c r="D61" t="s">
        <v>277</v>
      </c>
      <c r="E61" t="s">
        <v>112</v>
      </c>
      <c r="F61" t="s">
        <v>206</v>
      </c>
      <c r="G61" t="b">
        <f t="shared" si="0"/>
        <v>1</v>
      </c>
      <c r="H61" t="str">
        <f>VLOOKUP(A61,ID_Lookup!$A:$A,1,FALSE)</f>
        <v>J559</v>
      </c>
    </row>
    <row r="62" spans="1:8" hidden="1" x14ac:dyDescent="0.35">
      <c r="A62" t="s">
        <v>278</v>
      </c>
      <c r="B62">
        <v>2019</v>
      </c>
      <c r="C62" t="s">
        <v>279</v>
      </c>
      <c r="D62" t="s">
        <v>280</v>
      </c>
      <c r="E62" t="s">
        <v>112</v>
      </c>
      <c r="F62" t="s">
        <v>206</v>
      </c>
      <c r="G62" t="b">
        <f t="shared" si="0"/>
        <v>1</v>
      </c>
      <c r="H62" t="e">
        <f>VLOOKUP(A62,ID_Lookup!$A:$A,1,FALSE)</f>
        <v>#N/A</v>
      </c>
    </row>
    <row r="63" spans="1:8" x14ac:dyDescent="0.35">
      <c r="A63" t="s">
        <v>281</v>
      </c>
      <c r="B63">
        <v>2019</v>
      </c>
      <c r="C63" t="s">
        <v>282</v>
      </c>
      <c r="D63" t="s">
        <v>283</v>
      </c>
      <c r="E63" t="s">
        <v>112</v>
      </c>
      <c r="F63" t="s">
        <v>206</v>
      </c>
      <c r="G63" t="b">
        <f t="shared" si="0"/>
        <v>1</v>
      </c>
      <c r="H63" t="str">
        <f>VLOOKUP(A63,ID_Lookup!$A:$A,1,FALSE)</f>
        <v>J561</v>
      </c>
    </row>
    <row r="64" spans="1:8" x14ac:dyDescent="0.35">
      <c r="A64" t="s">
        <v>284</v>
      </c>
      <c r="B64">
        <v>2019</v>
      </c>
      <c r="C64" t="s">
        <v>285</v>
      </c>
      <c r="D64" t="s">
        <v>286</v>
      </c>
      <c r="E64" t="s">
        <v>112</v>
      </c>
      <c r="F64" t="s">
        <v>206</v>
      </c>
      <c r="G64" t="b">
        <f t="shared" si="0"/>
        <v>1</v>
      </c>
      <c r="H64" t="str">
        <f>VLOOKUP(A64,ID_Lookup!$A:$A,1,FALSE)</f>
        <v>J562</v>
      </c>
    </row>
    <row r="65" spans="1:8" x14ac:dyDescent="0.35">
      <c r="A65" t="s">
        <v>287</v>
      </c>
      <c r="B65">
        <v>2019</v>
      </c>
      <c r="C65" t="s">
        <v>288</v>
      </c>
      <c r="D65" t="s">
        <v>289</v>
      </c>
      <c r="E65" t="s">
        <v>173</v>
      </c>
      <c r="F65" t="s">
        <v>195</v>
      </c>
      <c r="G65" t="b">
        <f t="shared" si="0"/>
        <v>0</v>
      </c>
      <c r="H65" t="str">
        <f>VLOOKUP(A65,ID_Lookup!$A:$A,1,FALSE)</f>
        <v>J563</v>
      </c>
    </row>
    <row r="66" spans="1:8" hidden="1" x14ac:dyDescent="0.35">
      <c r="A66" t="s">
        <v>290</v>
      </c>
      <c r="B66">
        <v>2019</v>
      </c>
      <c r="C66" t="s">
        <v>291</v>
      </c>
      <c r="D66" t="s">
        <v>292</v>
      </c>
      <c r="E66" t="s">
        <v>112</v>
      </c>
      <c r="F66" t="s">
        <v>206</v>
      </c>
      <c r="G66" t="b">
        <f t="shared" si="0"/>
        <v>1</v>
      </c>
      <c r="H66" t="e">
        <f>VLOOKUP(A66,ID_Lookup!$A:$A,1,FALSE)</f>
        <v>#N/A</v>
      </c>
    </row>
    <row r="67" spans="1:8" x14ac:dyDescent="0.35">
      <c r="A67" t="s">
        <v>293</v>
      </c>
      <c r="B67">
        <v>2019</v>
      </c>
      <c r="C67" t="s">
        <v>294</v>
      </c>
      <c r="D67" t="s">
        <v>295</v>
      </c>
      <c r="E67" t="s">
        <v>112</v>
      </c>
      <c r="F67" t="s">
        <v>206</v>
      </c>
      <c r="G67" t="b">
        <f t="shared" ref="G67:G130" si="1">IF(E67="Include", TRUE, FALSE)</f>
        <v>1</v>
      </c>
      <c r="H67" t="str">
        <f>VLOOKUP(A67,ID_Lookup!$A:$A,1,FALSE)</f>
        <v>J565</v>
      </c>
    </row>
    <row r="68" spans="1:8" x14ac:dyDescent="0.35">
      <c r="A68" t="s">
        <v>296</v>
      </c>
      <c r="B68">
        <v>2019</v>
      </c>
      <c r="C68" t="s">
        <v>297</v>
      </c>
      <c r="D68" t="s">
        <v>298</v>
      </c>
      <c r="E68" t="s">
        <v>112</v>
      </c>
      <c r="F68" t="s">
        <v>206</v>
      </c>
      <c r="G68" t="b">
        <f t="shared" si="1"/>
        <v>1</v>
      </c>
      <c r="H68" t="str">
        <f>VLOOKUP(A68,ID_Lookup!$A:$A,1,FALSE)</f>
        <v>J566</v>
      </c>
    </row>
    <row r="69" spans="1:8" x14ac:dyDescent="0.35">
      <c r="A69" t="s">
        <v>299</v>
      </c>
      <c r="B69">
        <v>2019</v>
      </c>
      <c r="C69" t="s">
        <v>300</v>
      </c>
      <c r="D69" t="s">
        <v>301</v>
      </c>
      <c r="E69" t="s">
        <v>112</v>
      </c>
      <c r="F69" t="s">
        <v>206</v>
      </c>
      <c r="G69" t="b">
        <f t="shared" si="1"/>
        <v>1</v>
      </c>
      <c r="H69" t="str">
        <f>VLOOKUP(A69,ID_Lookup!$A:$A,1,FALSE)</f>
        <v>J567</v>
      </c>
    </row>
    <row r="70" spans="1:8" hidden="1" x14ac:dyDescent="0.35">
      <c r="A70" t="s">
        <v>302</v>
      </c>
      <c r="B70">
        <v>2019</v>
      </c>
      <c r="C70" t="s">
        <v>303</v>
      </c>
      <c r="D70" t="s">
        <v>304</v>
      </c>
      <c r="E70" t="s">
        <v>112</v>
      </c>
      <c r="F70" t="s">
        <v>694</v>
      </c>
      <c r="G70" t="b">
        <f t="shared" si="1"/>
        <v>1</v>
      </c>
      <c r="H70" t="e">
        <f>VLOOKUP(A70,ID_Lookup!$A:$A,1,FALSE)</f>
        <v>#N/A</v>
      </c>
    </row>
    <row r="71" spans="1:8" hidden="1" x14ac:dyDescent="0.35">
      <c r="A71" t="s">
        <v>305</v>
      </c>
      <c r="B71">
        <v>2019</v>
      </c>
      <c r="C71" t="s">
        <v>306</v>
      </c>
      <c r="D71" t="s">
        <v>307</v>
      </c>
      <c r="E71" t="s">
        <v>112</v>
      </c>
      <c r="F71" t="s">
        <v>206</v>
      </c>
      <c r="G71" t="b">
        <f t="shared" si="1"/>
        <v>1</v>
      </c>
      <c r="H71" t="e">
        <f>VLOOKUP(A71,ID_Lookup!$A:$A,1,FALSE)</f>
        <v>#N/A</v>
      </c>
    </row>
    <row r="72" spans="1:8" x14ac:dyDescent="0.35">
      <c r="A72" t="s">
        <v>308</v>
      </c>
      <c r="B72">
        <v>2019</v>
      </c>
      <c r="C72" t="s">
        <v>309</v>
      </c>
      <c r="D72" t="s">
        <v>310</v>
      </c>
      <c r="E72" t="s">
        <v>112</v>
      </c>
      <c r="F72" t="s">
        <v>206</v>
      </c>
      <c r="G72" t="b">
        <f t="shared" si="1"/>
        <v>1</v>
      </c>
      <c r="H72" t="str">
        <f>VLOOKUP(A72,ID_Lookup!$A:$A,1,FALSE)</f>
        <v>J570</v>
      </c>
    </row>
    <row r="73" spans="1:8" x14ac:dyDescent="0.35">
      <c r="A73" t="s">
        <v>311</v>
      </c>
      <c r="B73">
        <v>2019</v>
      </c>
      <c r="C73" t="s">
        <v>312</v>
      </c>
      <c r="D73" t="s">
        <v>313</v>
      </c>
      <c r="E73" t="s">
        <v>112</v>
      </c>
      <c r="F73" t="s">
        <v>206</v>
      </c>
      <c r="G73" t="b">
        <f t="shared" si="1"/>
        <v>1</v>
      </c>
      <c r="H73" t="str">
        <f>VLOOKUP(A73,ID_Lookup!$A:$A,1,FALSE)</f>
        <v>J571</v>
      </c>
    </row>
    <row r="74" spans="1:8" hidden="1" x14ac:dyDescent="0.35">
      <c r="A74" t="s">
        <v>314</v>
      </c>
      <c r="B74">
        <v>2019</v>
      </c>
      <c r="C74" t="s">
        <v>315</v>
      </c>
      <c r="D74" t="s">
        <v>316</v>
      </c>
      <c r="E74" t="s">
        <v>112</v>
      </c>
      <c r="F74" t="s">
        <v>206</v>
      </c>
      <c r="G74" t="b">
        <f t="shared" si="1"/>
        <v>1</v>
      </c>
      <c r="H74" t="e">
        <f>VLOOKUP(A74,ID_Lookup!$A:$A,1,FALSE)</f>
        <v>#N/A</v>
      </c>
    </row>
    <row r="75" spans="1:8" x14ac:dyDescent="0.35">
      <c r="A75" t="s">
        <v>317</v>
      </c>
      <c r="B75">
        <v>2019</v>
      </c>
      <c r="C75" t="s">
        <v>318</v>
      </c>
      <c r="D75" t="s">
        <v>319</v>
      </c>
      <c r="E75" t="s">
        <v>173</v>
      </c>
      <c r="F75" t="s">
        <v>195</v>
      </c>
      <c r="G75" t="b">
        <f t="shared" si="1"/>
        <v>0</v>
      </c>
      <c r="H75" t="str">
        <f>VLOOKUP(A75,ID_Lookup!$A:$A,1,FALSE)</f>
        <v>J573</v>
      </c>
    </row>
    <row r="76" spans="1:8" x14ac:dyDescent="0.35">
      <c r="A76" t="s">
        <v>320</v>
      </c>
      <c r="B76">
        <v>2019</v>
      </c>
      <c r="C76" t="s">
        <v>321</v>
      </c>
      <c r="D76" t="s">
        <v>322</v>
      </c>
      <c r="E76" t="s">
        <v>112</v>
      </c>
      <c r="F76" t="s">
        <v>206</v>
      </c>
      <c r="G76" t="b">
        <f t="shared" si="1"/>
        <v>1</v>
      </c>
      <c r="H76" t="str">
        <f>VLOOKUP(A76,ID_Lookup!$A:$A,1,FALSE)</f>
        <v>J574</v>
      </c>
    </row>
    <row r="77" spans="1:8" x14ac:dyDescent="0.35">
      <c r="A77" t="s">
        <v>323</v>
      </c>
      <c r="B77">
        <v>2019</v>
      </c>
      <c r="C77" t="s">
        <v>324</v>
      </c>
      <c r="D77" t="s">
        <v>325</v>
      </c>
      <c r="E77" t="s">
        <v>112</v>
      </c>
      <c r="F77" t="s">
        <v>206</v>
      </c>
      <c r="G77" t="b">
        <f t="shared" si="1"/>
        <v>1</v>
      </c>
      <c r="H77" t="str">
        <f>VLOOKUP(A77,ID_Lookup!$A:$A,1,FALSE)</f>
        <v>J575</v>
      </c>
    </row>
    <row r="78" spans="1:8" x14ac:dyDescent="0.35">
      <c r="A78" t="s">
        <v>326</v>
      </c>
      <c r="B78">
        <v>2019</v>
      </c>
      <c r="C78" t="s">
        <v>327</v>
      </c>
      <c r="D78" t="s">
        <v>328</v>
      </c>
      <c r="E78" t="s">
        <v>173</v>
      </c>
      <c r="F78" t="s">
        <v>195</v>
      </c>
      <c r="G78" t="b">
        <f t="shared" si="1"/>
        <v>0</v>
      </c>
      <c r="H78" t="str">
        <f>VLOOKUP(A78,ID_Lookup!$A:$A,1,FALSE)</f>
        <v>J576</v>
      </c>
    </row>
    <row r="79" spans="1:8" hidden="1" x14ac:dyDescent="0.35">
      <c r="A79" t="s">
        <v>329</v>
      </c>
      <c r="B79">
        <v>2019</v>
      </c>
      <c r="C79" t="s">
        <v>330</v>
      </c>
      <c r="D79" t="s">
        <v>331</v>
      </c>
      <c r="E79" t="s">
        <v>112</v>
      </c>
      <c r="F79" t="s">
        <v>206</v>
      </c>
      <c r="G79" t="b">
        <f t="shared" si="1"/>
        <v>1</v>
      </c>
      <c r="H79" t="e">
        <f>VLOOKUP(A79,ID_Lookup!$A:$A,1,FALSE)</f>
        <v>#N/A</v>
      </c>
    </row>
    <row r="80" spans="1:8" hidden="1" x14ac:dyDescent="0.35">
      <c r="A80" t="s">
        <v>332</v>
      </c>
      <c r="B80">
        <v>2019</v>
      </c>
      <c r="C80" t="s">
        <v>333</v>
      </c>
      <c r="D80" t="s">
        <v>334</v>
      </c>
      <c r="E80" t="s">
        <v>112</v>
      </c>
      <c r="F80" t="s">
        <v>206</v>
      </c>
      <c r="G80" t="b">
        <f t="shared" si="1"/>
        <v>1</v>
      </c>
      <c r="H80" t="e">
        <f>VLOOKUP(A80,ID_Lookup!$A:$A,1,FALSE)</f>
        <v>#N/A</v>
      </c>
    </row>
    <row r="81" spans="1:8" hidden="1" x14ac:dyDescent="0.35">
      <c r="A81" t="s">
        <v>335</v>
      </c>
      <c r="B81">
        <v>2019</v>
      </c>
      <c r="C81" t="s">
        <v>336</v>
      </c>
      <c r="D81" t="s">
        <v>337</v>
      </c>
      <c r="E81" t="s">
        <v>112</v>
      </c>
      <c r="F81" t="s">
        <v>206</v>
      </c>
      <c r="G81" t="b">
        <f t="shared" si="1"/>
        <v>1</v>
      </c>
      <c r="H81" t="e">
        <f>VLOOKUP(A81,ID_Lookup!$A:$A,1,FALSE)</f>
        <v>#N/A</v>
      </c>
    </row>
    <row r="82" spans="1:8" hidden="1" x14ac:dyDescent="0.35">
      <c r="A82" t="s">
        <v>338</v>
      </c>
      <c r="B82">
        <v>2019</v>
      </c>
      <c r="C82" t="s">
        <v>339</v>
      </c>
      <c r="D82" t="s">
        <v>340</v>
      </c>
      <c r="E82" t="s">
        <v>112</v>
      </c>
      <c r="F82" t="s">
        <v>206</v>
      </c>
      <c r="G82" t="b">
        <f t="shared" si="1"/>
        <v>1</v>
      </c>
      <c r="H82" t="e">
        <f>VLOOKUP(A82,ID_Lookup!$A:$A,1,FALSE)</f>
        <v>#N/A</v>
      </c>
    </row>
    <row r="83" spans="1:8" x14ac:dyDescent="0.35">
      <c r="A83" t="s">
        <v>341</v>
      </c>
      <c r="B83">
        <v>2019</v>
      </c>
      <c r="C83" t="s">
        <v>342</v>
      </c>
      <c r="D83" t="s">
        <v>343</v>
      </c>
      <c r="E83" t="s">
        <v>112</v>
      </c>
      <c r="F83" t="s">
        <v>695</v>
      </c>
      <c r="G83" t="b">
        <f t="shared" si="1"/>
        <v>1</v>
      </c>
      <c r="H83" t="str">
        <f>VLOOKUP(A83,ID_Lookup!$A:$A,1,FALSE)</f>
        <v>J581</v>
      </c>
    </row>
    <row r="84" spans="1:8" hidden="1" x14ac:dyDescent="0.35">
      <c r="A84" t="s">
        <v>344</v>
      </c>
      <c r="B84">
        <v>2019</v>
      </c>
      <c r="C84" t="s">
        <v>345</v>
      </c>
      <c r="D84" t="s">
        <v>346</v>
      </c>
      <c r="E84" t="s">
        <v>112</v>
      </c>
      <c r="F84" t="s">
        <v>696</v>
      </c>
      <c r="G84" t="b">
        <f t="shared" si="1"/>
        <v>1</v>
      </c>
      <c r="H84" t="e">
        <f>VLOOKUP(A84,ID_Lookup!$A:$A,1,FALSE)</f>
        <v>#N/A</v>
      </c>
    </row>
    <row r="85" spans="1:8" x14ac:dyDescent="0.35">
      <c r="A85" t="s">
        <v>347</v>
      </c>
      <c r="B85">
        <v>2019</v>
      </c>
      <c r="C85" t="s">
        <v>348</v>
      </c>
      <c r="D85" t="s">
        <v>349</v>
      </c>
      <c r="E85" t="s">
        <v>112</v>
      </c>
      <c r="F85" t="s">
        <v>206</v>
      </c>
      <c r="G85" t="b">
        <f t="shared" si="1"/>
        <v>1</v>
      </c>
      <c r="H85" t="str">
        <f>VLOOKUP(A85,ID_Lookup!$A:$A,1,FALSE)</f>
        <v>J583</v>
      </c>
    </row>
    <row r="86" spans="1:8" hidden="1" x14ac:dyDescent="0.35">
      <c r="A86" t="s">
        <v>350</v>
      </c>
      <c r="B86">
        <v>2019</v>
      </c>
      <c r="C86" t="s">
        <v>351</v>
      </c>
      <c r="D86" t="s">
        <v>352</v>
      </c>
      <c r="E86" t="s">
        <v>112</v>
      </c>
      <c r="F86" t="s">
        <v>206</v>
      </c>
      <c r="G86" t="b">
        <f t="shared" si="1"/>
        <v>1</v>
      </c>
      <c r="H86" t="e">
        <f>VLOOKUP(A86,ID_Lookup!$A:$A,1,FALSE)</f>
        <v>#N/A</v>
      </c>
    </row>
    <row r="87" spans="1:8" hidden="1" x14ac:dyDescent="0.35">
      <c r="A87" t="s">
        <v>353</v>
      </c>
      <c r="B87">
        <v>2019</v>
      </c>
      <c r="C87" t="s">
        <v>354</v>
      </c>
      <c r="D87" t="s">
        <v>355</v>
      </c>
      <c r="E87" t="s">
        <v>112</v>
      </c>
      <c r="F87" t="s">
        <v>206</v>
      </c>
      <c r="G87" t="b">
        <f t="shared" si="1"/>
        <v>1</v>
      </c>
      <c r="H87" t="e">
        <f>VLOOKUP(A87,ID_Lookup!$A:$A,1,FALSE)</f>
        <v>#N/A</v>
      </c>
    </row>
    <row r="88" spans="1:8" x14ac:dyDescent="0.35">
      <c r="A88" t="s">
        <v>356</v>
      </c>
      <c r="B88">
        <v>2019</v>
      </c>
      <c r="C88" t="s">
        <v>357</v>
      </c>
      <c r="D88" t="s">
        <v>358</v>
      </c>
      <c r="E88" t="s">
        <v>112</v>
      </c>
      <c r="F88" t="s">
        <v>206</v>
      </c>
      <c r="G88" t="b">
        <f t="shared" si="1"/>
        <v>1</v>
      </c>
      <c r="H88" t="str">
        <f>VLOOKUP(A88,ID_Lookup!$A:$A,1,FALSE)</f>
        <v>J586</v>
      </c>
    </row>
    <row r="89" spans="1:8" x14ac:dyDescent="0.35">
      <c r="A89" t="s">
        <v>359</v>
      </c>
      <c r="B89">
        <v>2019</v>
      </c>
      <c r="C89" t="s">
        <v>360</v>
      </c>
      <c r="D89" t="s">
        <v>361</v>
      </c>
      <c r="E89" t="s">
        <v>112</v>
      </c>
      <c r="F89" t="s">
        <v>206</v>
      </c>
      <c r="G89" t="b">
        <f t="shared" si="1"/>
        <v>1</v>
      </c>
      <c r="H89" t="str">
        <f>VLOOKUP(A89,ID_Lookup!$A:$A,1,FALSE)</f>
        <v>J587</v>
      </c>
    </row>
    <row r="90" spans="1:8" x14ac:dyDescent="0.35">
      <c r="A90" t="s">
        <v>362</v>
      </c>
      <c r="B90">
        <v>2019</v>
      </c>
      <c r="C90" t="s">
        <v>363</v>
      </c>
      <c r="D90" t="s">
        <v>364</v>
      </c>
      <c r="E90" t="s">
        <v>112</v>
      </c>
      <c r="F90" t="s">
        <v>206</v>
      </c>
      <c r="G90" t="b">
        <f t="shared" si="1"/>
        <v>1</v>
      </c>
      <c r="H90" t="str">
        <f>VLOOKUP(A90,ID_Lookup!$A:$A,1,FALSE)</f>
        <v>J588</v>
      </c>
    </row>
    <row r="91" spans="1:8" hidden="1" x14ac:dyDescent="0.35">
      <c r="A91" t="s">
        <v>365</v>
      </c>
      <c r="B91">
        <v>2019</v>
      </c>
      <c r="C91" t="s">
        <v>366</v>
      </c>
      <c r="D91" t="s">
        <v>367</v>
      </c>
      <c r="E91" t="s">
        <v>173</v>
      </c>
      <c r="F91" t="s">
        <v>697</v>
      </c>
      <c r="G91" t="b">
        <f t="shared" si="1"/>
        <v>0</v>
      </c>
      <c r="H91" t="e">
        <f>VLOOKUP(A91,ID_Lookup!$A:$A,1,FALSE)</f>
        <v>#N/A</v>
      </c>
    </row>
    <row r="92" spans="1:8" x14ac:dyDescent="0.35">
      <c r="A92" t="s">
        <v>368</v>
      </c>
      <c r="B92">
        <v>2019</v>
      </c>
      <c r="C92" t="s">
        <v>369</v>
      </c>
      <c r="D92" t="s">
        <v>370</v>
      </c>
      <c r="E92" t="s">
        <v>112</v>
      </c>
      <c r="F92" t="s">
        <v>206</v>
      </c>
      <c r="G92" t="b">
        <f t="shared" si="1"/>
        <v>1</v>
      </c>
      <c r="H92" t="str">
        <f>VLOOKUP(A92,ID_Lookup!$A:$A,1,FALSE)</f>
        <v>J590</v>
      </c>
    </row>
    <row r="93" spans="1:8" hidden="1" x14ac:dyDescent="0.35">
      <c r="A93" t="s">
        <v>371</v>
      </c>
      <c r="B93">
        <v>2019</v>
      </c>
      <c r="C93" t="s">
        <v>372</v>
      </c>
      <c r="D93" t="s">
        <v>373</v>
      </c>
      <c r="E93" t="s">
        <v>112</v>
      </c>
      <c r="F93" t="s">
        <v>206</v>
      </c>
      <c r="G93" t="b">
        <f t="shared" si="1"/>
        <v>1</v>
      </c>
      <c r="H93" t="e">
        <f>VLOOKUP(A93,ID_Lookup!$A:$A,1,FALSE)</f>
        <v>#N/A</v>
      </c>
    </row>
    <row r="94" spans="1:8" x14ac:dyDescent="0.35">
      <c r="A94" t="s">
        <v>374</v>
      </c>
      <c r="B94">
        <v>2019</v>
      </c>
      <c r="C94" t="s">
        <v>375</v>
      </c>
      <c r="D94" t="s">
        <v>376</v>
      </c>
      <c r="E94" t="s">
        <v>112</v>
      </c>
      <c r="F94" t="s">
        <v>206</v>
      </c>
      <c r="G94" t="b">
        <f t="shared" si="1"/>
        <v>1</v>
      </c>
      <c r="H94" t="str">
        <f>VLOOKUP(A94,ID_Lookup!$A:$A,1,FALSE)</f>
        <v>J592</v>
      </c>
    </row>
    <row r="95" spans="1:8" x14ac:dyDescent="0.35">
      <c r="A95" t="s">
        <v>377</v>
      </c>
      <c r="B95">
        <v>2019</v>
      </c>
      <c r="C95" t="s">
        <v>378</v>
      </c>
      <c r="D95" t="s">
        <v>379</v>
      </c>
      <c r="E95" t="s">
        <v>112</v>
      </c>
      <c r="F95" t="s">
        <v>206</v>
      </c>
      <c r="G95" t="b">
        <f t="shared" si="1"/>
        <v>1</v>
      </c>
      <c r="H95" t="str">
        <f>VLOOKUP(A95,ID_Lookup!$A:$A,1,FALSE)</f>
        <v>J593</v>
      </c>
    </row>
    <row r="96" spans="1:8" x14ac:dyDescent="0.35">
      <c r="A96" t="s">
        <v>380</v>
      </c>
      <c r="B96">
        <v>2019</v>
      </c>
      <c r="C96" t="s">
        <v>381</v>
      </c>
      <c r="D96" t="s">
        <v>382</v>
      </c>
      <c r="E96" t="s">
        <v>112</v>
      </c>
      <c r="F96" t="s">
        <v>206</v>
      </c>
      <c r="G96" t="b">
        <f t="shared" si="1"/>
        <v>1</v>
      </c>
      <c r="H96" t="str">
        <f>VLOOKUP(A96,ID_Lookup!$A:$A,1,FALSE)</f>
        <v>J594</v>
      </c>
    </row>
    <row r="97" spans="1:8" x14ac:dyDescent="0.35">
      <c r="A97" t="s">
        <v>383</v>
      </c>
      <c r="B97">
        <v>2019</v>
      </c>
      <c r="C97" t="s">
        <v>384</v>
      </c>
      <c r="D97" t="s">
        <v>385</v>
      </c>
      <c r="E97" t="s">
        <v>112</v>
      </c>
      <c r="F97" t="s">
        <v>206</v>
      </c>
      <c r="G97" t="b">
        <f t="shared" si="1"/>
        <v>1</v>
      </c>
      <c r="H97" t="str">
        <f>VLOOKUP(A97,ID_Lookup!$A:$A,1,FALSE)</f>
        <v>J595</v>
      </c>
    </row>
    <row r="98" spans="1:8" hidden="1" x14ac:dyDescent="0.35">
      <c r="A98" t="s">
        <v>386</v>
      </c>
      <c r="B98">
        <v>2019</v>
      </c>
      <c r="C98" t="s">
        <v>387</v>
      </c>
      <c r="D98" t="s">
        <v>388</v>
      </c>
      <c r="E98" t="s">
        <v>173</v>
      </c>
      <c r="F98" t="s">
        <v>195</v>
      </c>
      <c r="G98" t="b">
        <f t="shared" si="1"/>
        <v>0</v>
      </c>
      <c r="H98" t="e">
        <f>VLOOKUP(A98,ID_Lookup!$A:$A,1,FALSE)</f>
        <v>#N/A</v>
      </c>
    </row>
    <row r="99" spans="1:8" hidden="1" x14ac:dyDescent="0.35">
      <c r="A99" t="s">
        <v>389</v>
      </c>
      <c r="B99">
        <v>2019</v>
      </c>
      <c r="C99" t="s">
        <v>390</v>
      </c>
      <c r="D99" t="s">
        <v>391</v>
      </c>
      <c r="E99" t="s">
        <v>112</v>
      </c>
      <c r="F99" t="s">
        <v>206</v>
      </c>
      <c r="G99" t="b">
        <f t="shared" si="1"/>
        <v>1</v>
      </c>
      <c r="H99" t="e">
        <f>VLOOKUP(A99,ID_Lookup!$A:$A,1,FALSE)</f>
        <v>#N/A</v>
      </c>
    </row>
    <row r="100" spans="1:8" x14ac:dyDescent="0.35">
      <c r="A100" t="s">
        <v>392</v>
      </c>
      <c r="B100">
        <v>2019</v>
      </c>
      <c r="C100" t="s">
        <v>393</v>
      </c>
      <c r="D100" t="s">
        <v>394</v>
      </c>
      <c r="E100" t="s">
        <v>112</v>
      </c>
      <c r="F100" t="s">
        <v>206</v>
      </c>
      <c r="G100" t="b">
        <f t="shared" si="1"/>
        <v>1</v>
      </c>
      <c r="H100" t="str">
        <f>VLOOKUP(A100,ID_Lookup!$A:$A,1,FALSE)</f>
        <v>J598</v>
      </c>
    </row>
    <row r="101" spans="1:8" x14ac:dyDescent="0.35">
      <c r="A101" t="s">
        <v>395</v>
      </c>
      <c r="B101">
        <v>2019</v>
      </c>
      <c r="C101" t="s">
        <v>396</v>
      </c>
      <c r="D101" t="s">
        <v>397</v>
      </c>
      <c r="E101" t="s">
        <v>112</v>
      </c>
      <c r="F101" t="s">
        <v>206</v>
      </c>
      <c r="G101" t="b">
        <f t="shared" si="1"/>
        <v>1</v>
      </c>
      <c r="H101" t="str">
        <f>VLOOKUP(A101,ID_Lookup!$A:$A,1,FALSE)</f>
        <v>J599</v>
      </c>
    </row>
    <row r="102" spans="1:8" x14ac:dyDescent="0.35">
      <c r="A102" t="s">
        <v>398</v>
      </c>
      <c r="B102">
        <v>2021</v>
      </c>
      <c r="C102" t="s">
        <v>399</v>
      </c>
      <c r="D102" t="s">
        <v>400</v>
      </c>
      <c r="E102" t="s">
        <v>112</v>
      </c>
      <c r="F102" t="s">
        <v>206</v>
      </c>
      <c r="G102" t="b">
        <f t="shared" si="1"/>
        <v>1</v>
      </c>
      <c r="H102" t="str">
        <f>VLOOKUP(A102,ID_Lookup!$A:$A,1,FALSE)</f>
        <v>J2830</v>
      </c>
    </row>
    <row r="103" spans="1:8" hidden="1" x14ac:dyDescent="0.35">
      <c r="A103" t="s">
        <v>401</v>
      </c>
      <c r="B103">
        <v>2021</v>
      </c>
      <c r="C103" t="s">
        <v>402</v>
      </c>
      <c r="D103" t="s">
        <v>403</v>
      </c>
      <c r="E103" t="s">
        <v>112</v>
      </c>
      <c r="F103" t="s">
        <v>206</v>
      </c>
      <c r="G103" t="b">
        <f t="shared" si="1"/>
        <v>1</v>
      </c>
      <c r="H103" t="e">
        <f>VLOOKUP(A103,ID_Lookup!$A:$A,1,FALSE)</f>
        <v>#N/A</v>
      </c>
    </row>
    <row r="104" spans="1:8" x14ac:dyDescent="0.35">
      <c r="A104" t="s">
        <v>404</v>
      </c>
      <c r="B104">
        <v>2021</v>
      </c>
      <c r="C104" t="s">
        <v>405</v>
      </c>
      <c r="D104" t="s">
        <v>406</v>
      </c>
      <c r="E104" t="s">
        <v>112</v>
      </c>
      <c r="F104" t="s">
        <v>206</v>
      </c>
      <c r="G104" t="b">
        <f t="shared" si="1"/>
        <v>1</v>
      </c>
      <c r="H104" t="str">
        <f>VLOOKUP(A104,ID_Lookup!$A:$A,1,FALSE)</f>
        <v>J2832</v>
      </c>
    </row>
    <row r="105" spans="1:8" x14ac:dyDescent="0.35">
      <c r="A105" t="s">
        <v>407</v>
      </c>
      <c r="B105">
        <v>2021</v>
      </c>
      <c r="C105" t="s">
        <v>408</v>
      </c>
      <c r="D105" t="s">
        <v>409</v>
      </c>
      <c r="E105" t="s">
        <v>112</v>
      </c>
      <c r="F105" t="s">
        <v>206</v>
      </c>
      <c r="G105" t="b">
        <f t="shared" si="1"/>
        <v>1</v>
      </c>
      <c r="H105" t="str">
        <f>VLOOKUP(A105,ID_Lookup!$A:$A,1,FALSE)</f>
        <v>J2833</v>
      </c>
    </row>
    <row r="106" spans="1:8" x14ac:dyDescent="0.35">
      <c r="A106" t="s">
        <v>410</v>
      </c>
      <c r="B106">
        <v>2021</v>
      </c>
      <c r="C106" t="s">
        <v>411</v>
      </c>
      <c r="D106" t="s">
        <v>412</v>
      </c>
      <c r="E106" t="s">
        <v>112</v>
      </c>
      <c r="F106" t="s">
        <v>206</v>
      </c>
      <c r="G106" t="b">
        <f t="shared" si="1"/>
        <v>1</v>
      </c>
      <c r="H106" t="str">
        <f>VLOOKUP(A106,ID_Lookup!$A:$A,1,FALSE)</f>
        <v>J2834</v>
      </c>
    </row>
    <row r="107" spans="1:8" x14ac:dyDescent="0.35">
      <c r="A107" t="s">
        <v>413</v>
      </c>
      <c r="B107">
        <v>2021</v>
      </c>
      <c r="C107" t="s">
        <v>414</v>
      </c>
      <c r="D107" t="s">
        <v>415</v>
      </c>
      <c r="E107" t="s">
        <v>112</v>
      </c>
      <c r="F107" t="s">
        <v>206</v>
      </c>
      <c r="G107" t="b">
        <f t="shared" si="1"/>
        <v>1</v>
      </c>
      <c r="H107" t="str">
        <f>VLOOKUP(A107,ID_Lookup!$A:$A,1,FALSE)</f>
        <v>J2835</v>
      </c>
    </row>
    <row r="108" spans="1:8" x14ac:dyDescent="0.35">
      <c r="A108" t="s">
        <v>416</v>
      </c>
      <c r="B108">
        <v>2021</v>
      </c>
      <c r="C108" t="s">
        <v>417</v>
      </c>
      <c r="D108" t="s">
        <v>418</v>
      </c>
      <c r="E108" t="s">
        <v>112</v>
      </c>
      <c r="F108" t="s">
        <v>206</v>
      </c>
      <c r="G108" t="b">
        <f t="shared" si="1"/>
        <v>1</v>
      </c>
      <c r="H108" t="str">
        <f>VLOOKUP(A108,ID_Lookup!$A:$A,1,FALSE)</f>
        <v>J2836</v>
      </c>
    </row>
    <row r="109" spans="1:8" hidden="1" x14ac:dyDescent="0.35">
      <c r="A109" t="s">
        <v>419</v>
      </c>
      <c r="B109">
        <v>2021</v>
      </c>
      <c r="C109" t="s">
        <v>420</v>
      </c>
      <c r="D109" t="s">
        <v>421</v>
      </c>
      <c r="E109" t="s">
        <v>112</v>
      </c>
      <c r="F109" t="s">
        <v>206</v>
      </c>
      <c r="G109" t="b">
        <f t="shared" si="1"/>
        <v>1</v>
      </c>
      <c r="H109" t="e">
        <f>VLOOKUP(A109,ID_Lookup!$A:$A,1,FALSE)</f>
        <v>#N/A</v>
      </c>
    </row>
    <row r="110" spans="1:8" hidden="1" x14ac:dyDescent="0.35">
      <c r="A110" t="s">
        <v>422</v>
      </c>
      <c r="B110">
        <v>2021</v>
      </c>
      <c r="C110" t="s">
        <v>423</v>
      </c>
      <c r="D110" t="s">
        <v>424</v>
      </c>
      <c r="E110" t="s">
        <v>112</v>
      </c>
      <c r="F110" t="s">
        <v>206</v>
      </c>
      <c r="G110" t="b">
        <f t="shared" si="1"/>
        <v>1</v>
      </c>
      <c r="H110" t="e">
        <f>VLOOKUP(A110,ID_Lookup!$A:$A,1,FALSE)</f>
        <v>#N/A</v>
      </c>
    </row>
    <row r="111" spans="1:8" hidden="1" x14ac:dyDescent="0.35">
      <c r="A111" t="s">
        <v>425</v>
      </c>
      <c r="B111">
        <v>2021</v>
      </c>
      <c r="C111" t="s">
        <v>426</v>
      </c>
      <c r="D111" t="s">
        <v>427</v>
      </c>
      <c r="E111" t="s">
        <v>112</v>
      </c>
      <c r="F111" t="s">
        <v>206</v>
      </c>
      <c r="G111" t="b">
        <f t="shared" si="1"/>
        <v>1</v>
      </c>
      <c r="H111" t="e">
        <f>VLOOKUP(A111,ID_Lookup!$A:$A,1,FALSE)</f>
        <v>#N/A</v>
      </c>
    </row>
    <row r="112" spans="1:8" x14ac:dyDescent="0.35">
      <c r="A112" t="s">
        <v>428</v>
      </c>
      <c r="B112">
        <v>2021</v>
      </c>
      <c r="C112" t="s">
        <v>429</v>
      </c>
      <c r="D112" t="s">
        <v>430</v>
      </c>
      <c r="E112" t="s">
        <v>112</v>
      </c>
      <c r="F112" t="s">
        <v>206</v>
      </c>
      <c r="G112" t="b">
        <f t="shared" si="1"/>
        <v>1</v>
      </c>
      <c r="H112" t="str">
        <f>VLOOKUP(A112,ID_Lookup!$A:$A,1,FALSE)</f>
        <v>J2840</v>
      </c>
    </row>
    <row r="113" spans="1:8" x14ac:dyDescent="0.35">
      <c r="A113" t="s">
        <v>431</v>
      </c>
      <c r="B113">
        <v>2021</v>
      </c>
      <c r="C113" t="s">
        <v>432</v>
      </c>
      <c r="D113" t="s">
        <v>433</v>
      </c>
      <c r="E113" t="s">
        <v>112</v>
      </c>
      <c r="F113" t="s">
        <v>206</v>
      </c>
      <c r="G113" t="b">
        <f t="shared" si="1"/>
        <v>1</v>
      </c>
      <c r="H113" t="str">
        <f>VLOOKUP(A113,ID_Lookup!$A:$A,1,FALSE)</f>
        <v>J2841</v>
      </c>
    </row>
    <row r="114" spans="1:8" x14ac:dyDescent="0.35">
      <c r="A114" t="s">
        <v>434</v>
      </c>
      <c r="B114">
        <v>2021</v>
      </c>
      <c r="C114" t="s">
        <v>435</v>
      </c>
      <c r="D114" t="s">
        <v>436</v>
      </c>
      <c r="E114" t="s">
        <v>112</v>
      </c>
      <c r="F114" t="s">
        <v>206</v>
      </c>
      <c r="G114" t="b">
        <f t="shared" si="1"/>
        <v>1</v>
      </c>
      <c r="H114" t="str">
        <f>VLOOKUP(A114,ID_Lookup!$A:$A,1,FALSE)</f>
        <v>J2842</v>
      </c>
    </row>
    <row r="115" spans="1:8" x14ac:dyDescent="0.35">
      <c r="A115" t="s">
        <v>437</v>
      </c>
      <c r="B115">
        <v>2021</v>
      </c>
      <c r="C115" t="s">
        <v>438</v>
      </c>
      <c r="D115" t="s">
        <v>439</v>
      </c>
      <c r="E115" t="s">
        <v>112</v>
      </c>
      <c r="F115" t="s">
        <v>206</v>
      </c>
      <c r="G115" t="b">
        <f t="shared" si="1"/>
        <v>1</v>
      </c>
      <c r="H115" t="str">
        <f>VLOOKUP(A115,ID_Lookup!$A:$A,1,FALSE)</f>
        <v>J2843</v>
      </c>
    </row>
    <row r="116" spans="1:8" x14ac:dyDescent="0.35">
      <c r="A116" t="s">
        <v>440</v>
      </c>
      <c r="B116">
        <v>2021</v>
      </c>
      <c r="C116" t="s">
        <v>441</v>
      </c>
      <c r="D116" t="s">
        <v>442</v>
      </c>
      <c r="E116" t="s">
        <v>112</v>
      </c>
      <c r="F116" t="s">
        <v>206</v>
      </c>
      <c r="G116" t="b">
        <f t="shared" si="1"/>
        <v>1</v>
      </c>
      <c r="H116" t="str">
        <f>VLOOKUP(A116,ID_Lookup!$A:$A,1,FALSE)</f>
        <v>J2844</v>
      </c>
    </row>
    <row r="117" spans="1:8" x14ac:dyDescent="0.35">
      <c r="A117" t="s">
        <v>443</v>
      </c>
      <c r="B117">
        <v>2021</v>
      </c>
      <c r="C117" t="s">
        <v>444</v>
      </c>
      <c r="D117" t="s">
        <v>445</v>
      </c>
      <c r="E117" t="s">
        <v>173</v>
      </c>
      <c r="F117" t="s">
        <v>195</v>
      </c>
      <c r="G117" t="b">
        <f t="shared" si="1"/>
        <v>0</v>
      </c>
      <c r="H117" t="str">
        <f>VLOOKUP(A117,ID_Lookup!$A:$A,1,FALSE)</f>
        <v>J2845</v>
      </c>
    </row>
    <row r="118" spans="1:8" x14ac:dyDescent="0.35">
      <c r="A118" t="s">
        <v>446</v>
      </c>
      <c r="B118">
        <v>2021</v>
      </c>
      <c r="C118" t="s">
        <v>447</v>
      </c>
      <c r="D118" t="s">
        <v>448</v>
      </c>
      <c r="E118" t="s">
        <v>112</v>
      </c>
      <c r="F118" t="s">
        <v>206</v>
      </c>
      <c r="G118" t="b">
        <f t="shared" si="1"/>
        <v>1</v>
      </c>
      <c r="H118" t="str">
        <f>VLOOKUP(A118,ID_Lookup!$A:$A,1,FALSE)</f>
        <v>J2846</v>
      </c>
    </row>
    <row r="119" spans="1:8" x14ac:dyDescent="0.35">
      <c r="A119" t="s">
        <v>449</v>
      </c>
      <c r="B119">
        <v>2021</v>
      </c>
      <c r="C119" t="s">
        <v>450</v>
      </c>
      <c r="D119" t="s">
        <v>451</v>
      </c>
      <c r="E119" t="s">
        <v>112</v>
      </c>
      <c r="F119" t="s">
        <v>206</v>
      </c>
      <c r="G119" t="b">
        <f t="shared" si="1"/>
        <v>1</v>
      </c>
      <c r="H119" t="str">
        <f>VLOOKUP(A119,ID_Lookup!$A:$A,1,FALSE)</f>
        <v>J2847</v>
      </c>
    </row>
    <row r="120" spans="1:8" x14ac:dyDescent="0.35">
      <c r="A120" t="s">
        <v>452</v>
      </c>
      <c r="B120">
        <v>2021</v>
      </c>
      <c r="C120" t="s">
        <v>453</v>
      </c>
      <c r="D120" t="s">
        <v>454</v>
      </c>
      <c r="E120" t="s">
        <v>112</v>
      </c>
      <c r="F120" t="s">
        <v>206</v>
      </c>
      <c r="G120" t="b">
        <f t="shared" si="1"/>
        <v>1</v>
      </c>
      <c r="H120" t="str">
        <f>VLOOKUP(A120,ID_Lookup!$A:$A,1,FALSE)</f>
        <v>J2848</v>
      </c>
    </row>
    <row r="121" spans="1:8" x14ac:dyDescent="0.35">
      <c r="A121" t="s">
        <v>455</v>
      </c>
      <c r="B121">
        <v>2021</v>
      </c>
      <c r="C121" t="s">
        <v>456</v>
      </c>
      <c r="D121" t="s">
        <v>457</v>
      </c>
      <c r="E121" t="s">
        <v>112</v>
      </c>
      <c r="F121" t="s">
        <v>206</v>
      </c>
      <c r="G121" t="b">
        <f t="shared" si="1"/>
        <v>1</v>
      </c>
      <c r="H121" t="str">
        <f>VLOOKUP(A121,ID_Lookup!$A:$A,1,FALSE)</f>
        <v>J2849</v>
      </c>
    </row>
    <row r="122" spans="1:8" x14ac:dyDescent="0.35">
      <c r="A122" t="s">
        <v>458</v>
      </c>
      <c r="B122">
        <v>2021</v>
      </c>
      <c r="C122" t="s">
        <v>459</v>
      </c>
      <c r="D122" t="s">
        <v>460</v>
      </c>
      <c r="E122" t="s">
        <v>112</v>
      </c>
      <c r="F122" t="s">
        <v>206</v>
      </c>
      <c r="G122" t="b">
        <f t="shared" si="1"/>
        <v>1</v>
      </c>
      <c r="H122" t="str">
        <f>VLOOKUP(A122,ID_Lookup!$A:$A,1,FALSE)</f>
        <v>J2850</v>
      </c>
    </row>
    <row r="123" spans="1:8" x14ac:dyDescent="0.35">
      <c r="A123" t="s">
        <v>461</v>
      </c>
      <c r="B123">
        <v>2021</v>
      </c>
      <c r="C123" t="s">
        <v>462</v>
      </c>
      <c r="D123" t="s">
        <v>463</v>
      </c>
      <c r="E123" t="s">
        <v>112</v>
      </c>
      <c r="F123" t="s">
        <v>206</v>
      </c>
      <c r="G123" t="b">
        <f t="shared" si="1"/>
        <v>1</v>
      </c>
      <c r="H123" t="str">
        <f>VLOOKUP(A123,ID_Lookup!$A:$A,1,FALSE)</f>
        <v>J2851</v>
      </c>
    </row>
    <row r="124" spans="1:8" x14ac:dyDescent="0.35">
      <c r="A124" t="s">
        <v>464</v>
      </c>
      <c r="B124">
        <v>2021</v>
      </c>
      <c r="C124" t="s">
        <v>465</v>
      </c>
      <c r="D124" t="s">
        <v>466</v>
      </c>
      <c r="E124" t="s">
        <v>112</v>
      </c>
      <c r="F124" t="s">
        <v>206</v>
      </c>
      <c r="G124" t="b">
        <f t="shared" si="1"/>
        <v>1</v>
      </c>
      <c r="H124" t="str">
        <f>VLOOKUP(A124,ID_Lookup!$A:$A,1,FALSE)</f>
        <v>J2852</v>
      </c>
    </row>
    <row r="125" spans="1:8" x14ac:dyDescent="0.35">
      <c r="A125" t="s">
        <v>467</v>
      </c>
      <c r="B125">
        <v>2021</v>
      </c>
      <c r="C125" t="s">
        <v>468</v>
      </c>
      <c r="D125" t="s">
        <v>469</v>
      </c>
      <c r="E125" t="s">
        <v>112</v>
      </c>
      <c r="F125" t="s">
        <v>206</v>
      </c>
      <c r="G125" t="b">
        <f t="shared" si="1"/>
        <v>1</v>
      </c>
      <c r="H125" t="str">
        <f>VLOOKUP(A125,ID_Lookup!$A:$A,1,FALSE)</f>
        <v>J2853</v>
      </c>
    </row>
    <row r="126" spans="1:8" x14ac:dyDescent="0.35">
      <c r="A126" t="s">
        <v>470</v>
      </c>
      <c r="B126">
        <v>2021</v>
      </c>
      <c r="C126" t="s">
        <v>471</v>
      </c>
      <c r="D126" t="s">
        <v>472</v>
      </c>
      <c r="E126" t="s">
        <v>112</v>
      </c>
      <c r="F126" t="s">
        <v>206</v>
      </c>
      <c r="G126" t="b">
        <f t="shared" si="1"/>
        <v>1</v>
      </c>
      <c r="H126" t="str">
        <f>VLOOKUP(A126,ID_Lookup!$A:$A,1,FALSE)</f>
        <v>J2854</v>
      </c>
    </row>
    <row r="127" spans="1:8" x14ac:dyDescent="0.35">
      <c r="A127" t="s">
        <v>473</v>
      </c>
      <c r="B127">
        <v>2021</v>
      </c>
      <c r="C127" t="s">
        <v>474</v>
      </c>
      <c r="D127" t="s">
        <v>475</v>
      </c>
      <c r="E127" t="s">
        <v>112</v>
      </c>
      <c r="F127" t="s">
        <v>206</v>
      </c>
      <c r="G127" t="b">
        <f t="shared" si="1"/>
        <v>1</v>
      </c>
      <c r="H127" t="str">
        <f>VLOOKUP(A127,ID_Lookup!$A:$A,1,FALSE)</f>
        <v>J2855</v>
      </c>
    </row>
    <row r="128" spans="1:8" x14ac:dyDescent="0.35">
      <c r="A128" t="s">
        <v>476</v>
      </c>
      <c r="B128">
        <v>2021</v>
      </c>
      <c r="C128" t="s">
        <v>477</v>
      </c>
      <c r="D128" t="s">
        <v>478</v>
      </c>
      <c r="E128" t="s">
        <v>112</v>
      </c>
      <c r="F128" t="s">
        <v>206</v>
      </c>
      <c r="G128" t="b">
        <f t="shared" si="1"/>
        <v>1</v>
      </c>
      <c r="H128" t="str">
        <f>VLOOKUP(A128,ID_Lookup!$A:$A,1,FALSE)</f>
        <v>J2856</v>
      </c>
    </row>
    <row r="129" spans="1:8" x14ac:dyDescent="0.35">
      <c r="A129" t="s">
        <v>479</v>
      </c>
      <c r="B129">
        <v>2021</v>
      </c>
      <c r="C129" t="s">
        <v>480</v>
      </c>
      <c r="D129" t="s">
        <v>481</v>
      </c>
      <c r="E129" t="s">
        <v>112</v>
      </c>
      <c r="F129" t="s">
        <v>206</v>
      </c>
      <c r="G129" t="b">
        <f t="shared" si="1"/>
        <v>1</v>
      </c>
      <c r="H129" t="str">
        <f>VLOOKUP(A129,ID_Lookup!$A:$A,1,FALSE)</f>
        <v>J2857</v>
      </c>
    </row>
    <row r="130" spans="1:8" x14ac:dyDescent="0.35">
      <c r="A130" t="s">
        <v>482</v>
      </c>
      <c r="B130">
        <v>2021</v>
      </c>
      <c r="C130" t="s">
        <v>483</v>
      </c>
      <c r="D130" t="s">
        <v>484</v>
      </c>
      <c r="E130" t="s">
        <v>112</v>
      </c>
      <c r="F130" t="s">
        <v>206</v>
      </c>
      <c r="G130" t="b">
        <f t="shared" si="1"/>
        <v>1</v>
      </c>
      <c r="H130" t="str">
        <f>VLOOKUP(A130,ID_Lookup!$A:$A,1,FALSE)</f>
        <v>J2858</v>
      </c>
    </row>
    <row r="131" spans="1:8" hidden="1" x14ac:dyDescent="0.35">
      <c r="A131" t="s">
        <v>485</v>
      </c>
      <c r="B131">
        <v>2021</v>
      </c>
      <c r="C131" t="s">
        <v>486</v>
      </c>
      <c r="D131" t="s">
        <v>487</v>
      </c>
      <c r="E131" t="s">
        <v>112</v>
      </c>
      <c r="F131" t="s">
        <v>206</v>
      </c>
      <c r="G131" t="b">
        <f t="shared" ref="G131:G194" si="2">IF(E131="Include", TRUE, FALSE)</f>
        <v>1</v>
      </c>
      <c r="H131" t="e">
        <f>VLOOKUP(A131,ID_Lookup!$A:$A,1,FALSE)</f>
        <v>#N/A</v>
      </c>
    </row>
    <row r="132" spans="1:8" hidden="1" x14ac:dyDescent="0.35">
      <c r="A132" t="s">
        <v>488</v>
      </c>
      <c r="B132">
        <v>2021</v>
      </c>
      <c r="C132" t="s">
        <v>489</v>
      </c>
      <c r="D132" t="s">
        <v>490</v>
      </c>
      <c r="E132" t="s">
        <v>112</v>
      </c>
      <c r="F132" t="s">
        <v>206</v>
      </c>
      <c r="G132" t="b">
        <f t="shared" si="2"/>
        <v>1</v>
      </c>
      <c r="H132" t="e">
        <f>VLOOKUP(A132,ID_Lookup!$A:$A,1,FALSE)</f>
        <v>#N/A</v>
      </c>
    </row>
    <row r="133" spans="1:8" x14ac:dyDescent="0.35">
      <c r="A133" t="s">
        <v>491</v>
      </c>
      <c r="B133">
        <v>2021</v>
      </c>
      <c r="C133" t="s">
        <v>492</v>
      </c>
      <c r="D133" t="s">
        <v>493</v>
      </c>
      <c r="E133" t="s">
        <v>112</v>
      </c>
      <c r="F133" t="s">
        <v>206</v>
      </c>
      <c r="G133" t="b">
        <f t="shared" si="2"/>
        <v>1</v>
      </c>
      <c r="H133" t="str">
        <f>VLOOKUP(A133,ID_Lookup!$A:$A,1,FALSE)</f>
        <v>J2861</v>
      </c>
    </row>
    <row r="134" spans="1:8" x14ac:dyDescent="0.35">
      <c r="A134" t="s">
        <v>494</v>
      </c>
      <c r="B134">
        <v>2021</v>
      </c>
      <c r="C134" t="s">
        <v>495</v>
      </c>
      <c r="D134" t="s">
        <v>496</v>
      </c>
      <c r="E134" t="s">
        <v>112</v>
      </c>
      <c r="F134" t="s">
        <v>206</v>
      </c>
      <c r="G134" t="b">
        <f t="shared" si="2"/>
        <v>1</v>
      </c>
      <c r="H134" t="str">
        <f>VLOOKUP(A134,ID_Lookup!$A:$A,1,FALSE)</f>
        <v>J2862</v>
      </c>
    </row>
    <row r="135" spans="1:8" x14ac:dyDescent="0.35">
      <c r="A135" t="s">
        <v>497</v>
      </c>
      <c r="B135">
        <v>2021</v>
      </c>
      <c r="C135" t="s">
        <v>498</v>
      </c>
      <c r="D135" t="s">
        <v>499</v>
      </c>
      <c r="E135" t="s">
        <v>112</v>
      </c>
      <c r="F135" t="s">
        <v>206</v>
      </c>
      <c r="G135" t="b">
        <f t="shared" si="2"/>
        <v>1</v>
      </c>
      <c r="H135" t="str">
        <f>VLOOKUP(A135,ID_Lookup!$A:$A,1,FALSE)</f>
        <v>J2863</v>
      </c>
    </row>
    <row r="136" spans="1:8" x14ac:dyDescent="0.35">
      <c r="A136" t="s">
        <v>500</v>
      </c>
      <c r="B136">
        <v>2021</v>
      </c>
      <c r="C136" t="s">
        <v>501</v>
      </c>
      <c r="D136" t="s">
        <v>502</v>
      </c>
      <c r="E136" t="s">
        <v>173</v>
      </c>
      <c r="F136" t="s">
        <v>195</v>
      </c>
      <c r="G136" t="b">
        <f t="shared" si="2"/>
        <v>0</v>
      </c>
      <c r="H136" t="str">
        <f>VLOOKUP(A136,ID_Lookup!$A:$A,1,FALSE)</f>
        <v>J2864</v>
      </c>
    </row>
    <row r="137" spans="1:8" x14ac:dyDescent="0.35">
      <c r="A137" t="s">
        <v>503</v>
      </c>
      <c r="B137">
        <v>2021</v>
      </c>
      <c r="C137" t="s">
        <v>504</v>
      </c>
      <c r="D137" t="s">
        <v>505</v>
      </c>
      <c r="E137" t="s">
        <v>112</v>
      </c>
      <c r="F137" t="s">
        <v>206</v>
      </c>
      <c r="G137" t="b">
        <f t="shared" si="2"/>
        <v>1</v>
      </c>
      <c r="H137" t="str">
        <f>VLOOKUP(A137,ID_Lookup!$A:$A,1,FALSE)</f>
        <v>J2865</v>
      </c>
    </row>
    <row r="138" spans="1:8" x14ac:dyDescent="0.35">
      <c r="A138" t="s">
        <v>506</v>
      </c>
      <c r="B138">
        <v>2021</v>
      </c>
      <c r="C138" t="s">
        <v>507</v>
      </c>
      <c r="D138" t="s">
        <v>508</v>
      </c>
      <c r="E138" t="s">
        <v>173</v>
      </c>
      <c r="F138" t="s">
        <v>195</v>
      </c>
      <c r="G138" t="b">
        <f t="shared" si="2"/>
        <v>0</v>
      </c>
      <c r="H138" t="str">
        <f>VLOOKUP(A138,ID_Lookup!$A:$A,1,FALSE)</f>
        <v>J2866</v>
      </c>
    </row>
    <row r="139" spans="1:8" x14ac:dyDescent="0.35">
      <c r="A139" t="s">
        <v>509</v>
      </c>
      <c r="B139">
        <v>2021</v>
      </c>
      <c r="C139" t="s">
        <v>510</v>
      </c>
      <c r="D139" t="s">
        <v>511</v>
      </c>
      <c r="E139" t="s">
        <v>112</v>
      </c>
      <c r="F139" t="s">
        <v>206</v>
      </c>
      <c r="G139" t="b">
        <f t="shared" si="2"/>
        <v>1</v>
      </c>
      <c r="H139" t="str">
        <f>VLOOKUP(A139,ID_Lookup!$A:$A,1,FALSE)</f>
        <v>J2867</v>
      </c>
    </row>
    <row r="140" spans="1:8" x14ac:dyDescent="0.35">
      <c r="A140" t="s">
        <v>512</v>
      </c>
      <c r="B140">
        <v>2021</v>
      </c>
      <c r="C140" t="s">
        <v>513</v>
      </c>
      <c r="D140" t="s">
        <v>514</v>
      </c>
      <c r="E140" t="s">
        <v>112</v>
      </c>
      <c r="F140" t="s">
        <v>206</v>
      </c>
      <c r="G140" t="b">
        <f t="shared" si="2"/>
        <v>1</v>
      </c>
      <c r="H140" t="str">
        <f>VLOOKUP(A140,ID_Lookup!$A:$A,1,FALSE)</f>
        <v>J2868</v>
      </c>
    </row>
    <row r="141" spans="1:8" x14ac:dyDescent="0.35">
      <c r="A141" t="s">
        <v>515</v>
      </c>
      <c r="B141">
        <v>2021</v>
      </c>
      <c r="C141" t="s">
        <v>516</v>
      </c>
      <c r="D141" t="s">
        <v>517</v>
      </c>
      <c r="E141" t="s">
        <v>112</v>
      </c>
      <c r="F141" t="s">
        <v>206</v>
      </c>
      <c r="G141" t="b">
        <f t="shared" si="2"/>
        <v>1</v>
      </c>
      <c r="H141" t="str">
        <f>VLOOKUP(A141,ID_Lookup!$A:$A,1,FALSE)</f>
        <v>J2869</v>
      </c>
    </row>
    <row r="142" spans="1:8" x14ac:dyDescent="0.35">
      <c r="A142" t="s">
        <v>518</v>
      </c>
      <c r="B142">
        <v>2021</v>
      </c>
      <c r="C142" t="s">
        <v>519</v>
      </c>
      <c r="D142" t="s">
        <v>520</v>
      </c>
      <c r="E142" t="s">
        <v>112</v>
      </c>
      <c r="F142" t="s">
        <v>206</v>
      </c>
      <c r="G142" t="b">
        <f t="shared" si="2"/>
        <v>1</v>
      </c>
      <c r="H142" t="str">
        <f>VLOOKUP(A142,ID_Lookup!$A:$A,1,FALSE)</f>
        <v>J2870</v>
      </c>
    </row>
    <row r="143" spans="1:8" x14ac:dyDescent="0.35">
      <c r="A143" t="s">
        <v>521</v>
      </c>
      <c r="B143">
        <v>2021</v>
      </c>
      <c r="C143" t="s">
        <v>522</v>
      </c>
      <c r="D143" t="s">
        <v>523</v>
      </c>
      <c r="E143" t="s">
        <v>112</v>
      </c>
      <c r="F143" t="s">
        <v>206</v>
      </c>
      <c r="G143" t="b">
        <f t="shared" si="2"/>
        <v>1</v>
      </c>
      <c r="H143" t="str">
        <f>VLOOKUP(A143,ID_Lookup!$A:$A,1,FALSE)</f>
        <v>J2871</v>
      </c>
    </row>
    <row r="144" spans="1:8" x14ac:dyDescent="0.35">
      <c r="A144" t="s">
        <v>524</v>
      </c>
      <c r="B144">
        <v>2021</v>
      </c>
      <c r="C144" t="s">
        <v>525</v>
      </c>
      <c r="D144" t="s">
        <v>526</v>
      </c>
      <c r="E144" t="s">
        <v>173</v>
      </c>
      <c r="F144" t="s">
        <v>195</v>
      </c>
      <c r="G144" t="b">
        <f t="shared" si="2"/>
        <v>0</v>
      </c>
      <c r="H144" t="str">
        <f>VLOOKUP(A144,ID_Lookup!$A:$A,1,FALSE)</f>
        <v>J2872</v>
      </c>
    </row>
    <row r="145" spans="1:8" x14ac:dyDescent="0.35">
      <c r="A145" t="s">
        <v>527</v>
      </c>
      <c r="B145">
        <v>2021</v>
      </c>
      <c r="C145" t="s">
        <v>528</v>
      </c>
      <c r="D145" t="s">
        <v>529</v>
      </c>
      <c r="E145" t="s">
        <v>173</v>
      </c>
      <c r="F145" t="s">
        <v>195</v>
      </c>
      <c r="G145" t="b">
        <f t="shared" si="2"/>
        <v>0</v>
      </c>
      <c r="H145" t="str">
        <f>VLOOKUP(A145,ID_Lookup!$A:$A,1,FALSE)</f>
        <v>J2873</v>
      </c>
    </row>
    <row r="146" spans="1:8" x14ac:dyDescent="0.35">
      <c r="A146" t="s">
        <v>530</v>
      </c>
      <c r="B146">
        <v>2021</v>
      </c>
      <c r="C146" t="s">
        <v>531</v>
      </c>
      <c r="D146" t="s">
        <v>532</v>
      </c>
      <c r="E146" t="s">
        <v>173</v>
      </c>
      <c r="F146" t="s">
        <v>195</v>
      </c>
      <c r="G146" t="b">
        <f t="shared" si="2"/>
        <v>0</v>
      </c>
      <c r="H146" t="str">
        <f>VLOOKUP(A146,ID_Lookup!$A:$A,1,FALSE)</f>
        <v>J2874</v>
      </c>
    </row>
    <row r="147" spans="1:8" hidden="1" x14ac:dyDescent="0.35">
      <c r="A147" t="s">
        <v>533</v>
      </c>
      <c r="B147">
        <v>2021</v>
      </c>
      <c r="C147" t="s">
        <v>534</v>
      </c>
      <c r="D147" t="s">
        <v>535</v>
      </c>
      <c r="E147" t="s">
        <v>112</v>
      </c>
      <c r="F147" t="s">
        <v>206</v>
      </c>
      <c r="G147" t="b">
        <f t="shared" si="2"/>
        <v>1</v>
      </c>
      <c r="H147" t="e">
        <f>VLOOKUP(A147,ID_Lookup!$A:$A,1,FALSE)</f>
        <v>#N/A</v>
      </c>
    </row>
    <row r="148" spans="1:8" x14ac:dyDescent="0.35">
      <c r="A148" t="s">
        <v>536</v>
      </c>
      <c r="B148">
        <v>2021</v>
      </c>
      <c r="C148" t="s">
        <v>537</v>
      </c>
      <c r="D148" t="s">
        <v>538</v>
      </c>
      <c r="E148" t="s">
        <v>112</v>
      </c>
      <c r="F148" t="s">
        <v>206</v>
      </c>
      <c r="G148" t="b">
        <f t="shared" si="2"/>
        <v>1</v>
      </c>
      <c r="H148" t="str">
        <f>VLOOKUP(A148,ID_Lookup!$A:$A,1,FALSE)</f>
        <v>J2876</v>
      </c>
    </row>
    <row r="149" spans="1:8" x14ac:dyDescent="0.35">
      <c r="A149" t="s">
        <v>539</v>
      </c>
      <c r="B149">
        <v>2021</v>
      </c>
      <c r="C149" t="s">
        <v>540</v>
      </c>
      <c r="D149" t="s">
        <v>541</v>
      </c>
      <c r="E149" t="s">
        <v>112</v>
      </c>
      <c r="F149" t="s">
        <v>206</v>
      </c>
      <c r="G149" t="b">
        <f t="shared" si="2"/>
        <v>1</v>
      </c>
      <c r="H149" t="str">
        <f>VLOOKUP(A149,ID_Lookup!$A:$A,1,FALSE)</f>
        <v>J2877</v>
      </c>
    </row>
    <row r="150" spans="1:8" x14ac:dyDescent="0.35">
      <c r="A150" t="s">
        <v>542</v>
      </c>
      <c r="B150">
        <v>2021</v>
      </c>
      <c r="C150" t="s">
        <v>543</v>
      </c>
      <c r="D150" t="s">
        <v>544</v>
      </c>
      <c r="E150" t="s">
        <v>112</v>
      </c>
      <c r="F150" t="s">
        <v>206</v>
      </c>
      <c r="G150" t="b">
        <f t="shared" si="2"/>
        <v>1</v>
      </c>
      <c r="H150" t="str">
        <f>VLOOKUP(A150,ID_Lookup!$A:$A,1,FALSE)</f>
        <v>J2878</v>
      </c>
    </row>
    <row r="151" spans="1:8" x14ac:dyDescent="0.35">
      <c r="A151" t="s">
        <v>545</v>
      </c>
      <c r="B151">
        <v>2021</v>
      </c>
      <c r="C151" t="s">
        <v>546</v>
      </c>
      <c r="D151" t="s">
        <v>547</v>
      </c>
      <c r="E151" t="s">
        <v>112</v>
      </c>
      <c r="F151" t="s">
        <v>206</v>
      </c>
      <c r="G151" t="b">
        <f t="shared" si="2"/>
        <v>1</v>
      </c>
      <c r="H151" t="str">
        <f>VLOOKUP(A151,ID_Lookup!$A:$A,1,FALSE)</f>
        <v>J2879</v>
      </c>
    </row>
    <row r="152" spans="1:8" x14ac:dyDescent="0.35">
      <c r="A152" t="s">
        <v>548</v>
      </c>
      <c r="B152">
        <v>2021</v>
      </c>
      <c r="C152" t="s">
        <v>549</v>
      </c>
      <c r="D152" t="s">
        <v>529</v>
      </c>
      <c r="E152" t="s">
        <v>112</v>
      </c>
      <c r="F152" t="s">
        <v>206</v>
      </c>
      <c r="G152" t="b">
        <f t="shared" si="2"/>
        <v>1</v>
      </c>
      <c r="H152" t="str">
        <f>VLOOKUP(A152,ID_Lookup!$A:$A,1,FALSE)</f>
        <v>J2880</v>
      </c>
    </row>
    <row r="153" spans="1:8" x14ac:dyDescent="0.35">
      <c r="A153" t="s">
        <v>550</v>
      </c>
      <c r="B153">
        <v>2021</v>
      </c>
      <c r="C153" t="s">
        <v>551</v>
      </c>
      <c r="D153" t="s">
        <v>552</v>
      </c>
      <c r="E153" t="s">
        <v>112</v>
      </c>
      <c r="F153" t="s">
        <v>206</v>
      </c>
      <c r="G153" t="b">
        <f t="shared" si="2"/>
        <v>1</v>
      </c>
      <c r="H153" t="str">
        <f>VLOOKUP(A153,ID_Lookup!$A:$A,1,FALSE)</f>
        <v>J2881</v>
      </c>
    </row>
    <row r="154" spans="1:8" x14ac:dyDescent="0.35">
      <c r="A154" t="s">
        <v>553</v>
      </c>
      <c r="B154">
        <v>2021</v>
      </c>
      <c r="C154" t="s">
        <v>554</v>
      </c>
      <c r="D154" t="s">
        <v>555</v>
      </c>
      <c r="E154" t="s">
        <v>112</v>
      </c>
      <c r="F154" t="s">
        <v>206</v>
      </c>
      <c r="G154" t="b">
        <f t="shared" si="2"/>
        <v>1</v>
      </c>
      <c r="H154" t="str">
        <f>VLOOKUP(A154,ID_Lookup!$A:$A,1,FALSE)</f>
        <v>J2882</v>
      </c>
    </row>
    <row r="155" spans="1:8" x14ac:dyDescent="0.35">
      <c r="A155" t="s">
        <v>556</v>
      </c>
      <c r="B155">
        <v>2021</v>
      </c>
      <c r="C155" t="s">
        <v>557</v>
      </c>
      <c r="D155" t="s">
        <v>558</v>
      </c>
      <c r="E155" t="s">
        <v>112</v>
      </c>
      <c r="F155" t="s">
        <v>206</v>
      </c>
      <c r="G155" t="b">
        <f t="shared" si="2"/>
        <v>1</v>
      </c>
      <c r="H155" t="str">
        <f>VLOOKUP(A155,ID_Lookup!$A:$A,1,FALSE)</f>
        <v>J2883</v>
      </c>
    </row>
    <row r="156" spans="1:8" x14ac:dyDescent="0.35">
      <c r="A156" t="s">
        <v>559</v>
      </c>
      <c r="B156">
        <v>2021</v>
      </c>
      <c r="C156" t="s">
        <v>560</v>
      </c>
      <c r="D156" t="s">
        <v>561</v>
      </c>
      <c r="E156" t="s">
        <v>112</v>
      </c>
      <c r="F156" t="s">
        <v>206</v>
      </c>
      <c r="G156" t="b">
        <f t="shared" si="2"/>
        <v>1</v>
      </c>
      <c r="H156" t="str">
        <f>VLOOKUP(A156,ID_Lookup!$A:$A,1,FALSE)</f>
        <v>J2884</v>
      </c>
    </row>
    <row r="157" spans="1:8" x14ac:dyDescent="0.35">
      <c r="A157" t="s">
        <v>562</v>
      </c>
      <c r="B157">
        <v>2021</v>
      </c>
      <c r="C157" t="s">
        <v>563</v>
      </c>
      <c r="D157" t="s">
        <v>564</v>
      </c>
      <c r="E157" t="s">
        <v>112</v>
      </c>
      <c r="F157" t="s">
        <v>698</v>
      </c>
      <c r="G157" t="b">
        <f t="shared" si="2"/>
        <v>1</v>
      </c>
      <c r="H157" t="str">
        <f>VLOOKUP(A157,ID_Lookup!$A:$A,1,FALSE)</f>
        <v>J2885</v>
      </c>
    </row>
    <row r="158" spans="1:8" x14ac:dyDescent="0.35">
      <c r="A158" t="s">
        <v>565</v>
      </c>
      <c r="B158">
        <v>2021</v>
      </c>
      <c r="C158" t="s">
        <v>566</v>
      </c>
      <c r="D158" t="s">
        <v>567</v>
      </c>
      <c r="E158" t="s">
        <v>112</v>
      </c>
      <c r="F158" t="s">
        <v>206</v>
      </c>
      <c r="G158" t="b">
        <f t="shared" si="2"/>
        <v>1</v>
      </c>
      <c r="H158" t="str">
        <f>VLOOKUP(A158,ID_Lookup!$A:$A,1,FALSE)</f>
        <v>J2886</v>
      </c>
    </row>
    <row r="159" spans="1:8" x14ac:dyDescent="0.35">
      <c r="A159" t="s">
        <v>568</v>
      </c>
      <c r="B159">
        <v>2021</v>
      </c>
      <c r="C159" t="s">
        <v>569</v>
      </c>
      <c r="D159" t="s">
        <v>570</v>
      </c>
      <c r="E159" t="s">
        <v>112</v>
      </c>
      <c r="F159" t="s">
        <v>206</v>
      </c>
      <c r="G159" t="b">
        <f t="shared" si="2"/>
        <v>1</v>
      </c>
      <c r="H159" t="str">
        <f>VLOOKUP(A159,ID_Lookup!$A:$A,1,FALSE)</f>
        <v>J2887</v>
      </c>
    </row>
    <row r="160" spans="1:8" x14ac:dyDescent="0.35">
      <c r="A160" t="s">
        <v>571</v>
      </c>
      <c r="B160">
        <v>2021</v>
      </c>
      <c r="C160" t="s">
        <v>572</v>
      </c>
      <c r="D160" t="s">
        <v>573</v>
      </c>
      <c r="E160" t="s">
        <v>112</v>
      </c>
      <c r="F160" t="s">
        <v>206</v>
      </c>
      <c r="G160" t="b">
        <f t="shared" si="2"/>
        <v>1</v>
      </c>
      <c r="H160" t="str">
        <f>VLOOKUP(A160,ID_Lookup!$A:$A,1,FALSE)</f>
        <v>J2888</v>
      </c>
    </row>
    <row r="161" spans="1:8" x14ac:dyDescent="0.35">
      <c r="A161" t="s">
        <v>574</v>
      </c>
      <c r="B161">
        <v>2021</v>
      </c>
      <c r="C161" t="s">
        <v>575</v>
      </c>
      <c r="D161" t="s">
        <v>576</v>
      </c>
      <c r="E161" t="s">
        <v>112</v>
      </c>
      <c r="F161" t="s">
        <v>206</v>
      </c>
      <c r="G161" t="b">
        <f t="shared" si="2"/>
        <v>1</v>
      </c>
      <c r="H161" t="str">
        <f>VLOOKUP(A161,ID_Lookup!$A:$A,1,FALSE)</f>
        <v>J2889</v>
      </c>
    </row>
    <row r="162" spans="1:8" x14ac:dyDescent="0.35">
      <c r="A162" t="s">
        <v>577</v>
      </c>
      <c r="B162">
        <v>2021</v>
      </c>
      <c r="C162" t="s">
        <v>578</v>
      </c>
      <c r="D162" t="s">
        <v>579</v>
      </c>
      <c r="E162" t="s">
        <v>112</v>
      </c>
      <c r="F162" t="s">
        <v>206</v>
      </c>
      <c r="G162" t="b">
        <f t="shared" si="2"/>
        <v>1</v>
      </c>
      <c r="H162" t="str">
        <f>VLOOKUP(A162,ID_Lookup!$A:$A,1,FALSE)</f>
        <v>J2890</v>
      </c>
    </row>
    <row r="163" spans="1:8" x14ac:dyDescent="0.35">
      <c r="A163" t="s">
        <v>580</v>
      </c>
      <c r="B163">
        <v>2021</v>
      </c>
      <c r="C163" t="s">
        <v>581</v>
      </c>
      <c r="D163" t="s">
        <v>582</v>
      </c>
      <c r="E163" t="s">
        <v>173</v>
      </c>
      <c r="F163" t="s">
        <v>195</v>
      </c>
      <c r="G163" t="b">
        <f t="shared" si="2"/>
        <v>0</v>
      </c>
      <c r="H163" t="str">
        <f>VLOOKUP(A163,ID_Lookup!$A:$A,1,FALSE)</f>
        <v>J2891</v>
      </c>
    </row>
    <row r="164" spans="1:8" x14ac:dyDescent="0.35">
      <c r="A164" t="s">
        <v>583</v>
      </c>
      <c r="B164">
        <v>2021</v>
      </c>
      <c r="C164" t="s">
        <v>584</v>
      </c>
      <c r="D164" t="s">
        <v>585</v>
      </c>
      <c r="E164" t="s">
        <v>112</v>
      </c>
      <c r="F164" t="s">
        <v>206</v>
      </c>
      <c r="G164" t="b">
        <f t="shared" si="2"/>
        <v>1</v>
      </c>
      <c r="H164" t="str">
        <f>VLOOKUP(A164,ID_Lookup!$A:$A,1,FALSE)</f>
        <v>J2892</v>
      </c>
    </row>
    <row r="165" spans="1:8" x14ac:dyDescent="0.35">
      <c r="A165" t="s">
        <v>586</v>
      </c>
      <c r="B165">
        <v>2021</v>
      </c>
      <c r="C165" t="s">
        <v>587</v>
      </c>
      <c r="D165" t="s">
        <v>588</v>
      </c>
      <c r="E165" t="s">
        <v>112</v>
      </c>
      <c r="F165" t="s">
        <v>206</v>
      </c>
      <c r="G165" t="b">
        <f t="shared" si="2"/>
        <v>1</v>
      </c>
      <c r="H165" t="str">
        <f>VLOOKUP(A165,ID_Lookup!$A:$A,1,FALSE)</f>
        <v>J2893</v>
      </c>
    </row>
    <row r="166" spans="1:8" x14ac:dyDescent="0.35">
      <c r="A166" t="s">
        <v>589</v>
      </c>
      <c r="B166">
        <v>2021</v>
      </c>
      <c r="C166" t="s">
        <v>590</v>
      </c>
      <c r="D166" t="s">
        <v>591</v>
      </c>
      <c r="E166" t="s">
        <v>112</v>
      </c>
      <c r="F166" t="s">
        <v>206</v>
      </c>
      <c r="G166" t="b">
        <f t="shared" si="2"/>
        <v>1</v>
      </c>
      <c r="H166" t="str">
        <f>VLOOKUP(A166,ID_Lookup!$A:$A,1,FALSE)</f>
        <v>J2894</v>
      </c>
    </row>
    <row r="167" spans="1:8" x14ac:dyDescent="0.35">
      <c r="A167" t="s">
        <v>592</v>
      </c>
      <c r="B167">
        <v>2021</v>
      </c>
      <c r="C167" t="s">
        <v>593</v>
      </c>
      <c r="D167" t="s">
        <v>594</v>
      </c>
      <c r="E167" t="s">
        <v>112</v>
      </c>
      <c r="F167" t="s">
        <v>206</v>
      </c>
      <c r="G167" t="b">
        <f t="shared" si="2"/>
        <v>1</v>
      </c>
      <c r="H167" t="str">
        <f>VLOOKUP(A167,ID_Lookup!$A:$A,1,FALSE)</f>
        <v>J2895</v>
      </c>
    </row>
    <row r="168" spans="1:8" x14ac:dyDescent="0.35">
      <c r="A168" t="s">
        <v>595</v>
      </c>
      <c r="B168">
        <v>2021</v>
      </c>
      <c r="C168" t="s">
        <v>596</v>
      </c>
      <c r="D168" t="s">
        <v>597</v>
      </c>
      <c r="E168" t="s">
        <v>112</v>
      </c>
      <c r="F168" t="s">
        <v>699</v>
      </c>
      <c r="G168" t="b">
        <f t="shared" si="2"/>
        <v>1</v>
      </c>
      <c r="H168" t="str">
        <f>VLOOKUP(A168,ID_Lookup!$A:$A,1,FALSE)</f>
        <v>J2896</v>
      </c>
    </row>
    <row r="169" spans="1:8" x14ac:dyDescent="0.35">
      <c r="A169" t="s">
        <v>598</v>
      </c>
      <c r="B169">
        <v>2021</v>
      </c>
      <c r="C169" t="s">
        <v>599</v>
      </c>
      <c r="D169" t="s">
        <v>600</v>
      </c>
      <c r="E169" t="s">
        <v>112</v>
      </c>
      <c r="F169" t="s">
        <v>206</v>
      </c>
      <c r="G169" t="b">
        <f t="shared" si="2"/>
        <v>1</v>
      </c>
      <c r="H169" t="str">
        <f>VLOOKUP(A169,ID_Lookup!$A:$A,1,FALSE)</f>
        <v>J2897</v>
      </c>
    </row>
    <row r="170" spans="1:8" x14ac:dyDescent="0.35">
      <c r="A170" t="s">
        <v>601</v>
      </c>
      <c r="B170">
        <v>2021</v>
      </c>
      <c r="C170" t="s">
        <v>602</v>
      </c>
      <c r="D170" t="s">
        <v>603</v>
      </c>
      <c r="E170" t="s">
        <v>112</v>
      </c>
      <c r="F170" t="s">
        <v>206</v>
      </c>
      <c r="G170" t="b">
        <f t="shared" si="2"/>
        <v>1</v>
      </c>
      <c r="H170" t="str">
        <f>VLOOKUP(A170,ID_Lookup!$A:$A,1,FALSE)</f>
        <v>J2898</v>
      </c>
    </row>
    <row r="171" spans="1:8" x14ac:dyDescent="0.35">
      <c r="A171" t="s">
        <v>604</v>
      </c>
      <c r="B171">
        <v>2021</v>
      </c>
      <c r="C171" t="s">
        <v>605</v>
      </c>
      <c r="D171" t="s">
        <v>606</v>
      </c>
      <c r="E171" t="s">
        <v>112</v>
      </c>
      <c r="F171" t="s">
        <v>206</v>
      </c>
      <c r="G171" t="b">
        <f t="shared" si="2"/>
        <v>1</v>
      </c>
      <c r="H171" t="str">
        <f>VLOOKUP(A171,ID_Lookup!$A:$A,1,FALSE)</f>
        <v>J2899</v>
      </c>
    </row>
    <row r="172" spans="1:8" hidden="1" x14ac:dyDescent="0.35">
      <c r="A172" t="s">
        <v>607</v>
      </c>
      <c r="B172">
        <v>2021</v>
      </c>
      <c r="C172" t="s">
        <v>608</v>
      </c>
      <c r="D172" t="s">
        <v>609</v>
      </c>
      <c r="E172" t="s">
        <v>112</v>
      </c>
      <c r="F172" t="s">
        <v>206</v>
      </c>
      <c r="G172" t="b">
        <f t="shared" si="2"/>
        <v>1</v>
      </c>
      <c r="H172" t="e">
        <f>VLOOKUP(A172,ID_Lookup!$A:$A,1,FALSE)</f>
        <v>#N/A</v>
      </c>
    </row>
    <row r="173" spans="1:8" hidden="1" x14ac:dyDescent="0.35">
      <c r="A173" t="s">
        <v>610</v>
      </c>
      <c r="B173">
        <v>2021</v>
      </c>
      <c r="C173" t="s">
        <v>611</v>
      </c>
      <c r="D173" t="s">
        <v>612</v>
      </c>
      <c r="E173" t="s">
        <v>112</v>
      </c>
      <c r="F173" t="s">
        <v>206</v>
      </c>
      <c r="G173" t="b">
        <f t="shared" si="2"/>
        <v>1</v>
      </c>
      <c r="H173" t="e">
        <f>VLOOKUP(A173,ID_Lookup!$A:$A,1,FALSE)</f>
        <v>#N/A</v>
      </c>
    </row>
    <row r="174" spans="1:8" x14ac:dyDescent="0.35">
      <c r="A174" t="s">
        <v>613</v>
      </c>
      <c r="B174">
        <v>2021</v>
      </c>
      <c r="C174" t="s">
        <v>614</v>
      </c>
      <c r="D174" t="s">
        <v>615</v>
      </c>
      <c r="E174" t="s">
        <v>112</v>
      </c>
      <c r="F174" t="s">
        <v>700</v>
      </c>
      <c r="G174" t="b">
        <f t="shared" si="2"/>
        <v>1</v>
      </c>
      <c r="H174" t="str">
        <f>VLOOKUP(A174,ID_Lookup!$A:$A,1,FALSE)</f>
        <v>J2902</v>
      </c>
    </row>
    <row r="175" spans="1:8" hidden="1" x14ac:dyDescent="0.35">
      <c r="A175" t="s">
        <v>616</v>
      </c>
      <c r="B175">
        <v>2021</v>
      </c>
      <c r="C175" t="s">
        <v>617</v>
      </c>
      <c r="D175" t="s">
        <v>529</v>
      </c>
      <c r="E175" t="s">
        <v>112</v>
      </c>
      <c r="F175" t="s">
        <v>206</v>
      </c>
      <c r="G175" t="b">
        <f t="shared" si="2"/>
        <v>1</v>
      </c>
      <c r="H175" t="e">
        <f>VLOOKUP(A175,ID_Lookup!$A:$A,1,FALSE)</f>
        <v>#N/A</v>
      </c>
    </row>
    <row r="176" spans="1:8" x14ac:dyDescent="0.35">
      <c r="A176" t="s">
        <v>618</v>
      </c>
      <c r="B176">
        <v>2021</v>
      </c>
      <c r="C176" t="s">
        <v>619</v>
      </c>
      <c r="D176" t="s">
        <v>620</v>
      </c>
      <c r="E176" t="s">
        <v>112</v>
      </c>
      <c r="F176" t="s">
        <v>206</v>
      </c>
      <c r="G176" t="b">
        <f t="shared" si="2"/>
        <v>1</v>
      </c>
      <c r="H176" t="str">
        <f>VLOOKUP(A176,ID_Lookup!$A:$A,1,FALSE)</f>
        <v>J2904</v>
      </c>
    </row>
    <row r="177" spans="1:8" x14ac:dyDescent="0.35">
      <c r="A177" t="s">
        <v>621</v>
      </c>
      <c r="B177">
        <v>2021</v>
      </c>
      <c r="C177" t="s">
        <v>622</v>
      </c>
      <c r="D177" t="s">
        <v>623</v>
      </c>
      <c r="E177" t="s">
        <v>112</v>
      </c>
      <c r="F177" t="s">
        <v>206</v>
      </c>
      <c r="G177" t="b">
        <f t="shared" si="2"/>
        <v>1</v>
      </c>
      <c r="H177" t="str">
        <f>VLOOKUP(A177,ID_Lookup!$A:$A,1,FALSE)</f>
        <v>J2905</v>
      </c>
    </row>
    <row r="178" spans="1:8" x14ac:dyDescent="0.35">
      <c r="A178" t="s">
        <v>624</v>
      </c>
      <c r="B178">
        <v>2021</v>
      </c>
      <c r="C178" t="s">
        <v>625</v>
      </c>
      <c r="D178" t="s">
        <v>626</v>
      </c>
      <c r="E178" t="s">
        <v>112</v>
      </c>
      <c r="F178" t="s">
        <v>206</v>
      </c>
      <c r="G178" t="b">
        <f t="shared" si="2"/>
        <v>1</v>
      </c>
      <c r="H178" t="str">
        <f>VLOOKUP(A178,ID_Lookup!$A:$A,1,FALSE)</f>
        <v>J2906</v>
      </c>
    </row>
    <row r="179" spans="1:8" x14ac:dyDescent="0.35">
      <c r="A179" t="s">
        <v>627</v>
      </c>
      <c r="B179">
        <v>2021</v>
      </c>
      <c r="C179" t="s">
        <v>628</v>
      </c>
      <c r="D179" t="s">
        <v>629</v>
      </c>
      <c r="E179" t="s">
        <v>112</v>
      </c>
      <c r="F179" t="s">
        <v>206</v>
      </c>
      <c r="G179" t="b">
        <f t="shared" si="2"/>
        <v>1</v>
      </c>
      <c r="H179" t="str">
        <f>VLOOKUP(A179,ID_Lookup!$A:$A,1,FALSE)</f>
        <v>J2907</v>
      </c>
    </row>
    <row r="180" spans="1:8" x14ac:dyDescent="0.35">
      <c r="A180" t="s">
        <v>630</v>
      </c>
      <c r="B180">
        <v>2021</v>
      </c>
      <c r="C180" t="s">
        <v>631</v>
      </c>
      <c r="D180" t="s">
        <v>632</v>
      </c>
      <c r="E180" t="s">
        <v>112</v>
      </c>
      <c r="F180" t="s">
        <v>206</v>
      </c>
      <c r="G180" t="b">
        <f t="shared" si="2"/>
        <v>1</v>
      </c>
      <c r="H180" t="str">
        <f>VLOOKUP(A180,ID_Lookup!$A:$A,1,FALSE)</f>
        <v>J2908</v>
      </c>
    </row>
    <row r="181" spans="1:8" x14ac:dyDescent="0.35">
      <c r="A181" t="s">
        <v>633</v>
      </c>
      <c r="B181">
        <v>2021</v>
      </c>
      <c r="C181" t="s">
        <v>631</v>
      </c>
      <c r="D181" t="s">
        <v>634</v>
      </c>
      <c r="E181" t="s">
        <v>112</v>
      </c>
      <c r="F181" t="s">
        <v>206</v>
      </c>
      <c r="G181" t="b">
        <f t="shared" si="2"/>
        <v>1</v>
      </c>
      <c r="H181" t="str">
        <f>VLOOKUP(A181,ID_Lookup!$A:$A,1,FALSE)</f>
        <v>J2909</v>
      </c>
    </row>
    <row r="182" spans="1:8" x14ac:dyDescent="0.35">
      <c r="A182" t="s">
        <v>635</v>
      </c>
      <c r="B182">
        <v>2021</v>
      </c>
      <c r="C182" t="s">
        <v>636</v>
      </c>
      <c r="D182" t="s">
        <v>637</v>
      </c>
      <c r="E182" t="s">
        <v>112</v>
      </c>
      <c r="F182" t="s">
        <v>206</v>
      </c>
      <c r="G182" t="b">
        <f t="shared" si="2"/>
        <v>1</v>
      </c>
      <c r="H182" t="str">
        <f>VLOOKUP(A182,ID_Lookup!$A:$A,1,FALSE)</f>
        <v>J2910</v>
      </c>
    </row>
    <row r="183" spans="1:8" x14ac:dyDescent="0.35">
      <c r="A183" t="s">
        <v>638</v>
      </c>
      <c r="B183">
        <v>2025</v>
      </c>
      <c r="C183" t="s">
        <v>639</v>
      </c>
      <c r="D183" t="s">
        <v>640</v>
      </c>
      <c r="E183" t="s">
        <v>112</v>
      </c>
      <c r="F183" t="s">
        <v>206</v>
      </c>
      <c r="G183" t="b">
        <f t="shared" si="2"/>
        <v>1</v>
      </c>
      <c r="H183" t="str">
        <f>VLOOKUP(A183,ID_Lookup!$A:$A,1,FALSE)</f>
        <v>J6200</v>
      </c>
    </row>
    <row r="184" spans="1:8" x14ac:dyDescent="0.35">
      <c r="A184" t="s">
        <v>641</v>
      </c>
      <c r="B184">
        <v>2025</v>
      </c>
      <c r="C184" t="s">
        <v>639</v>
      </c>
      <c r="D184" t="s">
        <v>642</v>
      </c>
      <c r="E184" t="s">
        <v>112</v>
      </c>
      <c r="F184" t="s">
        <v>206</v>
      </c>
      <c r="G184" t="b">
        <f t="shared" si="2"/>
        <v>1</v>
      </c>
      <c r="H184" t="str">
        <f>VLOOKUP(A184,ID_Lookup!$A:$A,1,FALSE)</f>
        <v>J6201</v>
      </c>
    </row>
    <row r="185" spans="1:8" x14ac:dyDescent="0.35">
      <c r="A185" t="s">
        <v>643</v>
      </c>
      <c r="B185">
        <v>2025</v>
      </c>
      <c r="C185" t="s">
        <v>644</v>
      </c>
      <c r="D185" t="s">
        <v>645</v>
      </c>
      <c r="E185" t="s">
        <v>112</v>
      </c>
      <c r="F185" t="s">
        <v>206</v>
      </c>
      <c r="G185" t="b">
        <f t="shared" si="2"/>
        <v>1</v>
      </c>
      <c r="H185" t="str">
        <f>VLOOKUP(A185,ID_Lookup!$A:$A,1,FALSE)</f>
        <v>J6202</v>
      </c>
    </row>
    <row r="186" spans="1:8" hidden="1" x14ac:dyDescent="0.35">
      <c r="A186" t="s">
        <v>646</v>
      </c>
      <c r="B186">
        <v>2025</v>
      </c>
      <c r="C186" t="s">
        <v>647</v>
      </c>
      <c r="D186" t="s">
        <v>648</v>
      </c>
      <c r="E186" t="s">
        <v>112</v>
      </c>
      <c r="F186" t="s">
        <v>206</v>
      </c>
      <c r="G186" t="b">
        <f t="shared" si="2"/>
        <v>1</v>
      </c>
      <c r="H186" t="e">
        <f>VLOOKUP(A186,ID_Lookup!$A:$A,1,FALSE)</f>
        <v>#N/A</v>
      </c>
    </row>
    <row r="187" spans="1:8" x14ac:dyDescent="0.35">
      <c r="A187" t="s">
        <v>649</v>
      </c>
      <c r="B187">
        <v>2025</v>
      </c>
      <c r="C187" t="s">
        <v>650</v>
      </c>
      <c r="D187" t="s">
        <v>651</v>
      </c>
      <c r="E187" t="s">
        <v>112</v>
      </c>
      <c r="F187" t="s">
        <v>206</v>
      </c>
      <c r="G187" t="b">
        <f t="shared" si="2"/>
        <v>1</v>
      </c>
      <c r="H187" t="str">
        <f>VLOOKUP(A187,ID_Lookup!$A:$A,1,FALSE)</f>
        <v>J6204</v>
      </c>
    </row>
    <row r="188" spans="1:8" x14ac:dyDescent="0.35">
      <c r="A188" t="s">
        <v>652</v>
      </c>
      <c r="B188">
        <v>2025</v>
      </c>
      <c r="C188" t="s">
        <v>653</v>
      </c>
      <c r="D188" t="s">
        <v>654</v>
      </c>
      <c r="E188" t="s">
        <v>112</v>
      </c>
      <c r="F188" t="s">
        <v>206</v>
      </c>
      <c r="G188" t="b">
        <f t="shared" si="2"/>
        <v>1</v>
      </c>
      <c r="H188" t="str">
        <f>VLOOKUP(A188,ID_Lookup!$A:$A,1,FALSE)</f>
        <v>J6205</v>
      </c>
    </row>
    <row r="189" spans="1:8" x14ac:dyDescent="0.35">
      <c r="A189" t="s">
        <v>655</v>
      </c>
      <c r="B189">
        <v>2025</v>
      </c>
      <c r="C189" t="s">
        <v>656</v>
      </c>
      <c r="D189" t="s">
        <v>657</v>
      </c>
      <c r="E189" t="s">
        <v>112</v>
      </c>
      <c r="F189" t="s">
        <v>206</v>
      </c>
      <c r="G189" t="b">
        <f t="shared" si="2"/>
        <v>1</v>
      </c>
      <c r="H189" t="str">
        <f>VLOOKUP(A189,ID_Lookup!$A:$A,1,FALSE)</f>
        <v>J6206</v>
      </c>
    </row>
    <row r="190" spans="1:8" x14ac:dyDescent="0.35">
      <c r="A190" t="s">
        <v>658</v>
      </c>
      <c r="B190">
        <v>2025</v>
      </c>
      <c r="C190" t="s">
        <v>659</v>
      </c>
      <c r="D190" t="s">
        <v>660</v>
      </c>
      <c r="E190" t="s">
        <v>112</v>
      </c>
      <c r="F190" t="s">
        <v>206</v>
      </c>
      <c r="G190" t="b">
        <f t="shared" si="2"/>
        <v>1</v>
      </c>
      <c r="H190" t="str">
        <f>VLOOKUP(A190,ID_Lookup!$A:$A,1,FALSE)</f>
        <v>J6207</v>
      </c>
    </row>
    <row r="191" spans="1:8" hidden="1" x14ac:dyDescent="0.35">
      <c r="A191" t="s">
        <v>661</v>
      </c>
      <c r="B191">
        <v>2025</v>
      </c>
      <c r="C191" t="s">
        <v>662</v>
      </c>
      <c r="D191" t="s">
        <v>663</v>
      </c>
      <c r="E191" t="s">
        <v>112</v>
      </c>
      <c r="F191" t="s">
        <v>206</v>
      </c>
      <c r="G191" t="b">
        <f t="shared" si="2"/>
        <v>1</v>
      </c>
      <c r="H191" t="e">
        <f>VLOOKUP(A191,ID_Lookup!$A:$A,1,FALSE)</f>
        <v>#N/A</v>
      </c>
    </row>
    <row r="192" spans="1:8" x14ac:dyDescent="0.35">
      <c r="A192" t="s">
        <v>664</v>
      </c>
      <c r="B192">
        <v>2025</v>
      </c>
      <c r="C192" t="s">
        <v>665</v>
      </c>
      <c r="D192" t="s">
        <v>666</v>
      </c>
      <c r="E192" t="s">
        <v>112</v>
      </c>
      <c r="F192" t="s">
        <v>206</v>
      </c>
      <c r="G192" t="b">
        <f t="shared" si="2"/>
        <v>1</v>
      </c>
      <c r="H192" t="str">
        <f>VLOOKUP(A192,ID_Lookup!$A:$A,1,FALSE)</f>
        <v>J6209</v>
      </c>
    </row>
    <row r="193" spans="1:8" x14ac:dyDescent="0.35">
      <c r="A193" t="s">
        <v>667</v>
      </c>
      <c r="B193">
        <v>2025</v>
      </c>
      <c r="C193" t="s">
        <v>668</v>
      </c>
      <c r="D193" t="s">
        <v>669</v>
      </c>
      <c r="E193" t="s">
        <v>112</v>
      </c>
      <c r="F193" t="s">
        <v>206</v>
      </c>
      <c r="G193" t="b">
        <f t="shared" si="2"/>
        <v>1</v>
      </c>
      <c r="H193" t="str">
        <f>VLOOKUP(A193,ID_Lookup!$A:$A,1,FALSE)</f>
        <v>J6210</v>
      </c>
    </row>
    <row r="194" spans="1:8" x14ac:dyDescent="0.35">
      <c r="A194" t="s">
        <v>670</v>
      </c>
      <c r="B194">
        <v>2025</v>
      </c>
      <c r="C194" t="s">
        <v>671</v>
      </c>
      <c r="D194" t="s">
        <v>672</v>
      </c>
      <c r="E194" t="s">
        <v>112</v>
      </c>
      <c r="F194" t="s">
        <v>206</v>
      </c>
      <c r="G194" t="b">
        <f t="shared" si="2"/>
        <v>1</v>
      </c>
      <c r="H194" t="str">
        <f>VLOOKUP(A194,ID_Lookup!$A:$A,1,FALSE)</f>
        <v>J6211</v>
      </c>
    </row>
    <row r="195" spans="1:8" x14ac:dyDescent="0.35">
      <c r="A195" t="s">
        <v>673</v>
      </c>
      <c r="B195">
        <v>2025</v>
      </c>
      <c r="C195" t="s">
        <v>674</v>
      </c>
      <c r="D195" t="s">
        <v>675</v>
      </c>
      <c r="E195" t="s">
        <v>112</v>
      </c>
      <c r="F195" t="s">
        <v>206</v>
      </c>
      <c r="G195" t="b">
        <f t="shared" ref="G195:G201" si="3">IF(E195="Include", TRUE, FALSE)</f>
        <v>1</v>
      </c>
      <c r="H195" t="str">
        <f>VLOOKUP(A195,ID_Lookup!$A:$A,1,FALSE)</f>
        <v>J6212</v>
      </c>
    </row>
    <row r="196" spans="1:8" x14ac:dyDescent="0.35">
      <c r="A196" t="s">
        <v>676</v>
      </c>
      <c r="B196">
        <v>2025</v>
      </c>
      <c r="C196" t="s">
        <v>677</v>
      </c>
      <c r="D196" t="s">
        <v>678</v>
      </c>
      <c r="E196" t="s">
        <v>112</v>
      </c>
      <c r="F196" t="s">
        <v>206</v>
      </c>
      <c r="G196" t="b">
        <f t="shared" si="3"/>
        <v>1</v>
      </c>
      <c r="H196" t="str">
        <f>VLOOKUP(A196,ID_Lookup!$A:$A,1,FALSE)</f>
        <v>J6213</v>
      </c>
    </row>
    <row r="197" spans="1:8" hidden="1" x14ac:dyDescent="0.35">
      <c r="A197" t="s">
        <v>679</v>
      </c>
      <c r="B197">
        <v>2025</v>
      </c>
      <c r="C197" t="s">
        <v>680</v>
      </c>
      <c r="D197" t="s">
        <v>681</v>
      </c>
      <c r="E197" t="s">
        <v>112</v>
      </c>
      <c r="F197" t="s">
        <v>206</v>
      </c>
      <c r="G197" t="b">
        <f t="shared" si="3"/>
        <v>1</v>
      </c>
      <c r="H197" t="e">
        <f>VLOOKUP(A197,ID_Lookup!$A:$A,1,FALSE)</f>
        <v>#N/A</v>
      </c>
    </row>
    <row r="198" spans="1:8" hidden="1" x14ac:dyDescent="0.35">
      <c r="A198" t="s">
        <v>682</v>
      </c>
      <c r="B198">
        <v>2025</v>
      </c>
      <c r="C198" t="s">
        <v>683</v>
      </c>
      <c r="D198" t="s">
        <v>684</v>
      </c>
      <c r="E198" t="s">
        <v>112</v>
      </c>
      <c r="F198" t="s">
        <v>206</v>
      </c>
      <c r="G198" t="b">
        <f t="shared" si="3"/>
        <v>1</v>
      </c>
      <c r="H198" t="e">
        <f>VLOOKUP(A198,ID_Lookup!$A:$A,1,FALSE)</f>
        <v>#N/A</v>
      </c>
    </row>
    <row r="199" spans="1:8" hidden="1" x14ac:dyDescent="0.35">
      <c r="A199" t="s">
        <v>685</v>
      </c>
      <c r="B199">
        <v>2025</v>
      </c>
      <c r="C199" t="s">
        <v>686</v>
      </c>
      <c r="D199" t="s">
        <v>687</v>
      </c>
      <c r="E199" t="s">
        <v>112</v>
      </c>
      <c r="F199" t="s">
        <v>206</v>
      </c>
      <c r="G199" t="b">
        <f t="shared" si="3"/>
        <v>1</v>
      </c>
      <c r="H199" t="e">
        <f>VLOOKUP(A199,ID_Lookup!$A:$A,1,FALSE)</f>
        <v>#N/A</v>
      </c>
    </row>
    <row r="200" spans="1:8" x14ac:dyDescent="0.35">
      <c r="A200" t="s">
        <v>688</v>
      </c>
      <c r="B200">
        <v>2025</v>
      </c>
      <c r="C200" t="s">
        <v>689</v>
      </c>
      <c r="D200" t="s">
        <v>690</v>
      </c>
      <c r="E200" t="s">
        <v>112</v>
      </c>
      <c r="F200" t="s">
        <v>206</v>
      </c>
      <c r="G200" t="b">
        <f t="shared" si="3"/>
        <v>1</v>
      </c>
      <c r="H200" t="str">
        <f>VLOOKUP(A200,ID_Lookup!$A:$A,1,FALSE)</f>
        <v>J6217</v>
      </c>
    </row>
    <row r="201" spans="1:8" x14ac:dyDescent="0.35">
      <c r="A201" t="s">
        <v>691</v>
      </c>
      <c r="B201">
        <v>2025</v>
      </c>
      <c r="C201" t="s">
        <v>692</v>
      </c>
      <c r="D201" t="s">
        <v>693</v>
      </c>
      <c r="E201" t="s">
        <v>112</v>
      </c>
      <c r="F201" t="s">
        <v>206</v>
      </c>
      <c r="G201" t="b">
        <f t="shared" si="3"/>
        <v>1</v>
      </c>
      <c r="H201" t="str">
        <f>VLOOKUP(A201,ID_Lookup!$A:$A,1,FALSE)</f>
        <v>J6218</v>
      </c>
    </row>
  </sheetData>
  <autoFilter ref="A1:H201" xr:uid="{5D3E4052-2545-45A0-857B-B79114EE9774}">
    <filterColumn colId="7">
      <filters>
        <filter val="J2830"/>
        <filter val="J2832"/>
        <filter val="J2833"/>
        <filter val="J2834"/>
        <filter val="J2835"/>
        <filter val="J2836"/>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61"/>
        <filter val="J2862"/>
        <filter val="J2863"/>
        <filter val="J2864"/>
        <filter val="J2865"/>
        <filter val="J2866"/>
        <filter val="J2867"/>
        <filter val="J2868"/>
        <filter val="J2869"/>
        <filter val="J2870"/>
        <filter val="J2871"/>
        <filter val="J2872"/>
        <filter val="J2873"/>
        <filter val="J2874"/>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2"/>
        <filter val="J2904"/>
        <filter val="J2905"/>
        <filter val="J2906"/>
        <filter val="J2907"/>
        <filter val="J2908"/>
        <filter val="J2909"/>
        <filter val="J2910"/>
        <filter val="J502"/>
        <filter val="J503"/>
        <filter val="J504"/>
        <filter val="J505"/>
        <filter val="J506"/>
        <filter val="J508"/>
        <filter val="J509"/>
        <filter val="J510"/>
        <filter val="J511"/>
        <filter val="J512"/>
        <filter val="J513"/>
        <filter val="J514"/>
        <filter val="J515"/>
        <filter val="J520"/>
        <filter val="J521"/>
        <filter val="J522"/>
        <filter val="J523"/>
        <filter val="J524"/>
        <filter val="J527"/>
        <filter val="J529"/>
        <filter val="J530"/>
        <filter val="J532"/>
        <filter val="J533"/>
        <filter val="J534"/>
        <filter val="J535"/>
        <filter val="J536"/>
        <filter val="J537"/>
        <filter val="J540"/>
        <filter val="J541"/>
        <filter val="J543"/>
        <filter val="J544"/>
        <filter val="J545"/>
        <filter val="J546"/>
        <filter val="J547"/>
        <filter val="J549"/>
        <filter val="J550"/>
        <filter val="J551"/>
        <filter val="J552"/>
        <filter val="J554"/>
        <filter val="J555"/>
        <filter val="J556"/>
        <filter val="J557"/>
        <filter val="J558"/>
        <filter val="J559"/>
        <filter val="J561"/>
        <filter val="J562"/>
        <filter val="J563"/>
        <filter val="J565"/>
        <filter val="J566"/>
        <filter val="J567"/>
        <filter val="J570"/>
        <filter val="J571"/>
        <filter val="J573"/>
        <filter val="J574"/>
        <filter val="J575"/>
        <filter val="J576"/>
        <filter val="J581"/>
        <filter val="J583"/>
        <filter val="J586"/>
        <filter val="J587"/>
        <filter val="J588"/>
        <filter val="J590"/>
        <filter val="J592"/>
        <filter val="J593"/>
        <filter val="J594"/>
        <filter val="J595"/>
        <filter val="J598"/>
        <filter val="J599"/>
        <filter val="J6200"/>
        <filter val="J6201"/>
        <filter val="J6202"/>
        <filter val="J6204"/>
        <filter val="J6205"/>
        <filter val="J6206"/>
        <filter val="J6207"/>
        <filter val="J6209"/>
        <filter val="J6210"/>
        <filter val="J6211"/>
        <filter val="J6212"/>
        <filter val="J6213"/>
        <filter val="J6217"/>
        <filter val="J6218"/>
      </filters>
    </filterColumn>
  </autoFilter>
  <conditionalFormatting sqref="E181:F201">
    <cfRule type="containsText" dxfId="13" priority="2" operator="containsText" text="Include">
      <formula>NOT(ISERROR(SEARCH("Include",E181)))</formula>
    </cfRule>
  </conditionalFormatting>
  <conditionalFormatting sqref="E1:E81 F50:F81 E83:F180">
    <cfRule type="containsText" dxfId="12" priority="6" operator="containsText" text="Include">
      <formula>NOT(ISERROR(SEARCH("Include",E1)))</formula>
    </cfRule>
  </conditionalFormatting>
  <conditionalFormatting sqref="E1:E81 F50:F81 E83:F180">
    <cfRule type="containsText" dxfId="11" priority="5" operator="containsText" text="Exclude">
      <formula>NOT(ISERROR(SEARCH("Exclude",E1)))</formula>
    </cfRule>
  </conditionalFormatting>
  <conditionalFormatting sqref="E82:F82">
    <cfRule type="containsText" dxfId="10" priority="3" operator="containsText" text="Exclude">
      <formula>NOT(ISERROR(SEARCH("Exclude",E82)))</formula>
    </cfRule>
    <cfRule type="containsText" dxfId="9" priority="4" operator="containsText" text="Include">
      <formula>NOT(ISERROR(SEARCH("Include",E82)))</formula>
    </cfRule>
  </conditionalFormatting>
  <conditionalFormatting sqref="E181:F201">
    <cfRule type="containsText" dxfId="8" priority="1" operator="containsText" text="Exclude">
      <formula>NOT(ISERROR(SEARCH("Exclude",E181)))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K154"/>
  <sheetViews>
    <sheetView workbookViewId="0">
      <selection activeCell="I1" sqref="I1:K1048529"/>
    </sheetView>
  </sheetViews>
  <sheetFormatPr defaultRowHeight="14.5" x14ac:dyDescent="0.35"/>
  <sheetData>
    <row r="1" spans="1:11" ht="15" thickBot="1" x14ac:dyDescent="0.4">
      <c r="A1" t="s">
        <v>0</v>
      </c>
      <c r="B1" t="s">
        <v>1</v>
      </c>
      <c r="C1" t="s">
        <v>2</v>
      </c>
      <c r="D1" t="s">
        <v>3</v>
      </c>
      <c r="E1" t="s">
        <v>701</v>
      </c>
      <c r="F1" t="s">
        <v>176</v>
      </c>
      <c r="G1" t="s">
        <v>177</v>
      </c>
      <c r="H1" t="s">
        <v>179</v>
      </c>
      <c r="I1" s="3" t="s">
        <v>109</v>
      </c>
      <c r="J1" s="4" t="s">
        <v>110</v>
      </c>
      <c r="K1" t="s">
        <v>175</v>
      </c>
    </row>
    <row r="2" spans="1:11" x14ac:dyDescent="0.35">
      <c r="A2" t="s">
        <v>8</v>
      </c>
      <c r="B2">
        <v>2019</v>
      </c>
      <c r="C2" t="s">
        <v>9</v>
      </c>
      <c r="D2" t="s">
        <v>180</v>
      </c>
      <c r="E2" t="s">
        <v>702</v>
      </c>
      <c r="F2" t="b">
        <v>1</v>
      </c>
      <c r="G2" t="s">
        <v>208</v>
      </c>
      <c r="H2">
        <v>0.9</v>
      </c>
      <c r="I2" t="s">
        <v>112</v>
      </c>
      <c r="J2" t="s">
        <v>206</v>
      </c>
      <c r="K2" t="b">
        <v>1</v>
      </c>
    </row>
    <row r="3" spans="1:11" x14ac:dyDescent="0.35">
      <c r="A3" t="s">
        <v>10</v>
      </c>
      <c r="B3">
        <v>2019</v>
      </c>
      <c r="C3" t="s">
        <v>11</v>
      </c>
      <c r="D3" t="s">
        <v>209</v>
      </c>
      <c r="E3" t="s">
        <v>703</v>
      </c>
      <c r="F3" t="b">
        <v>1</v>
      </c>
      <c r="G3" t="s">
        <v>210</v>
      </c>
      <c r="H3">
        <v>0.9</v>
      </c>
      <c r="I3" t="s">
        <v>112</v>
      </c>
      <c r="J3" t="s">
        <v>206</v>
      </c>
      <c r="K3" t="b">
        <v>1</v>
      </c>
    </row>
    <row r="4" spans="1:11" x14ac:dyDescent="0.35">
      <c r="A4" t="s">
        <v>12</v>
      </c>
      <c r="B4">
        <v>2019</v>
      </c>
      <c r="C4" t="s">
        <v>13</v>
      </c>
      <c r="D4" t="s">
        <v>182</v>
      </c>
      <c r="E4" t="s">
        <v>704</v>
      </c>
      <c r="F4" t="b">
        <v>1</v>
      </c>
      <c r="G4" t="s">
        <v>211</v>
      </c>
      <c r="H4">
        <v>0.9</v>
      </c>
      <c r="I4" t="s">
        <v>112</v>
      </c>
      <c r="J4" t="s">
        <v>206</v>
      </c>
      <c r="K4" t="b">
        <v>1</v>
      </c>
    </row>
    <row r="5" spans="1:11" x14ac:dyDescent="0.35">
      <c r="A5" t="s">
        <v>14</v>
      </c>
      <c r="B5">
        <v>2019</v>
      </c>
      <c r="C5" t="s">
        <v>15</v>
      </c>
      <c r="D5" t="s">
        <v>212</v>
      </c>
      <c r="E5" t="s">
        <v>705</v>
      </c>
      <c r="F5" t="b">
        <v>1</v>
      </c>
      <c r="G5" t="s">
        <v>213</v>
      </c>
      <c r="H5">
        <v>0.9</v>
      </c>
      <c r="I5" t="s">
        <v>112</v>
      </c>
      <c r="J5" t="s">
        <v>206</v>
      </c>
      <c r="K5" t="b">
        <v>1</v>
      </c>
    </row>
    <row r="6" spans="1:11" x14ac:dyDescent="0.35">
      <c r="A6" t="s">
        <v>16</v>
      </c>
      <c r="B6">
        <v>2019</v>
      </c>
      <c r="C6" t="s">
        <v>17</v>
      </c>
      <c r="D6" t="s">
        <v>214</v>
      </c>
      <c r="E6" t="s">
        <v>706</v>
      </c>
      <c r="F6" t="b">
        <v>0</v>
      </c>
      <c r="G6" t="s">
        <v>215</v>
      </c>
      <c r="H6">
        <v>0.6</v>
      </c>
      <c r="I6" t="s">
        <v>112</v>
      </c>
      <c r="J6" t="s">
        <v>206</v>
      </c>
      <c r="K6" t="b">
        <v>1</v>
      </c>
    </row>
    <row r="7" spans="1:11" x14ac:dyDescent="0.35">
      <c r="A7" t="s">
        <v>19</v>
      </c>
      <c r="B7">
        <v>2019</v>
      </c>
      <c r="C7" t="s">
        <v>20</v>
      </c>
      <c r="D7" t="s">
        <v>183</v>
      </c>
      <c r="E7" t="s">
        <v>707</v>
      </c>
      <c r="F7" t="b">
        <v>1</v>
      </c>
      <c r="G7" t="s">
        <v>217</v>
      </c>
      <c r="H7">
        <v>0.9</v>
      </c>
      <c r="I7" t="s">
        <v>112</v>
      </c>
      <c r="J7" t="s">
        <v>206</v>
      </c>
      <c r="K7" t="b">
        <v>1</v>
      </c>
    </row>
    <row r="8" spans="1:11" x14ac:dyDescent="0.35">
      <c r="A8" t="s">
        <v>21</v>
      </c>
      <c r="B8">
        <v>2019</v>
      </c>
      <c r="C8" t="s">
        <v>22</v>
      </c>
      <c r="D8" t="s">
        <v>184</v>
      </c>
      <c r="E8" t="s">
        <v>708</v>
      </c>
      <c r="F8" t="b">
        <v>1</v>
      </c>
      <c r="G8" t="s">
        <v>185</v>
      </c>
      <c r="H8">
        <v>0.9</v>
      </c>
      <c r="I8" t="s">
        <v>112</v>
      </c>
      <c r="J8" t="s">
        <v>206</v>
      </c>
      <c r="K8" t="b">
        <v>1</v>
      </c>
    </row>
    <row r="9" spans="1:11" x14ac:dyDescent="0.35">
      <c r="A9" t="s">
        <v>23</v>
      </c>
      <c r="B9">
        <v>2019</v>
      </c>
      <c r="C9" t="s">
        <v>218</v>
      </c>
      <c r="D9" t="s">
        <v>219</v>
      </c>
      <c r="E9" t="s">
        <v>709</v>
      </c>
      <c r="F9" t="b">
        <v>1</v>
      </c>
      <c r="G9" t="s">
        <v>220</v>
      </c>
      <c r="H9">
        <v>0.9</v>
      </c>
      <c r="I9" t="s">
        <v>112</v>
      </c>
      <c r="J9" t="s">
        <v>206</v>
      </c>
      <c r="K9" t="b">
        <v>1</v>
      </c>
    </row>
    <row r="10" spans="1:11" x14ac:dyDescent="0.35">
      <c r="A10" t="s">
        <v>24</v>
      </c>
      <c r="B10">
        <v>2019</v>
      </c>
      <c r="C10" t="s">
        <v>25</v>
      </c>
      <c r="D10" t="s">
        <v>26</v>
      </c>
      <c r="E10" t="s">
        <v>710</v>
      </c>
      <c r="F10" t="b">
        <v>1</v>
      </c>
      <c r="G10" t="s">
        <v>186</v>
      </c>
      <c r="H10">
        <v>0.9</v>
      </c>
      <c r="I10" t="s">
        <v>112</v>
      </c>
      <c r="J10" t="s">
        <v>206</v>
      </c>
      <c r="K10" t="b">
        <v>1</v>
      </c>
    </row>
    <row r="11" spans="1:11" x14ac:dyDescent="0.35">
      <c r="A11" t="s">
        <v>27</v>
      </c>
      <c r="B11">
        <v>2019</v>
      </c>
      <c r="C11" t="s">
        <v>28</v>
      </c>
      <c r="D11" t="s">
        <v>29</v>
      </c>
      <c r="E11" t="s">
        <v>711</v>
      </c>
      <c r="F11" t="b">
        <v>1</v>
      </c>
      <c r="G11" t="s">
        <v>186</v>
      </c>
      <c r="H11">
        <v>0.9</v>
      </c>
      <c r="I11" t="s">
        <v>112</v>
      </c>
      <c r="J11" t="s">
        <v>206</v>
      </c>
      <c r="K11" t="b">
        <v>1</v>
      </c>
    </row>
    <row r="12" spans="1:11" x14ac:dyDescent="0.35">
      <c r="A12" t="s">
        <v>30</v>
      </c>
      <c r="B12">
        <v>2019</v>
      </c>
      <c r="C12" t="s">
        <v>221</v>
      </c>
      <c r="D12" t="s">
        <v>222</v>
      </c>
      <c r="E12" t="s">
        <v>712</v>
      </c>
      <c r="F12" t="b">
        <v>0</v>
      </c>
      <c r="G12" t="s">
        <v>223</v>
      </c>
      <c r="H12">
        <v>0.6</v>
      </c>
      <c r="I12" t="s">
        <v>112</v>
      </c>
      <c r="J12" t="s">
        <v>206</v>
      </c>
      <c r="K12" t="b">
        <v>1</v>
      </c>
    </row>
    <row r="13" spans="1:11" x14ac:dyDescent="0.35">
      <c r="A13" t="s">
        <v>31</v>
      </c>
      <c r="B13">
        <v>2019</v>
      </c>
      <c r="C13" t="s">
        <v>187</v>
      </c>
      <c r="D13" t="s">
        <v>188</v>
      </c>
      <c r="E13" t="s">
        <v>713</v>
      </c>
      <c r="F13" t="b">
        <v>1</v>
      </c>
      <c r="G13" t="s">
        <v>189</v>
      </c>
      <c r="H13">
        <v>0.9</v>
      </c>
      <c r="I13" t="s">
        <v>112</v>
      </c>
      <c r="J13" t="s">
        <v>206</v>
      </c>
      <c r="K13" t="b">
        <v>1</v>
      </c>
    </row>
    <row r="14" spans="1:11" x14ac:dyDescent="0.35">
      <c r="A14" t="s">
        <v>32</v>
      </c>
      <c r="B14">
        <v>2019</v>
      </c>
      <c r="C14" t="s">
        <v>33</v>
      </c>
      <c r="D14" t="s">
        <v>190</v>
      </c>
      <c r="E14" t="s">
        <v>714</v>
      </c>
      <c r="F14" t="b">
        <v>1</v>
      </c>
      <c r="G14" t="s">
        <v>224</v>
      </c>
      <c r="H14">
        <v>0.9</v>
      </c>
      <c r="I14" t="s">
        <v>112</v>
      </c>
      <c r="J14" t="s">
        <v>206</v>
      </c>
      <c r="K14" t="b">
        <v>1</v>
      </c>
    </row>
    <row r="15" spans="1:11" x14ac:dyDescent="0.35">
      <c r="A15" t="s">
        <v>42</v>
      </c>
      <c r="B15">
        <v>2019</v>
      </c>
      <c r="C15" t="s">
        <v>43</v>
      </c>
      <c r="D15" t="s">
        <v>44</v>
      </c>
      <c r="E15" t="s">
        <v>715</v>
      </c>
      <c r="F15" t="b">
        <v>1</v>
      </c>
      <c r="G15" t="s">
        <v>225</v>
      </c>
      <c r="H15">
        <v>0.9</v>
      </c>
      <c r="I15" t="s">
        <v>112</v>
      </c>
      <c r="J15" t="s">
        <v>206</v>
      </c>
      <c r="K15" t="b">
        <v>1</v>
      </c>
    </row>
    <row r="16" spans="1:11" x14ac:dyDescent="0.35">
      <c r="A16" t="s">
        <v>45</v>
      </c>
      <c r="B16">
        <v>2019</v>
      </c>
      <c r="C16" t="s">
        <v>46</v>
      </c>
      <c r="D16" t="s">
        <v>191</v>
      </c>
      <c r="E16" t="s">
        <v>716</v>
      </c>
      <c r="F16" t="b">
        <v>1</v>
      </c>
      <c r="G16" t="s">
        <v>226</v>
      </c>
      <c r="H16">
        <v>0.9</v>
      </c>
      <c r="I16" t="s">
        <v>112</v>
      </c>
      <c r="J16" t="s">
        <v>206</v>
      </c>
      <c r="K16" t="b">
        <v>1</v>
      </c>
    </row>
    <row r="17" spans="1:11" x14ac:dyDescent="0.35">
      <c r="A17" t="s">
        <v>47</v>
      </c>
      <c r="B17">
        <v>2019</v>
      </c>
      <c r="C17" t="s">
        <v>48</v>
      </c>
      <c r="D17" t="s">
        <v>192</v>
      </c>
      <c r="E17" t="s">
        <v>717</v>
      </c>
      <c r="F17" t="b">
        <v>1</v>
      </c>
      <c r="G17" t="s">
        <v>227</v>
      </c>
      <c r="H17">
        <v>0.9</v>
      </c>
      <c r="I17" t="s">
        <v>112</v>
      </c>
      <c r="J17" t="s">
        <v>206</v>
      </c>
      <c r="K17" t="b">
        <v>1</v>
      </c>
    </row>
    <row r="18" spans="1:11" x14ac:dyDescent="0.35">
      <c r="A18" t="s">
        <v>49</v>
      </c>
      <c r="B18">
        <v>2019</v>
      </c>
      <c r="C18" t="s">
        <v>228</v>
      </c>
      <c r="D18" t="s">
        <v>229</v>
      </c>
      <c r="E18" t="s">
        <v>718</v>
      </c>
      <c r="F18" t="b">
        <v>1</v>
      </c>
      <c r="G18" t="s">
        <v>230</v>
      </c>
      <c r="H18">
        <v>0.9</v>
      </c>
      <c r="I18" t="s">
        <v>112</v>
      </c>
      <c r="J18" t="s">
        <v>206</v>
      </c>
      <c r="K18" t="b">
        <v>1</v>
      </c>
    </row>
    <row r="19" spans="1:11" x14ac:dyDescent="0.35">
      <c r="A19" t="s">
        <v>50</v>
      </c>
      <c r="B19">
        <v>2019</v>
      </c>
      <c r="C19" t="s">
        <v>231</v>
      </c>
      <c r="D19" t="s">
        <v>232</v>
      </c>
      <c r="E19" t="s">
        <v>719</v>
      </c>
      <c r="F19" t="b">
        <v>1</v>
      </c>
      <c r="G19" t="s">
        <v>233</v>
      </c>
      <c r="H19">
        <v>0.9</v>
      </c>
      <c r="I19" t="s">
        <v>112</v>
      </c>
      <c r="J19" t="s">
        <v>206</v>
      </c>
      <c r="K19" t="b">
        <v>1</v>
      </c>
    </row>
    <row r="20" spans="1:11" x14ac:dyDescent="0.35">
      <c r="A20" t="s">
        <v>57</v>
      </c>
      <c r="B20">
        <v>2019</v>
      </c>
      <c r="C20" t="s">
        <v>58</v>
      </c>
      <c r="D20" t="s">
        <v>234</v>
      </c>
      <c r="E20" t="s">
        <v>720</v>
      </c>
      <c r="F20" t="b">
        <v>1</v>
      </c>
      <c r="G20" t="s">
        <v>213</v>
      </c>
      <c r="H20">
        <v>0.9</v>
      </c>
      <c r="I20" t="s">
        <v>112</v>
      </c>
      <c r="J20" t="s">
        <v>206</v>
      </c>
      <c r="K20" t="b">
        <v>1</v>
      </c>
    </row>
    <row r="21" spans="1:11" x14ac:dyDescent="0.35">
      <c r="A21" t="s">
        <v>60</v>
      </c>
      <c r="B21">
        <v>2019</v>
      </c>
      <c r="C21" t="s">
        <v>61</v>
      </c>
      <c r="D21" t="s">
        <v>235</v>
      </c>
      <c r="E21" t="s">
        <v>721</v>
      </c>
      <c r="F21" t="b">
        <v>1</v>
      </c>
      <c r="G21" t="s">
        <v>236</v>
      </c>
      <c r="H21">
        <v>0.9</v>
      </c>
      <c r="I21" t="s">
        <v>112</v>
      </c>
      <c r="J21" t="s">
        <v>206</v>
      </c>
      <c r="K21" t="b">
        <v>1</v>
      </c>
    </row>
    <row r="22" spans="1:11" x14ac:dyDescent="0.35">
      <c r="A22" t="s">
        <v>62</v>
      </c>
      <c r="B22">
        <v>2019</v>
      </c>
      <c r="C22" t="s">
        <v>63</v>
      </c>
      <c r="D22" t="s">
        <v>237</v>
      </c>
      <c r="E22" t="s">
        <v>722</v>
      </c>
      <c r="F22" t="b">
        <v>1</v>
      </c>
      <c r="G22" t="s">
        <v>238</v>
      </c>
      <c r="H22">
        <v>0.9</v>
      </c>
      <c r="I22" t="s">
        <v>112</v>
      </c>
      <c r="J22" t="s">
        <v>206</v>
      </c>
      <c r="K22" t="b">
        <v>1</v>
      </c>
    </row>
    <row r="23" spans="1:11" x14ac:dyDescent="0.35">
      <c r="A23" t="s">
        <v>66</v>
      </c>
      <c r="B23">
        <v>2019</v>
      </c>
      <c r="C23" t="s">
        <v>67</v>
      </c>
      <c r="D23" t="s">
        <v>68</v>
      </c>
      <c r="E23" t="s">
        <v>723</v>
      </c>
      <c r="F23" t="b">
        <v>0</v>
      </c>
      <c r="G23" t="s">
        <v>239</v>
      </c>
      <c r="H23">
        <v>0.9</v>
      </c>
      <c r="I23" t="s">
        <v>112</v>
      </c>
      <c r="J23" t="s">
        <v>206</v>
      </c>
      <c r="K23" t="b">
        <v>1</v>
      </c>
    </row>
    <row r="24" spans="1:11" x14ac:dyDescent="0.35">
      <c r="A24" t="s">
        <v>69</v>
      </c>
      <c r="B24">
        <v>2019</v>
      </c>
      <c r="C24" t="s">
        <v>70</v>
      </c>
      <c r="D24" t="s">
        <v>194</v>
      </c>
      <c r="E24" t="s">
        <v>724</v>
      </c>
      <c r="F24" t="b">
        <v>0</v>
      </c>
      <c r="G24" t="s">
        <v>202</v>
      </c>
      <c r="H24">
        <v>1</v>
      </c>
      <c r="I24" t="s">
        <v>173</v>
      </c>
      <c r="J24" t="s">
        <v>195</v>
      </c>
      <c r="K24" t="b">
        <v>0</v>
      </c>
    </row>
    <row r="25" spans="1:11" ht="409.5" x14ac:dyDescent="0.35">
      <c r="A25" t="s">
        <v>71</v>
      </c>
      <c r="B25">
        <v>2019</v>
      </c>
      <c r="C25" t="s">
        <v>72</v>
      </c>
      <c r="D25" s="1" t="s">
        <v>73</v>
      </c>
      <c r="E25" t="s">
        <v>725</v>
      </c>
      <c r="F25" t="b">
        <v>1</v>
      </c>
      <c r="G25" t="s">
        <v>240</v>
      </c>
      <c r="H25">
        <v>0.9</v>
      </c>
      <c r="I25" t="s">
        <v>112</v>
      </c>
      <c r="J25" t="s">
        <v>206</v>
      </c>
      <c r="K25" t="b">
        <v>1</v>
      </c>
    </row>
    <row r="26" spans="1:11" x14ac:dyDescent="0.35">
      <c r="A26" t="s">
        <v>74</v>
      </c>
      <c r="B26">
        <v>2019</v>
      </c>
      <c r="C26" t="s">
        <v>75</v>
      </c>
      <c r="D26" t="s">
        <v>241</v>
      </c>
      <c r="E26" t="s">
        <v>726</v>
      </c>
      <c r="F26" t="b">
        <v>1</v>
      </c>
      <c r="G26" t="s">
        <v>242</v>
      </c>
      <c r="H26">
        <v>0.9</v>
      </c>
      <c r="I26" t="s">
        <v>112</v>
      </c>
      <c r="J26" t="s">
        <v>206</v>
      </c>
      <c r="K26" t="b">
        <v>1</v>
      </c>
    </row>
    <row r="27" spans="1:11" x14ac:dyDescent="0.35">
      <c r="A27" t="s">
        <v>76</v>
      </c>
      <c r="B27">
        <v>2019</v>
      </c>
      <c r="C27" t="s">
        <v>77</v>
      </c>
      <c r="D27" t="s">
        <v>196</v>
      </c>
      <c r="E27" t="s">
        <v>727</v>
      </c>
      <c r="F27" t="b">
        <v>1</v>
      </c>
      <c r="G27" t="s">
        <v>197</v>
      </c>
      <c r="H27">
        <v>0.9</v>
      </c>
      <c r="I27" t="s">
        <v>112</v>
      </c>
      <c r="J27" t="s">
        <v>206</v>
      </c>
      <c r="K27" t="b">
        <v>1</v>
      </c>
    </row>
    <row r="28" spans="1:11" x14ac:dyDescent="0.35">
      <c r="A28" t="s">
        <v>78</v>
      </c>
      <c r="B28">
        <v>2019</v>
      </c>
      <c r="C28" t="s">
        <v>79</v>
      </c>
      <c r="D28" t="s">
        <v>198</v>
      </c>
      <c r="E28" t="s">
        <v>728</v>
      </c>
      <c r="F28" t="b">
        <v>1</v>
      </c>
      <c r="G28" t="s">
        <v>199</v>
      </c>
      <c r="H28">
        <v>0.9</v>
      </c>
      <c r="I28" t="s">
        <v>112</v>
      </c>
      <c r="J28" t="s">
        <v>206</v>
      </c>
      <c r="K28" t="b">
        <v>1</v>
      </c>
    </row>
    <row r="29" spans="1:11" x14ac:dyDescent="0.35">
      <c r="A29" t="s">
        <v>83</v>
      </c>
      <c r="B29">
        <v>2019</v>
      </c>
      <c r="C29" t="s">
        <v>84</v>
      </c>
      <c r="D29" t="s">
        <v>243</v>
      </c>
      <c r="E29" t="s">
        <v>729</v>
      </c>
      <c r="F29" t="b">
        <v>1</v>
      </c>
      <c r="G29" t="s">
        <v>244</v>
      </c>
      <c r="H29">
        <v>0.9</v>
      </c>
      <c r="I29" t="s">
        <v>112</v>
      </c>
      <c r="J29" t="s">
        <v>206</v>
      </c>
      <c r="K29" t="b">
        <v>1</v>
      </c>
    </row>
    <row r="30" spans="1:11" ht="409.5" x14ac:dyDescent="0.35">
      <c r="A30" t="s">
        <v>85</v>
      </c>
      <c r="B30">
        <v>2019</v>
      </c>
      <c r="C30" t="s">
        <v>86</v>
      </c>
      <c r="D30" s="1" t="s">
        <v>87</v>
      </c>
      <c r="E30" t="s">
        <v>730</v>
      </c>
      <c r="F30" t="b">
        <v>1</v>
      </c>
      <c r="G30" t="s">
        <v>200</v>
      </c>
      <c r="H30">
        <v>0.9</v>
      </c>
      <c r="I30" t="s">
        <v>112</v>
      </c>
      <c r="J30" t="s">
        <v>206</v>
      </c>
      <c r="K30" t="b">
        <v>1</v>
      </c>
    </row>
    <row r="31" spans="1:11" x14ac:dyDescent="0.35">
      <c r="A31" t="s">
        <v>89</v>
      </c>
      <c r="B31">
        <v>2019</v>
      </c>
      <c r="C31" t="s">
        <v>90</v>
      </c>
      <c r="D31" t="s">
        <v>201</v>
      </c>
      <c r="E31" t="s">
        <v>731</v>
      </c>
      <c r="F31" t="b">
        <v>0</v>
      </c>
      <c r="G31" t="s">
        <v>245</v>
      </c>
      <c r="H31">
        <v>1</v>
      </c>
      <c r="I31" t="s">
        <v>173</v>
      </c>
      <c r="J31" t="s">
        <v>195</v>
      </c>
      <c r="K31" t="b">
        <v>0</v>
      </c>
    </row>
    <row r="32" spans="1:11" x14ac:dyDescent="0.35">
      <c r="A32" t="s">
        <v>91</v>
      </c>
      <c r="B32">
        <v>2019</v>
      </c>
      <c r="C32" t="s">
        <v>92</v>
      </c>
      <c r="D32" t="s">
        <v>93</v>
      </c>
      <c r="E32" t="s">
        <v>732</v>
      </c>
      <c r="F32" t="b">
        <v>1</v>
      </c>
      <c r="G32" t="s">
        <v>246</v>
      </c>
      <c r="H32">
        <v>0.8</v>
      </c>
      <c r="I32" t="s">
        <v>112</v>
      </c>
      <c r="J32" t="s">
        <v>206</v>
      </c>
      <c r="K32" t="b">
        <v>1</v>
      </c>
    </row>
    <row r="33" spans="1:11" x14ac:dyDescent="0.35">
      <c r="A33" t="s">
        <v>94</v>
      </c>
      <c r="B33">
        <v>2019</v>
      </c>
      <c r="C33" t="s">
        <v>95</v>
      </c>
      <c r="D33" t="s">
        <v>96</v>
      </c>
      <c r="E33" t="s">
        <v>733</v>
      </c>
      <c r="F33" t="b">
        <v>1</v>
      </c>
      <c r="G33" t="s">
        <v>203</v>
      </c>
      <c r="H33">
        <v>0.9</v>
      </c>
      <c r="I33" t="s">
        <v>112</v>
      </c>
      <c r="J33" t="s">
        <v>206</v>
      </c>
      <c r="K33" t="b">
        <v>1</v>
      </c>
    </row>
    <row r="34" spans="1:11" x14ac:dyDescent="0.35">
      <c r="A34" t="s">
        <v>97</v>
      </c>
      <c r="B34">
        <v>2019</v>
      </c>
      <c r="C34" t="s">
        <v>98</v>
      </c>
      <c r="D34" t="s">
        <v>204</v>
      </c>
      <c r="E34" t="s">
        <v>734</v>
      </c>
      <c r="F34" t="b">
        <v>0</v>
      </c>
      <c r="G34" t="s">
        <v>205</v>
      </c>
      <c r="H34">
        <v>0.9</v>
      </c>
      <c r="I34" t="s">
        <v>173</v>
      </c>
      <c r="J34" t="s">
        <v>207</v>
      </c>
      <c r="K34" t="b">
        <v>0</v>
      </c>
    </row>
    <row r="35" spans="1:11" x14ac:dyDescent="0.35">
      <c r="A35" t="s">
        <v>99</v>
      </c>
      <c r="B35">
        <v>2019</v>
      </c>
      <c r="C35" t="s">
        <v>100</v>
      </c>
      <c r="D35" t="s">
        <v>101</v>
      </c>
      <c r="E35" t="s">
        <v>735</v>
      </c>
      <c r="F35" t="b">
        <v>1</v>
      </c>
      <c r="G35" t="s">
        <v>247</v>
      </c>
      <c r="H35">
        <v>0.9</v>
      </c>
      <c r="I35" t="s">
        <v>112</v>
      </c>
      <c r="J35" t="s">
        <v>206</v>
      </c>
      <c r="K35" t="b">
        <v>1</v>
      </c>
    </row>
    <row r="36" spans="1:11" x14ac:dyDescent="0.35">
      <c r="A36" t="s">
        <v>103</v>
      </c>
      <c r="B36">
        <v>2019</v>
      </c>
      <c r="C36" t="s">
        <v>104</v>
      </c>
      <c r="D36" t="s">
        <v>105</v>
      </c>
      <c r="E36" t="s">
        <v>736</v>
      </c>
      <c r="F36" t="b">
        <v>1</v>
      </c>
      <c r="G36" t="s">
        <v>248</v>
      </c>
      <c r="H36">
        <v>0.9</v>
      </c>
      <c r="I36" t="s">
        <v>112</v>
      </c>
      <c r="J36" t="s">
        <v>206</v>
      </c>
      <c r="K36" t="b">
        <v>1</v>
      </c>
    </row>
    <row r="37" spans="1:11" x14ac:dyDescent="0.35">
      <c r="A37" t="s">
        <v>106</v>
      </c>
      <c r="B37">
        <v>2019</v>
      </c>
      <c r="C37" t="s">
        <v>107</v>
      </c>
      <c r="D37" t="s">
        <v>249</v>
      </c>
      <c r="E37" t="s">
        <v>737</v>
      </c>
      <c r="F37" t="b">
        <v>1</v>
      </c>
      <c r="G37" t="s">
        <v>250</v>
      </c>
      <c r="H37">
        <v>0.9</v>
      </c>
      <c r="I37" t="s">
        <v>112</v>
      </c>
      <c r="J37" t="s">
        <v>206</v>
      </c>
      <c r="K37" t="b">
        <v>1</v>
      </c>
    </row>
    <row r="38" spans="1:11" x14ac:dyDescent="0.35">
      <c r="A38" t="s">
        <v>251</v>
      </c>
      <c r="B38">
        <v>2019</v>
      </c>
      <c r="C38" t="s">
        <v>252</v>
      </c>
      <c r="D38" t="s">
        <v>253</v>
      </c>
      <c r="E38" t="s">
        <v>738</v>
      </c>
      <c r="F38" t="b">
        <v>1</v>
      </c>
      <c r="G38" t="s">
        <v>739</v>
      </c>
      <c r="H38">
        <v>0.9</v>
      </c>
      <c r="I38" t="s">
        <v>112</v>
      </c>
      <c r="J38" t="s">
        <v>206</v>
      </c>
      <c r="K38" t="b">
        <v>1</v>
      </c>
    </row>
    <row r="39" spans="1:11" x14ac:dyDescent="0.35">
      <c r="A39" t="s">
        <v>254</v>
      </c>
      <c r="B39">
        <v>2019</v>
      </c>
      <c r="C39" t="s">
        <v>740</v>
      </c>
      <c r="D39" t="s">
        <v>741</v>
      </c>
      <c r="E39" t="s">
        <v>742</v>
      </c>
      <c r="F39" t="b">
        <v>1</v>
      </c>
      <c r="G39" t="s">
        <v>743</v>
      </c>
      <c r="H39">
        <v>0.9</v>
      </c>
      <c r="I39" t="s">
        <v>112</v>
      </c>
      <c r="J39" t="s">
        <v>206</v>
      </c>
      <c r="K39" t="b">
        <v>1</v>
      </c>
    </row>
    <row r="40" spans="1:11" x14ac:dyDescent="0.35">
      <c r="A40" t="s">
        <v>260</v>
      </c>
      <c r="B40">
        <v>2019</v>
      </c>
      <c r="C40" t="s">
        <v>261</v>
      </c>
      <c r="D40" t="s">
        <v>744</v>
      </c>
      <c r="E40" t="s">
        <v>745</v>
      </c>
      <c r="F40" t="b">
        <v>0</v>
      </c>
      <c r="G40" t="s">
        <v>746</v>
      </c>
      <c r="H40">
        <v>0.6</v>
      </c>
      <c r="I40" t="s">
        <v>112</v>
      </c>
      <c r="J40" t="s">
        <v>206</v>
      </c>
      <c r="K40" t="b">
        <v>1</v>
      </c>
    </row>
    <row r="41" spans="1:11" x14ac:dyDescent="0.35">
      <c r="A41" t="s">
        <v>263</v>
      </c>
      <c r="B41">
        <v>2019</v>
      </c>
      <c r="C41" t="s">
        <v>264</v>
      </c>
      <c r="D41" t="s">
        <v>265</v>
      </c>
      <c r="E41" t="s">
        <v>747</v>
      </c>
      <c r="F41" t="b">
        <v>0</v>
      </c>
      <c r="G41" t="s">
        <v>748</v>
      </c>
      <c r="H41">
        <v>0.5</v>
      </c>
      <c r="I41" t="s">
        <v>112</v>
      </c>
      <c r="J41" t="s">
        <v>206</v>
      </c>
      <c r="K41" t="b">
        <v>1</v>
      </c>
    </row>
    <row r="42" spans="1:11" x14ac:dyDescent="0.35">
      <c r="A42" t="s">
        <v>266</v>
      </c>
      <c r="B42">
        <v>2019</v>
      </c>
      <c r="C42" t="s">
        <v>267</v>
      </c>
      <c r="D42" t="s">
        <v>268</v>
      </c>
      <c r="E42" t="s">
        <v>749</v>
      </c>
      <c r="F42" t="b">
        <v>0</v>
      </c>
      <c r="G42" t="s">
        <v>750</v>
      </c>
      <c r="H42">
        <v>0.8</v>
      </c>
      <c r="I42" t="s">
        <v>112</v>
      </c>
      <c r="J42" t="s">
        <v>206</v>
      </c>
      <c r="K42" t="b">
        <v>1</v>
      </c>
    </row>
    <row r="43" spans="1:11" x14ac:dyDescent="0.35">
      <c r="A43" t="s">
        <v>269</v>
      </c>
      <c r="B43">
        <v>2019</v>
      </c>
      <c r="C43" t="s">
        <v>270</v>
      </c>
      <c r="D43" t="s">
        <v>752</v>
      </c>
      <c r="E43" t="s">
        <v>753</v>
      </c>
      <c r="F43" t="b">
        <v>1</v>
      </c>
      <c r="G43" t="s">
        <v>754</v>
      </c>
      <c r="H43">
        <v>0.8</v>
      </c>
      <c r="I43" t="s">
        <v>112</v>
      </c>
      <c r="J43" t="s">
        <v>206</v>
      </c>
      <c r="K43" t="b">
        <v>1</v>
      </c>
    </row>
    <row r="44" spans="1:11" x14ac:dyDescent="0.35">
      <c r="A44" t="s">
        <v>272</v>
      </c>
      <c r="B44">
        <v>2019</v>
      </c>
      <c r="C44" t="s">
        <v>273</v>
      </c>
      <c r="D44" t="s">
        <v>755</v>
      </c>
      <c r="E44" t="s">
        <v>756</v>
      </c>
      <c r="F44" t="b">
        <v>1</v>
      </c>
      <c r="G44" t="s">
        <v>757</v>
      </c>
      <c r="H44">
        <v>0.9</v>
      </c>
      <c r="I44" t="s">
        <v>112</v>
      </c>
      <c r="J44" t="s">
        <v>206</v>
      </c>
      <c r="K44" t="b">
        <v>1</v>
      </c>
    </row>
    <row r="45" spans="1:11" x14ac:dyDescent="0.35">
      <c r="A45" t="s">
        <v>275</v>
      </c>
      <c r="B45">
        <v>2019</v>
      </c>
      <c r="C45" t="s">
        <v>276</v>
      </c>
      <c r="D45" t="s">
        <v>277</v>
      </c>
      <c r="E45" t="s">
        <v>758</v>
      </c>
      <c r="F45" t="b">
        <v>1</v>
      </c>
      <c r="G45" t="s">
        <v>759</v>
      </c>
      <c r="H45">
        <v>0.9</v>
      </c>
      <c r="I45" t="s">
        <v>112</v>
      </c>
      <c r="J45" t="s">
        <v>206</v>
      </c>
      <c r="K45" t="b">
        <v>1</v>
      </c>
    </row>
    <row r="46" spans="1:11" x14ac:dyDescent="0.35">
      <c r="A46" t="s">
        <v>281</v>
      </c>
      <c r="B46">
        <v>2019</v>
      </c>
      <c r="C46" t="s">
        <v>282</v>
      </c>
      <c r="D46" t="s">
        <v>760</v>
      </c>
      <c r="E46" t="s">
        <v>761</v>
      </c>
      <c r="F46" t="b">
        <v>1</v>
      </c>
      <c r="G46" t="s">
        <v>762</v>
      </c>
      <c r="H46">
        <v>0.9</v>
      </c>
      <c r="I46" t="s">
        <v>112</v>
      </c>
      <c r="J46" t="s">
        <v>206</v>
      </c>
      <c r="K46" t="b">
        <v>1</v>
      </c>
    </row>
    <row r="47" spans="1:11" x14ac:dyDescent="0.35">
      <c r="A47" t="s">
        <v>284</v>
      </c>
      <c r="B47">
        <v>2019</v>
      </c>
      <c r="C47" t="s">
        <v>285</v>
      </c>
      <c r="D47" t="s">
        <v>763</v>
      </c>
      <c r="E47" t="s">
        <v>764</v>
      </c>
      <c r="F47" t="b">
        <v>1</v>
      </c>
      <c r="G47" t="s">
        <v>765</v>
      </c>
      <c r="H47">
        <v>0.9</v>
      </c>
      <c r="I47" t="s">
        <v>112</v>
      </c>
      <c r="J47" t="s">
        <v>206</v>
      </c>
      <c r="K47" t="b">
        <v>1</v>
      </c>
    </row>
    <row r="48" spans="1:11" x14ac:dyDescent="0.35">
      <c r="A48" t="s">
        <v>287</v>
      </c>
      <c r="B48">
        <v>2019</v>
      </c>
      <c r="C48" t="s">
        <v>288</v>
      </c>
      <c r="D48" t="s">
        <v>289</v>
      </c>
      <c r="E48" t="s">
        <v>766</v>
      </c>
      <c r="F48" t="b">
        <v>0</v>
      </c>
      <c r="G48" t="s">
        <v>767</v>
      </c>
      <c r="H48">
        <v>1</v>
      </c>
      <c r="I48" t="s">
        <v>173</v>
      </c>
      <c r="J48" t="s">
        <v>195</v>
      </c>
      <c r="K48" t="b">
        <v>0</v>
      </c>
    </row>
    <row r="49" spans="1:11" x14ac:dyDescent="0.35">
      <c r="A49" t="s">
        <v>293</v>
      </c>
      <c r="B49">
        <v>2019</v>
      </c>
      <c r="C49" t="s">
        <v>294</v>
      </c>
      <c r="D49" t="s">
        <v>295</v>
      </c>
      <c r="E49" t="s">
        <v>768</v>
      </c>
      <c r="F49" t="b">
        <v>0</v>
      </c>
      <c r="G49" t="s">
        <v>769</v>
      </c>
      <c r="H49">
        <v>0.5</v>
      </c>
      <c r="I49" t="s">
        <v>112</v>
      </c>
      <c r="J49" t="s">
        <v>206</v>
      </c>
      <c r="K49" t="b">
        <v>1</v>
      </c>
    </row>
    <row r="50" spans="1:11" x14ac:dyDescent="0.35">
      <c r="A50" t="s">
        <v>296</v>
      </c>
      <c r="B50">
        <v>2019</v>
      </c>
      <c r="C50" t="s">
        <v>297</v>
      </c>
      <c r="D50" t="s">
        <v>770</v>
      </c>
      <c r="E50" t="s">
        <v>771</v>
      </c>
      <c r="F50" t="b">
        <v>0</v>
      </c>
      <c r="G50" t="s">
        <v>772</v>
      </c>
      <c r="H50">
        <v>0.9</v>
      </c>
      <c r="I50" t="s">
        <v>112</v>
      </c>
      <c r="J50" t="s">
        <v>206</v>
      </c>
      <c r="K50" t="b">
        <v>1</v>
      </c>
    </row>
    <row r="51" spans="1:11" x14ac:dyDescent="0.35">
      <c r="A51" t="s">
        <v>299</v>
      </c>
      <c r="B51">
        <v>2019</v>
      </c>
      <c r="C51" t="s">
        <v>773</v>
      </c>
      <c r="D51" t="s">
        <v>774</v>
      </c>
      <c r="E51" t="s">
        <v>775</v>
      </c>
      <c r="F51" t="b">
        <v>1</v>
      </c>
      <c r="G51" t="s">
        <v>776</v>
      </c>
      <c r="H51">
        <v>0.9</v>
      </c>
      <c r="I51" t="s">
        <v>112</v>
      </c>
      <c r="J51" t="s">
        <v>206</v>
      </c>
      <c r="K51" t="b">
        <v>1</v>
      </c>
    </row>
    <row r="52" spans="1:11" x14ac:dyDescent="0.35">
      <c r="A52" t="s">
        <v>308</v>
      </c>
      <c r="B52">
        <v>2019</v>
      </c>
      <c r="C52" t="s">
        <v>777</v>
      </c>
      <c r="D52" t="s">
        <v>778</v>
      </c>
      <c r="E52" t="s">
        <v>779</v>
      </c>
      <c r="F52" t="b">
        <v>1</v>
      </c>
      <c r="G52" t="s">
        <v>189</v>
      </c>
      <c r="H52">
        <v>0.9</v>
      </c>
      <c r="I52" t="s">
        <v>112</v>
      </c>
      <c r="J52" t="s">
        <v>206</v>
      </c>
      <c r="K52" t="b">
        <v>1</v>
      </c>
    </row>
    <row r="53" spans="1:11" ht="409.5" x14ac:dyDescent="0.35">
      <c r="A53" t="s">
        <v>311</v>
      </c>
      <c r="B53">
        <v>2019</v>
      </c>
      <c r="C53" t="s">
        <v>312</v>
      </c>
      <c r="D53" s="1" t="s">
        <v>313</v>
      </c>
      <c r="E53" t="s">
        <v>780</v>
      </c>
      <c r="F53" t="b">
        <v>1</v>
      </c>
      <c r="G53" t="s">
        <v>781</v>
      </c>
      <c r="H53">
        <v>0.9</v>
      </c>
      <c r="I53" t="s">
        <v>112</v>
      </c>
      <c r="J53" t="s">
        <v>206</v>
      </c>
      <c r="K53" t="b">
        <v>1</v>
      </c>
    </row>
    <row r="54" spans="1:11" x14ac:dyDescent="0.35">
      <c r="A54" t="s">
        <v>317</v>
      </c>
      <c r="B54">
        <v>2019</v>
      </c>
      <c r="C54" t="s">
        <v>318</v>
      </c>
      <c r="D54" t="s">
        <v>319</v>
      </c>
      <c r="E54" t="s">
        <v>782</v>
      </c>
      <c r="F54" t="b">
        <v>0</v>
      </c>
      <c r="G54" t="s">
        <v>783</v>
      </c>
      <c r="H54">
        <v>1</v>
      </c>
      <c r="I54" t="s">
        <v>173</v>
      </c>
      <c r="J54" t="s">
        <v>195</v>
      </c>
      <c r="K54" t="b">
        <v>0</v>
      </c>
    </row>
    <row r="55" spans="1:11" x14ac:dyDescent="0.35">
      <c r="A55" t="s">
        <v>320</v>
      </c>
      <c r="B55">
        <v>2019</v>
      </c>
      <c r="C55" t="s">
        <v>321</v>
      </c>
      <c r="D55" t="s">
        <v>322</v>
      </c>
      <c r="E55" t="s">
        <v>784</v>
      </c>
      <c r="F55" t="b">
        <v>1</v>
      </c>
      <c r="G55" t="s">
        <v>785</v>
      </c>
      <c r="H55">
        <v>0.9</v>
      </c>
      <c r="I55" t="s">
        <v>112</v>
      </c>
      <c r="J55" t="s">
        <v>206</v>
      </c>
      <c r="K55" t="b">
        <v>1</v>
      </c>
    </row>
    <row r="56" spans="1:11" x14ac:dyDescent="0.35">
      <c r="A56" t="s">
        <v>323</v>
      </c>
      <c r="B56">
        <v>2019</v>
      </c>
      <c r="C56" t="s">
        <v>324</v>
      </c>
      <c r="D56" t="s">
        <v>786</v>
      </c>
      <c r="E56" t="s">
        <v>787</v>
      </c>
      <c r="F56" t="b">
        <v>1</v>
      </c>
      <c r="G56" t="s">
        <v>788</v>
      </c>
      <c r="H56">
        <v>0.9</v>
      </c>
      <c r="I56" t="s">
        <v>112</v>
      </c>
      <c r="J56" t="s">
        <v>206</v>
      </c>
      <c r="K56" t="b">
        <v>1</v>
      </c>
    </row>
    <row r="57" spans="1:11" x14ac:dyDescent="0.35">
      <c r="A57" t="s">
        <v>326</v>
      </c>
      <c r="B57">
        <v>2019</v>
      </c>
      <c r="C57" t="s">
        <v>327</v>
      </c>
      <c r="D57" t="s">
        <v>789</v>
      </c>
      <c r="E57" t="s">
        <v>790</v>
      </c>
      <c r="F57" t="b">
        <v>0</v>
      </c>
      <c r="G57" t="s">
        <v>202</v>
      </c>
      <c r="H57">
        <v>1</v>
      </c>
      <c r="I57" t="s">
        <v>173</v>
      </c>
      <c r="J57" t="s">
        <v>195</v>
      </c>
      <c r="K57" t="b">
        <v>0</v>
      </c>
    </row>
    <row r="58" spans="1:11" x14ac:dyDescent="0.35">
      <c r="A58" t="s">
        <v>341</v>
      </c>
      <c r="B58">
        <v>2019</v>
      </c>
      <c r="C58" t="s">
        <v>342</v>
      </c>
      <c r="D58" t="s">
        <v>343</v>
      </c>
      <c r="E58" t="s">
        <v>791</v>
      </c>
      <c r="F58" t="b">
        <v>0</v>
      </c>
      <c r="G58" t="s">
        <v>750</v>
      </c>
      <c r="H58">
        <v>0.8</v>
      </c>
      <c r="I58" t="s">
        <v>112</v>
      </c>
      <c r="J58" t="s">
        <v>695</v>
      </c>
      <c r="K58" t="b">
        <v>1</v>
      </c>
    </row>
    <row r="59" spans="1:11" x14ac:dyDescent="0.35">
      <c r="A59" t="s">
        <v>347</v>
      </c>
      <c r="B59">
        <v>2019</v>
      </c>
      <c r="C59" t="s">
        <v>348</v>
      </c>
      <c r="D59" t="s">
        <v>792</v>
      </c>
      <c r="E59" t="s">
        <v>793</v>
      </c>
      <c r="F59" t="b">
        <v>1</v>
      </c>
      <c r="G59" t="s">
        <v>794</v>
      </c>
      <c r="H59">
        <v>0.9</v>
      </c>
      <c r="I59" t="s">
        <v>112</v>
      </c>
      <c r="J59" t="s">
        <v>206</v>
      </c>
      <c r="K59" t="b">
        <v>1</v>
      </c>
    </row>
    <row r="60" spans="1:11" x14ac:dyDescent="0.35">
      <c r="A60" t="s">
        <v>356</v>
      </c>
      <c r="B60">
        <v>2019</v>
      </c>
      <c r="C60" t="s">
        <v>357</v>
      </c>
      <c r="D60" t="s">
        <v>795</v>
      </c>
      <c r="E60" t="s">
        <v>796</v>
      </c>
      <c r="F60" t="b">
        <v>1</v>
      </c>
      <c r="G60" t="s">
        <v>797</v>
      </c>
      <c r="H60">
        <v>0.9</v>
      </c>
      <c r="I60" t="s">
        <v>112</v>
      </c>
      <c r="J60" t="s">
        <v>206</v>
      </c>
      <c r="K60" t="b">
        <v>1</v>
      </c>
    </row>
    <row r="61" spans="1:11" ht="409.5" x14ac:dyDescent="0.35">
      <c r="A61" t="s">
        <v>359</v>
      </c>
      <c r="B61">
        <v>2019</v>
      </c>
      <c r="C61" t="s">
        <v>360</v>
      </c>
      <c r="D61" s="1" t="s">
        <v>361</v>
      </c>
      <c r="E61" t="s">
        <v>798</v>
      </c>
      <c r="F61" t="b">
        <v>1</v>
      </c>
      <c r="G61" t="s">
        <v>799</v>
      </c>
      <c r="H61">
        <v>0.8</v>
      </c>
      <c r="I61" t="s">
        <v>112</v>
      </c>
      <c r="J61" t="s">
        <v>206</v>
      </c>
      <c r="K61" t="b">
        <v>1</v>
      </c>
    </row>
    <row r="62" spans="1:11" x14ac:dyDescent="0.35">
      <c r="A62" t="s">
        <v>362</v>
      </c>
      <c r="B62">
        <v>2019</v>
      </c>
      <c r="C62" t="s">
        <v>363</v>
      </c>
      <c r="D62" t="s">
        <v>800</v>
      </c>
      <c r="E62" t="s">
        <v>801</v>
      </c>
      <c r="F62" t="b">
        <v>0</v>
      </c>
      <c r="G62" t="s">
        <v>802</v>
      </c>
      <c r="H62">
        <v>0.5</v>
      </c>
      <c r="I62" t="s">
        <v>112</v>
      </c>
      <c r="J62" t="s">
        <v>206</v>
      </c>
      <c r="K62" t="b">
        <v>1</v>
      </c>
    </row>
    <row r="63" spans="1:11" x14ac:dyDescent="0.35">
      <c r="A63" t="s">
        <v>368</v>
      </c>
      <c r="B63">
        <v>2019</v>
      </c>
      <c r="C63" t="s">
        <v>369</v>
      </c>
      <c r="D63" t="s">
        <v>803</v>
      </c>
      <c r="E63" t="s">
        <v>804</v>
      </c>
      <c r="F63" t="b">
        <v>1</v>
      </c>
      <c r="G63" t="s">
        <v>805</v>
      </c>
      <c r="H63">
        <v>0.9</v>
      </c>
      <c r="I63" t="s">
        <v>112</v>
      </c>
      <c r="J63" t="s">
        <v>206</v>
      </c>
      <c r="K63" t="b">
        <v>1</v>
      </c>
    </row>
    <row r="64" spans="1:11" x14ac:dyDescent="0.35">
      <c r="A64" t="s">
        <v>374</v>
      </c>
      <c r="B64">
        <v>2019</v>
      </c>
      <c r="C64" t="s">
        <v>375</v>
      </c>
      <c r="D64" t="s">
        <v>376</v>
      </c>
      <c r="E64" t="s">
        <v>806</v>
      </c>
      <c r="F64" t="b">
        <v>0</v>
      </c>
      <c r="G64" t="s">
        <v>807</v>
      </c>
      <c r="H64">
        <v>0.5</v>
      </c>
      <c r="I64" t="s">
        <v>112</v>
      </c>
      <c r="J64" t="s">
        <v>206</v>
      </c>
      <c r="K64" t="b">
        <v>1</v>
      </c>
    </row>
    <row r="65" spans="1:11" x14ac:dyDescent="0.35">
      <c r="A65" t="s">
        <v>377</v>
      </c>
      <c r="B65">
        <v>2019</v>
      </c>
      <c r="C65" t="s">
        <v>378</v>
      </c>
      <c r="D65" t="s">
        <v>379</v>
      </c>
      <c r="E65" t="s">
        <v>808</v>
      </c>
      <c r="F65" t="b">
        <v>1</v>
      </c>
      <c r="G65" t="s">
        <v>809</v>
      </c>
      <c r="H65">
        <v>0.9</v>
      </c>
      <c r="I65" t="s">
        <v>112</v>
      </c>
      <c r="J65" t="s">
        <v>206</v>
      </c>
      <c r="K65" t="b">
        <v>1</v>
      </c>
    </row>
    <row r="66" spans="1:11" x14ac:dyDescent="0.35">
      <c r="A66" t="s">
        <v>380</v>
      </c>
      <c r="B66">
        <v>2019</v>
      </c>
      <c r="C66" t="s">
        <v>381</v>
      </c>
      <c r="D66" t="s">
        <v>382</v>
      </c>
      <c r="E66" t="s">
        <v>810</v>
      </c>
      <c r="F66" t="b">
        <v>1</v>
      </c>
      <c r="G66" t="s">
        <v>811</v>
      </c>
      <c r="H66">
        <v>0.9</v>
      </c>
      <c r="I66" t="s">
        <v>112</v>
      </c>
      <c r="J66" t="s">
        <v>206</v>
      </c>
      <c r="K66" t="b">
        <v>1</v>
      </c>
    </row>
    <row r="67" spans="1:11" x14ac:dyDescent="0.35">
      <c r="A67" t="s">
        <v>383</v>
      </c>
      <c r="B67">
        <v>2019</v>
      </c>
      <c r="C67" t="s">
        <v>384</v>
      </c>
      <c r="D67" t="s">
        <v>812</v>
      </c>
      <c r="E67" t="s">
        <v>813</v>
      </c>
      <c r="F67" t="b">
        <v>1</v>
      </c>
      <c r="G67" t="s">
        <v>757</v>
      </c>
      <c r="H67">
        <v>0.9</v>
      </c>
      <c r="I67" t="s">
        <v>112</v>
      </c>
      <c r="J67" t="s">
        <v>206</v>
      </c>
      <c r="K67" t="b">
        <v>1</v>
      </c>
    </row>
    <row r="68" spans="1:11" x14ac:dyDescent="0.35">
      <c r="A68" t="s">
        <v>392</v>
      </c>
      <c r="B68">
        <v>2019</v>
      </c>
      <c r="C68" t="s">
        <v>393</v>
      </c>
      <c r="D68" t="s">
        <v>814</v>
      </c>
      <c r="E68" t="s">
        <v>815</v>
      </c>
      <c r="F68" t="b">
        <v>1</v>
      </c>
      <c r="G68" t="s">
        <v>816</v>
      </c>
      <c r="H68">
        <v>0.9</v>
      </c>
      <c r="I68" t="s">
        <v>112</v>
      </c>
      <c r="J68" t="s">
        <v>206</v>
      </c>
      <c r="K68" t="b">
        <v>1</v>
      </c>
    </row>
    <row r="69" spans="1:11" x14ac:dyDescent="0.35">
      <c r="A69" t="s">
        <v>395</v>
      </c>
      <c r="B69">
        <v>2019</v>
      </c>
      <c r="C69" t="s">
        <v>396</v>
      </c>
      <c r="D69" t="s">
        <v>817</v>
      </c>
      <c r="E69" t="s">
        <v>818</v>
      </c>
      <c r="F69" t="b">
        <v>1</v>
      </c>
      <c r="G69" t="s">
        <v>819</v>
      </c>
      <c r="H69">
        <v>0.9</v>
      </c>
      <c r="I69" t="s">
        <v>112</v>
      </c>
      <c r="J69" t="s">
        <v>206</v>
      </c>
      <c r="K69" t="b">
        <v>1</v>
      </c>
    </row>
    <row r="70" spans="1:11" x14ac:dyDescent="0.35">
      <c r="A70" t="s">
        <v>398</v>
      </c>
      <c r="B70">
        <v>2021</v>
      </c>
      <c r="C70" t="s">
        <v>399</v>
      </c>
      <c r="D70" t="s">
        <v>820</v>
      </c>
      <c r="E70" t="s">
        <v>821</v>
      </c>
      <c r="F70" t="b">
        <v>1</v>
      </c>
      <c r="G70" t="s">
        <v>822</v>
      </c>
      <c r="H70">
        <v>0.9</v>
      </c>
      <c r="I70" t="s">
        <v>112</v>
      </c>
      <c r="J70" t="s">
        <v>206</v>
      </c>
      <c r="K70" t="b">
        <v>1</v>
      </c>
    </row>
    <row r="71" spans="1:11" x14ac:dyDescent="0.35">
      <c r="A71" t="s">
        <v>404</v>
      </c>
      <c r="B71">
        <v>2021</v>
      </c>
      <c r="C71" t="s">
        <v>405</v>
      </c>
      <c r="D71" t="s">
        <v>406</v>
      </c>
      <c r="E71" t="s">
        <v>823</v>
      </c>
      <c r="F71" t="b">
        <v>0</v>
      </c>
      <c r="G71" t="s">
        <v>824</v>
      </c>
      <c r="H71">
        <v>0.6</v>
      </c>
      <c r="I71" t="s">
        <v>112</v>
      </c>
      <c r="J71" t="s">
        <v>206</v>
      </c>
      <c r="K71" t="b">
        <v>1</v>
      </c>
    </row>
    <row r="72" spans="1:11" x14ac:dyDescent="0.35">
      <c r="A72" t="s">
        <v>407</v>
      </c>
      <c r="B72">
        <v>2021</v>
      </c>
      <c r="C72" t="s">
        <v>825</v>
      </c>
      <c r="D72" t="s">
        <v>826</v>
      </c>
      <c r="E72" t="s">
        <v>827</v>
      </c>
      <c r="F72" t="b">
        <v>1</v>
      </c>
      <c r="G72" t="s">
        <v>213</v>
      </c>
      <c r="H72">
        <v>0.9</v>
      </c>
      <c r="I72" t="s">
        <v>112</v>
      </c>
      <c r="J72" t="s">
        <v>206</v>
      </c>
      <c r="K72" t="b">
        <v>1</v>
      </c>
    </row>
    <row r="73" spans="1:11" x14ac:dyDescent="0.35">
      <c r="A73" t="s">
        <v>410</v>
      </c>
      <c r="B73">
        <v>2021</v>
      </c>
      <c r="C73" t="s">
        <v>411</v>
      </c>
      <c r="D73" t="s">
        <v>828</v>
      </c>
      <c r="E73" t="s">
        <v>829</v>
      </c>
      <c r="F73" t="b">
        <v>0</v>
      </c>
      <c r="G73" t="s">
        <v>830</v>
      </c>
      <c r="H73">
        <v>0.8</v>
      </c>
      <c r="I73" t="s">
        <v>112</v>
      </c>
      <c r="J73" t="s">
        <v>206</v>
      </c>
      <c r="K73" t="b">
        <v>1</v>
      </c>
    </row>
    <row r="74" spans="1:11" x14ac:dyDescent="0.35">
      <c r="A74" t="s">
        <v>413</v>
      </c>
      <c r="B74">
        <v>2021</v>
      </c>
      <c r="C74" t="s">
        <v>831</v>
      </c>
      <c r="D74" t="s">
        <v>832</v>
      </c>
      <c r="E74" t="s">
        <v>833</v>
      </c>
      <c r="F74" t="b">
        <v>1</v>
      </c>
      <c r="G74" t="s">
        <v>834</v>
      </c>
      <c r="H74">
        <v>0.9</v>
      </c>
      <c r="I74" t="s">
        <v>112</v>
      </c>
      <c r="J74" t="s">
        <v>206</v>
      </c>
      <c r="K74" t="b">
        <v>1</v>
      </c>
    </row>
    <row r="75" spans="1:11" x14ac:dyDescent="0.35">
      <c r="A75" t="s">
        <v>416</v>
      </c>
      <c r="B75">
        <v>2021</v>
      </c>
      <c r="C75" t="s">
        <v>417</v>
      </c>
      <c r="D75" t="s">
        <v>418</v>
      </c>
      <c r="E75" t="s">
        <v>835</v>
      </c>
      <c r="F75" t="b">
        <v>0</v>
      </c>
      <c r="G75" t="s">
        <v>836</v>
      </c>
      <c r="H75">
        <v>0.5</v>
      </c>
      <c r="I75" t="s">
        <v>112</v>
      </c>
      <c r="J75" t="s">
        <v>206</v>
      </c>
      <c r="K75" t="b">
        <v>1</v>
      </c>
    </row>
    <row r="76" spans="1:11" x14ac:dyDescent="0.35">
      <c r="A76" t="s">
        <v>428</v>
      </c>
      <c r="B76">
        <v>2021</v>
      </c>
      <c r="C76" t="s">
        <v>429</v>
      </c>
      <c r="D76" t="s">
        <v>837</v>
      </c>
      <c r="E76" t="s">
        <v>838</v>
      </c>
      <c r="F76" t="b">
        <v>1</v>
      </c>
      <c r="G76" t="s">
        <v>839</v>
      </c>
      <c r="H76">
        <v>0.8</v>
      </c>
      <c r="I76" t="s">
        <v>112</v>
      </c>
      <c r="J76" t="s">
        <v>206</v>
      </c>
      <c r="K76" t="b">
        <v>1</v>
      </c>
    </row>
    <row r="77" spans="1:11" x14ac:dyDescent="0.35">
      <c r="A77" t="s">
        <v>431</v>
      </c>
      <c r="B77">
        <v>2021</v>
      </c>
      <c r="C77" t="s">
        <v>432</v>
      </c>
      <c r="D77" t="s">
        <v>840</v>
      </c>
      <c r="E77" t="s">
        <v>841</v>
      </c>
      <c r="F77" t="b">
        <v>1</v>
      </c>
      <c r="G77" t="s">
        <v>842</v>
      </c>
      <c r="H77">
        <v>0.9</v>
      </c>
      <c r="I77" t="s">
        <v>112</v>
      </c>
      <c r="J77" t="s">
        <v>206</v>
      </c>
      <c r="K77" t="b">
        <v>1</v>
      </c>
    </row>
    <row r="78" spans="1:11" x14ac:dyDescent="0.35">
      <c r="A78" t="s">
        <v>434</v>
      </c>
      <c r="B78">
        <v>2021</v>
      </c>
      <c r="C78" t="s">
        <v>435</v>
      </c>
      <c r="D78" t="s">
        <v>843</v>
      </c>
      <c r="E78" t="s">
        <v>844</v>
      </c>
      <c r="F78" t="b">
        <v>1</v>
      </c>
      <c r="G78" t="s">
        <v>845</v>
      </c>
      <c r="H78">
        <v>0.9</v>
      </c>
      <c r="I78" t="s">
        <v>112</v>
      </c>
      <c r="J78" t="s">
        <v>206</v>
      </c>
      <c r="K78" t="b">
        <v>1</v>
      </c>
    </row>
    <row r="79" spans="1:11" x14ac:dyDescent="0.35">
      <c r="A79" t="s">
        <v>437</v>
      </c>
      <c r="B79">
        <v>2021</v>
      </c>
      <c r="C79" t="s">
        <v>438</v>
      </c>
      <c r="D79" t="s">
        <v>846</v>
      </c>
      <c r="E79" t="s">
        <v>847</v>
      </c>
      <c r="F79" t="b">
        <v>1</v>
      </c>
      <c r="G79" t="s">
        <v>848</v>
      </c>
      <c r="H79">
        <v>0.9</v>
      </c>
      <c r="I79" t="s">
        <v>112</v>
      </c>
      <c r="J79" t="s">
        <v>206</v>
      </c>
      <c r="K79" t="b">
        <v>1</v>
      </c>
    </row>
    <row r="80" spans="1:11" x14ac:dyDescent="0.35">
      <c r="A80" t="s">
        <v>440</v>
      </c>
      <c r="B80">
        <v>2021</v>
      </c>
      <c r="C80" t="s">
        <v>441</v>
      </c>
      <c r="D80" t="s">
        <v>849</v>
      </c>
      <c r="E80" t="s">
        <v>850</v>
      </c>
      <c r="F80" t="b">
        <v>1</v>
      </c>
      <c r="G80" t="s">
        <v>851</v>
      </c>
      <c r="H80">
        <v>0.9</v>
      </c>
      <c r="I80" t="s">
        <v>112</v>
      </c>
      <c r="J80" t="s">
        <v>206</v>
      </c>
      <c r="K80" t="b">
        <v>1</v>
      </c>
    </row>
    <row r="81" spans="1:11" x14ac:dyDescent="0.35">
      <c r="A81" t="s">
        <v>443</v>
      </c>
      <c r="B81">
        <v>2021</v>
      </c>
      <c r="C81" t="s">
        <v>444</v>
      </c>
      <c r="D81" t="s">
        <v>852</v>
      </c>
      <c r="E81" t="s">
        <v>853</v>
      </c>
      <c r="F81" t="b">
        <v>0</v>
      </c>
      <c r="G81" t="s">
        <v>202</v>
      </c>
      <c r="H81">
        <v>1</v>
      </c>
      <c r="I81" t="s">
        <v>173</v>
      </c>
      <c r="J81" t="s">
        <v>195</v>
      </c>
      <c r="K81" t="b">
        <v>0</v>
      </c>
    </row>
    <row r="82" spans="1:11" x14ac:dyDescent="0.35">
      <c r="A82" t="s">
        <v>446</v>
      </c>
      <c r="B82">
        <v>2021</v>
      </c>
      <c r="C82" t="s">
        <v>447</v>
      </c>
      <c r="D82" t="s">
        <v>854</v>
      </c>
      <c r="E82" t="s">
        <v>855</v>
      </c>
      <c r="F82" t="b">
        <v>1</v>
      </c>
      <c r="G82" t="s">
        <v>759</v>
      </c>
      <c r="H82">
        <v>0.9</v>
      </c>
      <c r="I82" t="s">
        <v>112</v>
      </c>
      <c r="J82" t="s">
        <v>206</v>
      </c>
      <c r="K82" t="b">
        <v>1</v>
      </c>
    </row>
    <row r="83" spans="1:11" x14ac:dyDescent="0.35">
      <c r="A83" t="s">
        <v>449</v>
      </c>
      <c r="B83">
        <v>2021</v>
      </c>
      <c r="C83" t="s">
        <v>450</v>
      </c>
      <c r="D83" t="s">
        <v>856</v>
      </c>
      <c r="E83" t="s">
        <v>857</v>
      </c>
      <c r="F83" t="b">
        <v>1</v>
      </c>
      <c r="G83" t="s">
        <v>765</v>
      </c>
      <c r="H83">
        <v>0.9</v>
      </c>
      <c r="I83" t="s">
        <v>112</v>
      </c>
      <c r="J83" t="s">
        <v>206</v>
      </c>
      <c r="K83" t="b">
        <v>1</v>
      </c>
    </row>
    <row r="84" spans="1:11" x14ac:dyDescent="0.35">
      <c r="A84" t="s">
        <v>452</v>
      </c>
      <c r="B84">
        <v>2021</v>
      </c>
      <c r="C84" t="s">
        <v>453</v>
      </c>
      <c r="D84" t="s">
        <v>858</v>
      </c>
      <c r="E84" t="s">
        <v>859</v>
      </c>
      <c r="F84" t="b">
        <v>1</v>
      </c>
      <c r="G84" t="s">
        <v>860</v>
      </c>
      <c r="H84">
        <v>0.9</v>
      </c>
      <c r="I84" t="s">
        <v>112</v>
      </c>
      <c r="J84" t="s">
        <v>206</v>
      </c>
      <c r="K84" t="b">
        <v>1</v>
      </c>
    </row>
    <row r="85" spans="1:11" x14ac:dyDescent="0.35">
      <c r="A85" t="s">
        <v>455</v>
      </c>
      <c r="B85">
        <v>2021</v>
      </c>
      <c r="C85" t="s">
        <v>456</v>
      </c>
      <c r="D85" t="s">
        <v>861</v>
      </c>
      <c r="E85" t="s">
        <v>862</v>
      </c>
      <c r="F85" t="b">
        <v>1</v>
      </c>
      <c r="G85" t="s">
        <v>863</v>
      </c>
      <c r="H85">
        <v>0.9</v>
      </c>
      <c r="I85" t="s">
        <v>112</v>
      </c>
      <c r="J85" t="s">
        <v>206</v>
      </c>
      <c r="K85" t="b">
        <v>1</v>
      </c>
    </row>
    <row r="86" spans="1:11" ht="409.5" x14ac:dyDescent="0.35">
      <c r="A86" t="s">
        <v>458</v>
      </c>
      <c r="B86">
        <v>2021</v>
      </c>
      <c r="C86" t="s">
        <v>459</v>
      </c>
      <c r="D86" s="1" t="s">
        <v>460</v>
      </c>
      <c r="E86" t="s">
        <v>864</v>
      </c>
      <c r="F86" t="b">
        <v>1</v>
      </c>
      <c r="G86" t="s">
        <v>865</v>
      </c>
      <c r="H86">
        <v>0.9</v>
      </c>
      <c r="I86" t="s">
        <v>112</v>
      </c>
      <c r="J86" t="s">
        <v>206</v>
      </c>
      <c r="K86" t="b">
        <v>1</v>
      </c>
    </row>
    <row r="87" spans="1:11" x14ac:dyDescent="0.35">
      <c r="A87" t="s">
        <v>461</v>
      </c>
      <c r="B87">
        <v>2021</v>
      </c>
      <c r="C87" t="s">
        <v>462</v>
      </c>
      <c r="D87" t="s">
        <v>463</v>
      </c>
      <c r="E87" t="s">
        <v>866</v>
      </c>
      <c r="F87" t="b">
        <v>1</v>
      </c>
      <c r="G87" t="s">
        <v>867</v>
      </c>
      <c r="H87">
        <v>0.9</v>
      </c>
      <c r="I87" t="s">
        <v>112</v>
      </c>
      <c r="J87" t="s">
        <v>206</v>
      </c>
      <c r="K87" t="b">
        <v>1</v>
      </c>
    </row>
    <row r="88" spans="1:11" x14ac:dyDescent="0.35">
      <c r="A88" t="s">
        <v>464</v>
      </c>
      <c r="B88">
        <v>2021</v>
      </c>
      <c r="C88" t="s">
        <v>465</v>
      </c>
      <c r="D88" t="s">
        <v>868</v>
      </c>
      <c r="E88" t="s">
        <v>869</v>
      </c>
      <c r="F88" t="b">
        <v>1</v>
      </c>
      <c r="G88" t="s">
        <v>870</v>
      </c>
      <c r="H88">
        <v>0.9</v>
      </c>
      <c r="I88" t="s">
        <v>112</v>
      </c>
      <c r="J88" t="s">
        <v>206</v>
      </c>
      <c r="K88" t="b">
        <v>1</v>
      </c>
    </row>
    <row r="89" spans="1:11" x14ac:dyDescent="0.35">
      <c r="A89" t="s">
        <v>467</v>
      </c>
      <c r="B89">
        <v>2021</v>
      </c>
      <c r="C89" t="s">
        <v>468</v>
      </c>
      <c r="D89" t="s">
        <v>871</v>
      </c>
      <c r="E89" t="s">
        <v>872</v>
      </c>
      <c r="F89" t="b">
        <v>1</v>
      </c>
      <c r="G89" t="s">
        <v>189</v>
      </c>
      <c r="H89">
        <v>0.9</v>
      </c>
      <c r="I89" t="s">
        <v>112</v>
      </c>
      <c r="J89" t="s">
        <v>206</v>
      </c>
      <c r="K89" t="b">
        <v>1</v>
      </c>
    </row>
    <row r="90" spans="1:11" x14ac:dyDescent="0.35">
      <c r="A90" t="s">
        <v>470</v>
      </c>
      <c r="B90">
        <v>2021</v>
      </c>
      <c r="C90" t="s">
        <v>471</v>
      </c>
      <c r="D90" t="s">
        <v>873</v>
      </c>
      <c r="E90" t="s">
        <v>874</v>
      </c>
      <c r="F90" t="b">
        <v>1</v>
      </c>
      <c r="G90" t="s">
        <v>875</v>
      </c>
      <c r="H90">
        <v>0.9</v>
      </c>
      <c r="I90" t="s">
        <v>112</v>
      </c>
      <c r="J90" t="s">
        <v>206</v>
      </c>
      <c r="K90" t="b">
        <v>1</v>
      </c>
    </row>
    <row r="91" spans="1:11" x14ac:dyDescent="0.35">
      <c r="A91" t="s">
        <v>473</v>
      </c>
      <c r="B91">
        <v>2021</v>
      </c>
      <c r="C91" t="s">
        <v>474</v>
      </c>
      <c r="D91" t="s">
        <v>876</v>
      </c>
      <c r="E91" t="s">
        <v>877</v>
      </c>
      <c r="F91" t="b">
        <v>1</v>
      </c>
      <c r="G91" t="s">
        <v>878</v>
      </c>
      <c r="H91">
        <v>0.9</v>
      </c>
      <c r="I91" t="s">
        <v>112</v>
      </c>
      <c r="J91" t="s">
        <v>206</v>
      </c>
      <c r="K91" t="b">
        <v>1</v>
      </c>
    </row>
    <row r="92" spans="1:11" x14ac:dyDescent="0.35">
      <c r="A92" t="s">
        <v>476</v>
      </c>
      <c r="B92">
        <v>2021</v>
      </c>
      <c r="C92" t="s">
        <v>477</v>
      </c>
      <c r="D92" t="s">
        <v>478</v>
      </c>
      <c r="E92" t="s">
        <v>879</v>
      </c>
      <c r="F92" t="b">
        <v>1</v>
      </c>
      <c r="G92" t="s">
        <v>213</v>
      </c>
      <c r="H92">
        <v>0.9</v>
      </c>
      <c r="I92" t="s">
        <v>112</v>
      </c>
      <c r="J92" t="s">
        <v>206</v>
      </c>
      <c r="K92" t="b">
        <v>1</v>
      </c>
    </row>
    <row r="93" spans="1:11" x14ac:dyDescent="0.35">
      <c r="A93" t="s">
        <v>479</v>
      </c>
      <c r="B93">
        <v>2021</v>
      </c>
      <c r="C93" t="s">
        <v>880</v>
      </c>
      <c r="D93" t="s">
        <v>881</v>
      </c>
      <c r="E93" t="s">
        <v>882</v>
      </c>
      <c r="F93" t="b">
        <v>1</v>
      </c>
      <c r="G93" t="s">
        <v>220</v>
      </c>
      <c r="H93">
        <v>0.9</v>
      </c>
      <c r="I93" t="s">
        <v>112</v>
      </c>
      <c r="J93" t="s">
        <v>206</v>
      </c>
      <c r="K93" t="b">
        <v>1</v>
      </c>
    </row>
    <row r="94" spans="1:11" x14ac:dyDescent="0.35">
      <c r="A94" t="s">
        <v>482</v>
      </c>
      <c r="B94">
        <v>2021</v>
      </c>
      <c r="C94" t="s">
        <v>883</v>
      </c>
      <c r="D94" t="s">
        <v>884</v>
      </c>
      <c r="E94" t="s">
        <v>885</v>
      </c>
      <c r="F94" t="b">
        <v>1</v>
      </c>
      <c r="G94" t="s">
        <v>886</v>
      </c>
      <c r="H94">
        <v>0.9</v>
      </c>
      <c r="I94" t="s">
        <v>112</v>
      </c>
      <c r="J94" t="s">
        <v>206</v>
      </c>
      <c r="K94" t="b">
        <v>1</v>
      </c>
    </row>
    <row r="95" spans="1:11" x14ac:dyDescent="0.35">
      <c r="A95" t="s">
        <v>491</v>
      </c>
      <c r="B95">
        <v>2021</v>
      </c>
      <c r="C95" t="s">
        <v>492</v>
      </c>
      <c r="D95" t="s">
        <v>887</v>
      </c>
      <c r="E95" t="s">
        <v>888</v>
      </c>
      <c r="F95" t="b">
        <v>1</v>
      </c>
      <c r="G95" t="s">
        <v>889</v>
      </c>
      <c r="H95">
        <v>0.9</v>
      </c>
      <c r="I95" t="s">
        <v>112</v>
      </c>
      <c r="J95" t="s">
        <v>206</v>
      </c>
      <c r="K95" t="b">
        <v>1</v>
      </c>
    </row>
    <row r="96" spans="1:11" x14ac:dyDescent="0.35">
      <c r="A96" t="s">
        <v>494</v>
      </c>
      <c r="B96">
        <v>2021</v>
      </c>
      <c r="C96" t="s">
        <v>495</v>
      </c>
      <c r="D96" t="s">
        <v>496</v>
      </c>
      <c r="E96" t="s">
        <v>890</v>
      </c>
      <c r="F96" t="b">
        <v>0</v>
      </c>
      <c r="G96" t="s">
        <v>891</v>
      </c>
      <c r="H96">
        <v>0.8</v>
      </c>
      <c r="I96" t="s">
        <v>112</v>
      </c>
      <c r="J96" t="s">
        <v>206</v>
      </c>
      <c r="K96" t="b">
        <v>1</v>
      </c>
    </row>
    <row r="97" spans="1:11" ht="409.5" x14ac:dyDescent="0.35">
      <c r="A97" t="s">
        <v>497</v>
      </c>
      <c r="B97">
        <v>2021</v>
      </c>
      <c r="C97" t="s">
        <v>498</v>
      </c>
      <c r="D97" s="1" t="s">
        <v>499</v>
      </c>
      <c r="E97" t="s">
        <v>892</v>
      </c>
      <c r="F97" t="b">
        <v>1</v>
      </c>
      <c r="G97" t="s">
        <v>893</v>
      </c>
      <c r="H97">
        <v>0.9</v>
      </c>
      <c r="I97" t="s">
        <v>112</v>
      </c>
      <c r="J97" t="s">
        <v>206</v>
      </c>
      <c r="K97" t="b">
        <v>1</v>
      </c>
    </row>
    <row r="98" spans="1:11" x14ac:dyDescent="0.35">
      <c r="A98" t="s">
        <v>500</v>
      </c>
      <c r="B98">
        <v>2021</v>
      </c>
      <c r="C98" t="s">
        <v>501</v>
      </c>
      <c r="D98" t="s">
        <v>894</v>
      </c>
      <c r="E98" t="s">
        <v>895</v>
      </c>
      <c r="F98" t="b">
        <v>0</v>
      </c>
      <c r="G98" t="s">
        <v>896</v>
      </c>
      <c r="H98">
        <v>1</v>
      </c>
      <c r="I98" t="s">
        <v>173</v>
      </c>
      <c r="J98" t="s">
        <v>195</v>
      </c>
      <c r="K98" t="b">
        <v>0</v>
      </c>
    </row>
    <row r="99" spans="1:11" x14ac:dyDescent="0.35">
      <c r="A99" t="s">
        <v>503</v>
      </c>
      <c r="B99">
        <v>2021</v>
      </c>
      <c r="C99" t="s">
        <v>897</v>
      </c>
      <c r="D99" t="s">
        <v>898</v>
      </c>
      <c r="E99" t="s">
        <v>899</v>
      </c>
      <c r="F99" t="b">
        <v>1</v>
      </c>
      <c r="G99" t="s">
        <v>900</v>
      </c>
      <c r="H99">
        <v>0.9</v>
      </c>
      <c r="I99" t="s">
        <v>112</v>
      </c>
      <c r="J99" t="s">
        <v>206</v>
      </c>
      <c r="K99" t="b">
        <v>1</v>
      </c>
    </row>
    <row r="100" spans="1:11" x14ac:dyDescent="0.35">
      <c r="A100" t="s">
        <v>506</v>
      </c>
      <c r="B100">
        <v>2021</v>
      </c>
      <c r="C100" t="s">
        <v>507</v>
      </c>
      <c r="D100" t="s">
        <v>508</v>
      </c>
      <c r="E100" t="s">
        <v>901</v>
      </c>
      <c r="F100" t="b">
        <v>0</v>
      </c>
      <c r="G100" t="s">
        <v>902</v>
      </c>
      <c r="H100">
        <v>1</v>
      </c>
      <c r="I100" t="s">
        <v>173</v>
      </c>
      <c r="J100" t="s">
        <v>195</v>
      </c>
      <c r="K100" t="b">
        <v>0</v>
      </c>
    </row>
    <row r="101" spans="1:11" x14ac:dyDescent="0.35">
      <c r="A101" t="s">
        <v>509</v>
      </c>
      <c r="B101">
        <v>2021</v>
      </c>
      <c r="C101" t="s">
        <v>903</v>
      </c>
      <c r="D101" t="s">
        <v>904</v>
      </c>
      <c r="E101" t="s">
        <v>905</v>
      </c>
      <c r="F101" t="b">
        <v>0</v>
      </c>
      <c r="G101" t="s">
        <v>223</v>
      </c>
      <c r="H101">
        <v>0.7</v>
      </c>
      <c r="I101" t="s">
        <v>112</v>
      </c>
      <c r="J101" t="s">
        <v>206</v>
      </c>
      <c r="K101" t="b">
        <v>1</v>
      </c>
    </row>
    <row r="102" spans="1:11" x14ac:dyDescent="0.35">
      <c r="A102" t="s">
        <v>512</v>
      </c>
      <c r="B102">
        <v>2021</v>
      </c>
      <c r="C102" t="s">
        <v>513</v>
      </c>
      <c r="D102" t="s">
        <v>906</v>
      </c>
      <c r="E102" t="s">
        <v>907</v>
      </c>
      <c r="F102" t="b">
        <v>0</v>
      </c>
      <c r="G102" t="s">
        <v>908</v>
      </c>
      <c r="H102">
        <v>0.9</v>
      </c>
      <c r="I102" t="s">
        <v>112</v>
      </c>
      <c r="J102" t="s">
        <v>206</v>
      </c>
      <c r="K102" t="b">
        <v>1</v>
      </c>
    </row>
    <row r="103" spans="1:11" x14ac:dyDescent="0.35">
      <c r="A103" t="s">
        <v>515</v>
      </c>
      <c r="B103">
        <v>2021</v>
      </c>
      <c r="C103" t="s">
        <v>516</v>
      </c>
      <c r="D103" t="s">
        <v>517</v>
      </c>
      <c r="E103" t="s">
        <v>909</v>
      </c>
      <c r="F103" t="b">
        <v>1</v>
      </c>
      <c r="G103" t="s">
        <v>910</v>
      </c>
      <c r="H103">
        <v>0.9</v>
      </c>
      <c r="I103" t="s">
        <v>112</v>
      </c>
      <c r="J103" t="s">
        <v>206</v>
      </c>
      <c r="K103" t="b">
        <v>1</v>
      </c>
    </row>
    <row r="104" spans="1:11" x14ac:dyDescent="0.35">
      <c r="A104" t="s">
        <v>518</v>
      </c>
      <c r="B104">
        <v>2021</v>
      </c>
      <c r="C104" t="s">
        <v>519</v>
      </c>
      <c r="D104" t="s">
        <v>911</v>
      </c>
      <c r="E104" t="s">
        <v>912</v>
      </c>
      <c r="F104" t="b">
        <v>1</v>
      </c>
      <c r="G104" t="s">
        <v>213</v>
      </c>
      <c r="H104">
        <v>0.9</v>
      </c>
      <c r="I104" t="s">
        <v>112</v>
      </c>
      <c r="J104" t="s">
        <v>206</v>
      </c>
      <c r="K104" t="b">
        <v>1</v>
      </c>
    </row>
    <row r="105" spans="1:11" x14ac:dyDescent="0.35">
      <c r="A105" t="s">
        <v>521</v>
      </c>
      <c r="B105">
        <v>2021</v>
      </c>
      <c r="C105" t="s">
        <v>522</v>
      </c>
      <c r="D105" t="s">
        <v>523</v>
      </c>
      <c r="E105" t="s">
        <v>913</v>
      </c>
      <c r="F105" t="b">
        <v>1</v>
      </c>
      <c r="G105" t="s">
        <v>863</v>
      </c>
      <c r="H105">
        <v>0.9</v>
      </c>
      <c r="I105" t="s">
        <v>112</v>
      </c>
      <c r="J105" t="s">
        <v>206</v>
      </c>
      <c r="K105" t="b">
        <v>1</v>
      </c>
    </row>
    <row r="106" spans="1:11" x14ac:dyDescent="0.35">
      <c r="A106" t="s">
        <v>524</v>
      </c>
      <c r="B106">
        <v>2021</v>
      </c>
      <c r="C106" t="s">
        <v>525</v>
      </c>
      <c r="D106" t="s">
        <v>914</v>
      </c>
      <c r="E106" t="s">
        <v>915</v>
      </c>
      <c r="F106" t="b">
        <v>0</v>
      </c>
      <c r="G106" t="s">
        <v>202</v>
      </c>
      <c r="H106">
        <v>1</v>
      </c>
      <c r="I106" t="s">
        <v>173</v>
      </c>
      <c r="J106" t="s">
        <v>195</v>
      </c>
      <c r="K106" t="b">
        <v>0</v>
      </c>
    </row>
    <row r="107" spans="1:11" x14ac:dyDescent="0.35">
      <c r="A107" t="s">
        <v>527</v>
      </c>
      <c r="B107">
        <v>2021</v>
      </c>
      <c r="C107" t="s">
        <v>528</v>
      </c>
      <c r="D107" t="s">
        <v>529</v>
      </c>
      <c r="E107" t="s">
        <v>916</v>
      </c>
      <c r="F107" t="b">
        <v>0</v>
      </c>
      <c r="G107" t="s">
        <v>767</v>
      </c>
      <c r="H107">
        <v>1</v>
      </c>
      <c r="I107" t="s">
        <v>173</v>
      </c>
      <c r="J107" t="s">
        <v>195</v>
      </c>
      <c r="K107" t="b">
        <v>0</v>
      </c>
    </row>
    <row r="108" spans="1:11" x14ac:dyDescent="0.35">
      <c r="A108" t="s">
        <v>530</v>
      </c>
      <c r="B108">
        <v>2021</v>
      </c>
      <c r="C108" t="s">
        <v>531</v>
      </c>
      <c r="D108" t="s">
        <v>917</v>
      </c>
      <c r="E108" t="s">
        <v>918</v>
      </c>
      <c r="F108" t="b">
        <v>0</v>
      </c>
      <c r="G108" t="s">
        <v>202</v>
      </c>
      <c r="H108">
        <v>1</v>
      </c>
      <c r="I108" t="s">
        <v>173</v>
      </c>
      <c r="J108" t="s">
        <v>195</v>
      </c>
      <c r="K108" t="b">
        <v>0</v>
      </c>
    </row>
    <row r="109" spans="1:11" x14ac:dyDescent="0.35">
      <c r="A109" t="s">
        <v>536</v>
      </c>
      <c r="B109">
        <v>2021</v>
      </c>
      <c r="C109" t="s">
        <v>537</v>
      </c>
      <c r="D109" t="s">
        <v>919</v>
      </c>
      <c r="E109" t="s">
        <v>920</v>
      </c>
      <c r="F109" t="b">
        <v>1</v>
      </c>
      <c r="G109" t="s">
        <v>921</v>
      </c>
      <c r="H109">
        <v>0.9</v>
      </c>
      <c r="I109" t="s">
        <v>112</v>
      </c>
      <c r="J109" t="s">
        <v>206</v>
      </c>
      <c r="K109" t="b">
        <v>1</v>
      </c>
    </row>
    <row r="110" spans="1:11" x14ac:dyDescent="0.35">
      <c r="A110" t="s">
        <v>539</v>
      </c>
      <c r="B110">
        <v>2021</v>
      </c>
      <c r="C110" t="s">
        <v>540</v>
      </c>
      <c r="D110" t="s">
        <v>922</v>
      </c>
      <c r="E110" t="s">
        <v>923</v>
      </c>
      <c r="F110" t="b">
        <v>0</v>
      </c>
      <c r="G110" t="s">
        <v>769</v>
      </c>
      <c r="H110">
        <v>0.5</v>
      </c>
      <c r="I110" t="s">
        <v>112</v>
      </c>
      <c r="J110" t="s">
        <v>206</v>
      </c>
      <c r="K110" t="b">
        <v>1</v>
      </c>
    </row>
    <row r="111" spans="1:11" x14ac:dyDescent="0.35">
      <c r="A111" t="s">
        <v>542</v>
      </c>
      <c r="B111">
        <v>2021</v>
      </c>
      <c r="C111" t="s">
        <v>924</v>
      </c>
      <c r="D111" t="s">
        <v>925</v>
      </c>
      <c r="E111" t="s">
        <v>926</v>
      </c>
      <c r="F111" t="b">
        <v>1</v>
      </c>
      <c r="G111" t="s">
        <v>757</v>
      </c>
      <c r="H111">
        <v>0.9</v>
      </c>
      <c r="I111" t="s">
        <v>112</v>
      </c>
      <c r="J111" t="s">
        <v>206</v>
      </c>
      <c r="K111" t="b">
        <v>1</v>
      </c>
    </row>
    <row r="112" spans="1:11" x14ac:dyDescent="0.35">
      <c r="A112" t="s">
        <v>545</v>
      </c>
      <c r="B112">
        <v>2021</v>
      </c>
      <c r="C112" t="s">
        <v>546</v>
      </c>
      <c r="D112" t="s">
        <v>547</v>
      </c>
      <c r="E112" t="s">
        <v>927</v>
      </c>
      <c r="F112" t="b">
        <v>1</v>
      </c>
      <c r="G112" t="s">
        <v>928</v>
      </c>
      <c r="H112">
        <v>0.9</v>
      </c>
      <c r="I112" t="s">
        <v>112</v>
      </c>
      <c r="J112" t="s">
        <v>206</v>
      </c>
      <c r="K112" t="b">
        <v>1</v>
      </c>
    </row>
    <row r="113" spans="1:11" x14ac:dyDescent="0.35">
      <c r="A113" t="s">
        <v>548</v>
      </c>
      <c r="B113">
        <v>2021</v>
      </c>
      <c r="C113" t="s">
        <v>549</v>
      </c>
      <c r="D113" t="s">
        <v>529</v>
      </c>
      <c r="E113" t="s">
        <v>929</v>
      </c>
      <c r="F113" t="b">
        <v>0</v>
      </c>
      <c r="G113" t="s">
        <v>802</v>
      </c>
      <c r="H113">
        <v>0.5</v>
      </c>
      <c r="I113" t="s">
        <v>112</v>
      </c>
      <c r="J113" t="s">
        <v>206</v>
      </c>
      <c r="K113" t="b">
        <v>1</v>
      </c>
    </row>
    <row r="114" spans="1:11" x14ac:dyDescent="0.35">
      <c r="A114" t="s">
        <v>550</v>
      </c>
      <c r="B114">
        <v>2021</v>
      </c>
      <c r="C114" t="s">
        <v>551</v>
      </c>
      <c r="D114" t="s">
        <v>930</v>
      </c>
      <c r="E114" t="s">
        <v>931</v>
      </c>
      <c r="F114" t="b">
        <v>1</v>
      </c>
      <c r="G114" t="s">
        <v>932</v>
      </c>
      <c r="H114">
        <v>0.9</v>
      </c>
      <c r="I114" t="s">
        <v>112</v>
      </c>
      <c r="J114" t="s">
        <v>206</v>
      </c>
      <c r="K114" t="b">
        <v>1</v>
      </c>
    </row>
    <row r="115" spans="1:11" x14ac:dyDescent="0.35">
      <c r="A115" t="s">
        <v>553</v>
      </c>
      <c r="B115">
        <v>2021</v>
      </c>
      <c r="C115" t="s">
        <v>554</v>
      </c>
      <c r="D115" t="s">
        <v>933</v>
      </c>
      <c r="E115" t="s">
        <v>934</v>
      </c>
      <c r="F115" t="b">
        <v>0</v>
      </c>
      <c r="G115" t="s">
        <v>935</v>
      </c>
      <c r="H115">
        <v>0.9</v>
      </c>
      <c r="I115" t="s">
        <v>112</v>
      </c>
      <c r="J115" t="s">
        <v>206</v>
      </c>
      <c r="K115" t="b">
        <v>1</v>
      </c>
    </row>
    <row r="116" spans="1:11" x14ac:dyDescent="0.35">
      <c r="A116" t="s">
        <v>556</v>
      </c>
      <c r="B116">
        <v>2021</v>
      </c>
      <c r="C116" t="s">
        <v>557</v>
      </c>
      <c r="D116" t="s">
        <v>936</v>
      </c>
      <c r="E116" t="s">
        <v>937</v>
      </c>
      <c r="F116" t="b">
        <v>0</v>
      </c>
      <c r="G116" t="s">
        <v>938</v>
      </c>
      <c r="H116">
        <v>0.8</v>
      </c>
      <c r="I116" t="s">
        <v>112</v>
      </c>
      <c r="J116" t="s">
        <v>206</v>
      </c>
      <c r="K116" t="b">
        <v>1</v>
      </c>
    </row>
    <row r="117" spans="1:11" x14ac:dyDescent="0.35">
      <c r="A117" t="s">
        <v>559</v>
      </c>
      <c r="B117">
        <v>2021</v>
      </c>
      <c r="C117" t="s">
        <v>560</v>
      </c>
      <c r="D117" t="s">
        <v>939</v>
      </c>
      <c r="E117" t="s">
        <v>940</v>
      </c>
      <c r="F117" t="b">
        <v>0</v>
      </c>
      <c r="G117" t="s">
        <v>941</v>
      </c>
      <c r="H117">
        <v>0.8</v>
      </c>
      <c r="I117" t="s">
        <v>112</v>
      </c>
      <c r="J117" t="s">
        <v>206</v>
      </c>
      <c r="K117" t="b">
        <v>1</v>
      </c>
    </row>
    <row r="118" spans="1:11" x14ac:dyDescent="0.35">
      <c r="A118" t="s">
        <v>562</v>
      </c>
      <c r="B118">
        <v>2021</v>
      </c>
      <c r="C118" t="s">
        <v>563</v>
      </c>
      <c r="D118" t="s">
        <v>564</v>
      </c>
      <c r="E118" t="s">
        <v>877</v>
      </c>
      <c r="F118" t="b">
        <v>0</v>
      </c>
      <c r="G118" t="s">
        <v>942</v>
      </c>
      <c r="H118">
        <v>0.7</v>
      </c>
      <c r="I118" t="s">
        <v>112</v>
      </c>
      <c r="J118" t="s">
        <v>698</v>
      </c>
      <c r="K118" t="b">
        <v>1</v>
      </c>
    </row>
    <row r="119" spans="1:11" x14ac:dyDescent="0.35">
      <c r="A119" t="s">
        <v>565</v>
      </c>
      <c r="B119">
        <v>2021</v>
      </c>
      <c r="C119" t="s">
        <v>566</v>
      </c>
      <c r="D119" t="s">
        <v>567</v>
      </c>
      <c r="E119" t="s">
        <v>943</v>
      </c>
      <c r="F119" t="b">
        <v>1</v>
      </c>
      <c r="G119" t="s">
        <v>944</v>
      </c>
      <c r="H119">
        <v>0.9</v>
      </c>
      <c r="I119" t="s">
        <v>112</v>
      </c>
      <c r="J119" t="s">
        <v>206</v>
      </c>
      <c r="K119" t="b">
        <v>1</v>
      </c>
    </row>
    <row r="120" spans="1:11" x14ac:dyDescent="0.35">
      <c r="A120" t="s">
        <v>568</v>
      </c>
      <c r="B120">
        <v>2021</v>
      </c>
      <c r="C120" t="s">
        <v>945</v>
      </c>
      <c r="D120" t="s">
        <v>946</v>
      </c>
      <c r="E120" t="s">
        <v>947</v>
      </c>
      <c r="F120" t="b">
        <v>1</v>
      </c>
      <c r="G120" t="s">
        <v>842</v>
      </c>
      <c r="H120">
        <v>0.9</v>
      </c>
      <c r="I120" t="s">
        <v>112</v>
      </c>
      <c r="J120" t="s">
        <v>206</v>
      </c>
      <c r="K120" t="b">
        <v>1</v>
      </c>
    </row>
    <row r="121" spans="1:11" x14ac:dyDescent="0.35">
      <c r="A121" t="s">
        <v>571</v>
      </c>
      <c r="B121">
        <v>2021</v>
      </c>
      <c r="C121" t="s">
        <v>948</v>
      </c>
      <c r="D121" t="s">
        <v>949</v>
      </c>
      <c r="E121" t="s">
        <v>950</v>
      </c>
      <c r="F121" t="b">
        <v>1</v>
      </c>
      <c r="G121" t="s">
        <v>951</v>
      </c>
      <c r="H121">
        <v>0.9</v>
      </c>
      <c r="I121" t="s">
        <v>112</v>
      </c>
      <c r="J121" t="s">
        <v>206</v>
      </c>
      <c r="K121" t="b">
        <v>1</v>
      </c>
    </row>
    <row r="122" spans="1:11" x14ac:dyDescent="0.35">
      <c r="A122" t="s">
        <v>574</v>
      </c>
      <c r="B122">
        <v>2021</v>
      </c>
      <c r="C122" t="s">
        <v>575</v>
      </c>
      <c r="D122" t="s">
        <v>952</v>
      </c>
      <c r="E122" t="s">
        <v>953</v>
      </c>
      <c r="F122" t="b">
        <v>1</v>
      </c>
      <c r="G122" t="s">
        <v>954</v>
      </c>
      <c r="H122">
        <v>0.9</v>
      </c>
      <c r="I122" t="s">
        <v>112</v>
      </c>
      <c r="J122" t="s">
        <v>206</v>
      </c>
      <c r="K122" t="b">
        <v>1</v>
      </c>
    </row>
    <row r="123" spans="1:11" ht="409.5" x14ac:dyDescent="0.35">
      <c r="A123" t="s">
        <v>577</v>
      </c>
      <c r="B123">
        <v>2021</v>
      </c>
      <c r="C123" t="s">
        <v>578</v>
      </c>
      <c r="D123" s="1" t="s">
        <v>579</v>
      </c>
      <c r="E123" t="s">
        <v>955</v>
      </c>
      <c r="F123" t="b">
        <v>1</v>
      </c>
      <c r="G123" t="s">
        <v>954</v>
      </c>
      <c r="H123">
        <v>0.9</v>
      </c>
      <c r="I123" t="s">
        <v>112</v>
      </c>
      <c r="J123" t="s">
        <v>206</v>
      </c>
      <c r="K123" t="b">
        <v>1</v>
      </c>
    </row>
    <row r="124" spans="1:11" x14ac:dyDescent="0.35">
      <c r="A124" t="s">
        <v>580</v>
      </c>
      <c r="B124">
        <v>2021</v>
      </c>
      <c r="C124" t="s">
        <v>581</v>
      </c>
      <c r="D124" t="s">
        <v>956</v>
      </c>
      <c r="E124" t="s">
        <v>957</v>
      </c>
      <c r="F124" t="b">
        <v>0</v>
      </c>
      <c r="G124" t="s">
        <v>767</v>
      </c>
      <c r="H124">
        <v>1</v>
      </c>
      <c r="I124" t="s">
        <v>173</v>
      </c>
      <c r="J124" t="s">
        <v>195</v>
      </c>
      <c r="K124" t="b">
        <v>0</v>
      </c>
    </row>
    <row r="125" spans="1:11" x14ac:dyDescent="0.35">
      <c r="A125" t="s">
        <v>583</v>
      </c>
      <c r="B125">
        <v>2021</v>
      </c>
      <c r="C125" t="s">
        <v>584</v>
      </c>
      <c r="D125" t="s">
        <v>958</v>
      </c>
      <c r="E125" t="s">
        <v>959</v>
      </c>
      <c r="F125" t="b">
        <v>1</v>
      </c>
      <c r="G125" t="s">
        <v>757</v>
      </c>
      <c r="H125">
        <v>0.9</v>
      </c>
      <c r="I125" t="s">
        <v>112</v>
      </c>
      <c r="J125" t="s">
        <v>206</v>
      </c>
      <c r="K125" t="b">
        <v>1</v>
      </c>
    </row>
    <row r="126" spans="1:11" x14ac:dyDescent="0.35">
      <c r="A126" t="s">
        <v>586</v>
      </c>
      <c r="B126">
        <v>2021</v>
      </c>
      <c r="C126" t="s">
        <v>587</v>
      </c>
      <c r="D126" t="s">
        <v>588</v>
      </c>
      <c r="E126" t="s">
        <v>960</v>
      </c>
      <c r="F126" t="b">
        <v>1</v>
      </c>
      <c r="G126" t="s">
        <v>961</v>
      </c>
      <c r="H126">
        <v>0.9</v>
      </c>
      <c r="I126" t="s">
        <v>112</v>
      </c>
      <c r="J126" t="s">
        <v>206</v>
      </c>
      <c r="K126" t="b">
        <v>1</v>
      </c>
    </row>
    <row r="127" spans="1:11" x14ac:dyDescent="0.35">
      <c r="A127" t="s">
        <v>589</v>
      </c>
      <c r="B127">
        <v>2021</v>
      </c>
      <c r="C127" t="s">
        <v>962</v>
      </c>
      <c r="D127" t="s">
        <v>963</v>
      </c>
      <c r="E127" t="s">
        <v>964</v>
      </c>
      <c r="F127" t="b">
        <v>0</v>
      </c>
      <c r="G127" t="s">
        <v>215</v>
      </c>
      <c r="H127">
        <v>0.7</v>
      </c>
      <c r="I127" t="s">
        <v>112</v>
      </c>
      <c r="J127" t="s">
        <v>206</v>
      </c>
      <c r="K127" t="b">
        <v>1</v>
      </c>
    </row>
    <row r="128" spans="1:11" x14ac:dyDescent="0.35">
      <c r="A128" t="s">
        <v>592</v>
      </c>
      <c r="B128">
        <v>2021</v>
      </c>
      <c r="C128" t="s">
        <v>593</v>
      </c>
      <c r="D128" t="s">
        <v>594</v>
      </c>
      <c r="E128" t="s">
        <v>965</v>
      </c>
      <c r="F128" t="b">
        <v>1</v>
      </c>
      <c r="G128" t="s">
        <v>966</v>
      </c>
      <c r="H128">
        <v>0.8</v>
      </c>
      <c r="I128" t="s">
        <v>112</v>
      </c>
      <c r="J128" t="s">
        <v>206</v>
      </c>
      <c r="K128" t="b">
        <v>1</v>
      </c>
    </row>
    <row r="129" spans="1:11" x14ac:dyDescent="0.35">
      <c r="A129" t="s">
        <v>595</v>
      </c>
      <c r="B129">
        <v>2021</v>
      </c>
      <c r="C129" t="s">
        <v>596</v>
      </c>
      <c r="D129" t="s">
        <v>967</v>
      </c>
      <c r="E129" t="s">
        <v>968</v>
      </c>
      <c r="F129" t="b">
        <v>0</v>
      </c>
      <c r="G129" t="s">
        <v>969</v>
      </c>
      <c r="H129">
        <v>0.3</v>
      </c>
      <c r="I129" t="s">
        <v>112</v>
      </c>
      <c r="J129" t="s">
        <v>699</v>
      </c>
      <c r="K129" t="b">
        <v>1</v>
      </c>
    </row>
    <row r="130" spans="1:11" x14ac:dyDescent="0.35">
      <c r="A130" t="s">
        <v>598</v>
      </c>
      <c r="B130">
        <v>2021</v>
      </c>
      <c r="C130" t="s">
        <v>599</v>
      </c>
      <c r="D130" t="s">
        <v>970</v>
      </c>
      <c r="E130" t="s">
        <v>971</v>
      </c>
      <c r="F130" t="b">
        <v>1</v>
      </c>
      <c r="G130" t="s">
        <v>972</v>
      </c>
      <c r="H130">
        <v>0.9</v>
      </c>
      <c r="I130" t="s">
        <v>112</v>
      </c>
      <c r="J130" t="s">
        <v>206</v>
      </c>
      <c r="K130" t="b">
        <v>1</v>
      </c>
    </row>
    <row r="131" spans="1:11" ht="409.5" x14ac:dyDescent="0.35">
      <c r="A131" t="s">
        <v>601</v>
      </c>
      <c r="B131">
        <v>2021</v>
      </c>
      <c r="C131" t="s">
        <v>602</v>
      </c>
      <c r="D131" s="1" t="s">
        <v>603</v>
      </c>
      <c r="E131" t="s">
        <v>973</v>
      </c>
      <c r="F131" t="b">
        <v>1</v>
      </c>
      <c r="G131" t="s">
        <v>974</v>
      </c>
      <c r="H131">
        <v>0.9</v>
      </c>
      <c r="I131" t="s">
        <v>112</v>
      </c>
      <c r="J131" t="s">
        <v>206</v>
      </c>
      <c r="K131" t="b">
        <v>1</v>
      </c>
    </row>
    <row r="132" spans="1:11" x14ac:dyDescent="0.35">
      <c r="A132" t="s">
        <v>604</v>
      </c>
      <c r="B132">
        <v>2021</v>
      </c>
      <c r="C132" t="s">
        <v>975</v>
      </c>
      <c r="D132" t="s">
        <v>976</v>
      </c>
      <c r="E132" t="s">
        <v>977</v>
      </c>
      <c r="F132" t="b">
        <v>1</v>
      </c>
      <c r="G132" t="s">
        <v>220</v>
      </c>
      <c r="H132">
        <v>0.9</v>
      </c>
      <c r="I132" t="s">
        <v>112</v>
      </c>
      <c r="J132" t="s">
        <v>206</v>
      </c>
      <c r="K132" t="b">
        <v>1</v>
      </c>
    </row>
    <row r="133" spans="1:11" x14ac:dyDescent="0.35">
      <c r="A133" t="s">
        <v>613</v>
      </c>
      <c r="B133">
        <v>2021</v>
      </c>
      <c r="C133" t="s">
        <v>614</v>
      </c>
      <c r="D133" t="s">
        <v>615</v>
      </c>
      <c r="E133" t="s">
        <v>978</v>
      </c>
      <c r="F133" t="b">
        <v>0</v>
      </c>
      <c r="G133" t="s">
        <v>239</v>
      </c>
      <c r="H133">
        <v>0.9</v>
      </c>
      <c r="I133" t="s">
        <v>112</v>
      </c>
      <c r="J133" t="s">
        <v>700</v>
      </c>
      <c r="K133" t="b">
        <v>1</v>
      </c>
    </row>
    <row r="134" spans="1:11" x14ac:dyDescent="0.35">
      <c r="A134" t="s">
        <v>618</v>
      </c>
      <c r="B134">
        <v>2021</v>
      </c>
      <c r="C134" t="s">
        <v>619</v>
      </c>
      <c r="D134" t="s">
        <v>979</v>
      </c>
      <c r="E134" t="s">
        <v>980</v>
      </c>
      <c r="F134" t="b">
        <v>1</v>
      </c>
      <c r="G134" t="s">
        <v>981</v>
      </c>
      <c r="H134">
        <v>0.9</v>
      </c>
      <c r="I134" t="s">
        <v>112</v>
      </c>
      <c r="J134" t="s">
        <v>206</v>
      </c>
      <c r="K134" t="b">
        <v>1</v>
      </c>
    </row>
    <row r="135" spans="1:11" x14ac:dyDescent="0.35">
      <c r="A135" t="s">
        <v>621</v>
      </c>
      <c r="B135">
        <v>2021</v>
      </c>
      <c r="C135" t="s">
        <v>982</v>
      </c>
      <c r="D135" t="s">
        <v>983</v>
      </c>
      <c r="E135" t="s">
        <v>984</v>
      </c>
      <c r="F135" t="b">
        <v>1</v>
      </c>
      <c r="G135" t="s">
        <v>985</v>
      </c>
      <c r="H135">
        <v>0.9</v>
      </c>
      <c r="I135" t="s">
        <v>112</v>
      </c>
      <c r="J135" t="s">
        <v>206</v>
      </c>
      <c r="K135" t="b">
        <v>1</v>
      </c>
    </row>
    <row r="136" spans="1:11" x14ac:dyDescent="0.35">
      <c r="A136" t="s">
        <v>624</v>
      </c>
      <c r="B136">
        <v>2021</v>
      </c>
      <c r="C136" t="s">
        <v>625</v>
      </c>
      <c r="D136" t="s">
        <v>626</v>
      </c>
      <c r="E136" t="s">
        <v>986</v>
      </c>
      <c r="F136" t="b">
        <v>1</v>
      </c>
      <c r="G136" t="s">
        <v>987</v>
      </c>
      <c r="H136">
        <v>0.9</v>
      </c>
      <c r="I136" t="s">
        <v>112</v>
      </c>
      <c r="J136" t="s">
        <v>206</v>
      </c>
      <c r="K136" t="b">
        <v>1</v>
      </c>
    </row>
    <row r="137" spans="1:11" x14ac:dyDescent="0.35">
      <c r="A137" t="s">
        <v>627</v>
      </c>
      <c r="B137">
        <v>2021</v>
      </c>
      <c r="C137" t="s">
        <v>628</v>
      </c>
      <c r="D137" t="s">
        <v>988</v>
      </c>
      <c r="E137" t="s">
        <v>989</v>
      </c>
      <c r="F137" t="b">
        <v>1</v>
      </c>
      <c r="G137" t="s">
        <v>185</v>
      </c>
      <c r="H137">
        <v>0.9</v>
      </c>
      <c r="I137" t="s">
        <v>112</v>
      </c>
      <c r="J137" t="s">
        <v>206</v>
      </c>
      <c r="K137" t="b">
        <v>1</v>
      </c>
    </row>
    <row r="138" spans="1:11" x14ac:dyDescent="0.35">
      <c r="A138" t="s">
        <v>630</v>
      </c>
      <c r="B138">
        <v>2021</v>
      </c>
      <c r="C138" t="s">
        <v>631</v>
      </c>
      <c r="D138" t="s">
        <v>990</v>
      </c>
      <c r="E138" t="s">
        <v>991</v>
      </c>
      <c r="F138" t="b">
        <v>1</v>
      </c>
      <c r="G138" t="s">
        <v>992</v>
      </c>
      <c r="H138">
        <v>0.9</v>
      </c>
      <c r="I138" t="s">
        <v>112</v>
      </c>
      <c r="J138" t="s">
        <v>206</v>
      </c>
      <c r="K138" t="b">
        <v>1</v>
      </c>
    </row>
    <row r="139" spans="1:11" ht="409.5" x14ac:dyDescent="0.35">
      <c r="A139" t="s">
        <v>633</v>
      </c>
      <c r="B139">
        <v>2021</v>
      </c>
      <c r="C139" t="s">
        <v>631</v>
      </c>
      <c r="D139" s="1" t="s">
        <v>634</v>
      </c>
      <c r="E139" t="s">
        <v>993</v>
      </c>
      <c r="F139" t="b">
        <v>1</v>
      </c>
      <c r="G139" t="s">
        <v>992</v>
      </c>
      <c r="H139">
        <v>0.9</v>
      </c>
      <c r="I139" t="s">
        <v>112</v>
      </c>
      <c r="J139" t="s">
        <v>206</v>
      </c>
      <c r="K139" t="b">
        <v>1</v>
      </c>
    </row>
    <row r="140" spans="1:11" x14ac:dyDescent="0.35">
      <c r="A140" t="s">
        <v>635</v>
      </c>
      <c r="B140">
        <v>2021</v>
      </c>
      <c r="C140" t="s">
        <v>636</v>
      </c>
      <c r="D140" t="s">
        <v>637</v>
      </c>
      <c r="E140" t="s">
        <v>994</v>
      </c>
      <c r="F140" t="b">
        <v>0</v>
      </c>
      <c r="G140" t="s">
        <v>995</v>
      </c>
      <c r="H140">
        <v>0.8</v>
      </c>
      <c r="I140" t="s">
        <v>112</v>
      </c>
      <c r="J140" t="s">
        <v>206</v>
      </c>
      <c r="K140" t="b">
        <v>1</v>
      </c>
    </row>
    <row r="141" spans="1:11" ht="409.5" x14ac:dyDescent="0.35">
      <c r="A141" t="s">
        <v>638</v>
      </c>
      <c r="B141">
        <v>2025</v>
      </c>
      <c r="C141" t="s">
        <v>639</v>
      </c>
      <c r="D141" s="1" t="s">
        <v>640</v>
      </c>
      <c r="E141" t="s">
        <v>996</v>
      </c>
      <c r="F141" t="b">
        <v>1</v>
      </c>
      <c r="G141" t="s">
        <v>954</v>
      </c>
      <c r="H141">
        <v>0.9</v>
      </c>
      <c r="I141" t="s">
        <v>112</v>
      </c>
      <c r="J141" t="s">
        <v>206</v>
      </c>
      <c r="K141" t="b">
        <v>1</v>
      </c>
    </row>
    <row r="142" spans="1:11" x14ac:dyDescent="0.35">
      <c r="A142" t="s">
        <v>641</v>
      </c>
      <c r="B142">
        <v>2025</v>
      </c>
      <c r="C142" t="s">
        <v>639</v>
      </c>
      <c r="D142" t="s">
        <v>997</v>
      </c>
      <c r="E142" t="s">
        <v>996</v>
      </c>
      <c r="F142" t="b">
        <v>1</v>
      </c>
      <c r="G142" t="s">
        <v>954</v>
      </c>
      <c r="H142">
        <v>0.9</v>
      </c>
      <c r="I142" t="s">
        <v>112</v>
      </c>
      <c r="J142" t="s">
        <v>206</v>
      </c>
      <c r="K142" t="b">
        <v>1</v>
      </c>
    </row>
    <row r="143" spans="1:11" x14ac:dyDescent="0.35">
      <c r="A143" t="s">
        <v>643</v>
      </c>
      <c r="B143">
        <v>2025</v>
      </c>
      <c r="C143" t="s">
        <v>644</v>
      </c>
      <c r="D143" t="s">
        <v>998</v>
      </c>
      <c r="E143" t="s">
        <v>999</v>
      </c>
      <c r="F143" t="b">
        <v>0</v>
      </c>
      <c r="G143" t="s">
        <v>1000</v>
      </c>
      <c r="H143">
        <v>0.8</v>
      </c>
      <c r="I143" t="s">
        <v>112</v>
      </c>
      <c r="J143" t="s">
        <v>206</v>
      </c>
      <c r="K143" t="b">
        <v>1</v>
      </c>
    </row>
    <row r="144" spans="1:11" x14ac:dyDescent="0.35">
      <c r="A144" t="s">
        <v>649</v>
      </c>
      <c r="B144">
        <v>2025</v>
      </c>
      <c r="C144" t="s">
        <v>650</v>
      </c>
      <c r="D144" t="s">
        <v>651</v>
      </c>
      <c r="E144" t="s">
        <v>1001</v>
      </c>
      <c r="F144" t="b">
        <v>1</v>
      </c>
      <c r="G144" t="s">
        <v>1002</v>
      </c>
      <c r="H144">
        <v>0.9</v>
      </c>
      <c r="I144" t="s">
        <v>112</v>
      </c>
      <c r="J144" t="s">
        <v>206</v>
      </c>
      <c r="K144" t="b">
        <v>1</v>
      </c>
    </row>
    <row r="145" spans="1:11" x14ac:dyDescent="0.35">
      <c r="A145" t="s">
        <v>652</v>
      </c>
      <c r="B145">
        <v>2025</v>
      </c>
      <c r="C145" t="s">
        <v>653</v>
      </c>
      <c r="D145" t="s">
        <v>654</v>
      </c>
      <c r="E145" t="s">
        <v>1003</v>
      </c>
      <c r="F145" t="b">
        <v>0</v>
      </c>
      <c r="G145" t="s">
        <v>1004</v>
      </c>
      <c r="H145">
        <v>0.8</v>
      </c>
      <c r="I145" t="s">
        <v>112</v>
      </c>
      <c r="J145" t="s">
        <v>206</v>
      </c>
      <c r="K145" t="b">
        <v>1</v>
      </c>
    </row>
    <row r="146" spans="1:11" x14ac:dyDescent="0.35">
      <c r="A146" t="s">
        <v>655</v>
      </c>
      <c r="B146">
        <v>2025</v>
      </c>
      <c r="C146" t="s">
        <v>1005</v>
      </c>
      <c r="D146" t="s">
        <v>1006</v>
      </c>
      <c r="E146" t="s">
        <v>726</v>
      </c>
      <c r="F146" t="b">
        <v>1</v>
      </c>
      <c r="G146" t="s">
        <v>1007</v>
      </c>
      <c r="H146">
        <v>0.9</v>
      </c>
      <c r="I146" t="s">
        <v>112</v>
      </c>
      <c r="J146" t="s">
        <v>206</v>
      </c>
      <c r="K146" t="b">
        <v>1</v>
      </c>
    </row>
    <row r="147" spans="1:11" x14ac:dyDescent="0.35">
      <c r="A147" t="s">
        <v>658</v>
      </c>
      <c r="B147">
        <v>2025</v>
      </c>
      <c r="C147" t="s">
        <v>659</v>
      </c>
      <c r="D147" t="s">
        <v>660</v>
      </c>
      <c r="E147" t="s">
        <v>1008</v>
      </c>
      <c r="F147" t="b">
        <v>0</v>
      </c>
      <c r="G147" t="s">
        <v>1009</v>
      </c>
      <c r="H147">
        <v>0.9</v>
      </c>
      <c r="I147" t="s">
        <v>112</v>
      </c>
      <c r="J147" t="s">
        <v>206</v>
      </c>
      <c r="K147" t="b">
        <v>1</v>
      </c>
    </row>
    <row r="148" spans="1:11" x14ac:dyDescent="0.35">
      <c r="A148" t="s">
        <v>664</v>
      </c>
      <c r="B148">
        <v>2025</v>
      </c>
      <c r="C148" t="s">
        <v>665</v>
      </c>
      <c r="D148" t="s">
        <v>1010</v>
      </c>
      <c r="E148" t="s">
        <v>1011</v>
      </c>
      <c r="F148" t="b">
        <v>1</v>
      </c>
      <c r="G148" t="s">
        <v>1012</v>
      </c>
      <c r="H148">
        <v>0.9</v>
      </c>
      <c r="I148" t="s">
        <v>112</v>
      </c>
      <c r="J148" t="s">
        <v>206</v>
      </c>
      <c r="K148" t="b">
        <v>1</v>
      </c>
    </row>
    <row r="149" spans="1:11" x14ac:dyDescent="0.35">
      <c r="A149" t="s">
        <v>667</v>
      </c>
      <c r="B149">
        <v>2025</v>
      </c>
      <c r="C149" t="s">
        <v>668</v>
      </c>
      <c r="D149" t="s">
        <v>669</v>
      </c>
      <c r="E149" t="s">
        <v>1013</v>
      </c>
      <c r="F149" t="b">
        <v>1</v>
      </c>
      <c r="G149" t="s">
        <v>759</v>
      </c>
      <c r="H149">
        <v>0.9</v>
      </c>
      <c r="I149" t="s">
        <v>112</v>
      </c>
      <c r="J149" t="s">
        <v>206</v>
      </c>
      <c r="K149" t="b">
        <v>1</v>
      </c>
    </row>
    <row r="150" spans="1:11" x14ac:dyDescent="0.35">
      <c r="A150" t="s">
        <v>670</v>
      </c>
      <c r="B150">
        <v>2025</v>
      </c>
      <c r="C150" t="s">
        <v>671</v>
      </c>
      <c r="D150" t="s">
        <v>1014</v>
      </c>
      <c r="E150" t="s">
        <v>1015</v>
      </c>
      <c r="F150" t="b">
        <v>1</v>
      </c>
      <c r="G150" t="s">
        <v>944</v>
      </c>
      <c r="H150">
        <v>0.9</v>
      </c>
      <c r="I150" t="s">
        <v>112</v>
      </c>
      <c r="J150" t="s">
        <v>206</v>
      </c>
      <c r="K150" t="b">
        <v>1</v>
      </c>
    </row>
    <row r="151" spans="1:11" x14ac:dyDescent="0.35">
      <c r="A151" t="s">
        <v>673</v>
      </c>
      <c r="B151">
        <v>2025</v>
      </c>
      <c r="C151" t="s">
        <v>674</v>
      </c>
      <c r="D151" t="s">
        <v>675</v>
      </c>
      <c r="E151" t="s">
        <v>1016</v>
      </c>
      <c r="F151" t="b">
        <v>1</v>
      </c>
      <c r="G151" t="s">
        <v>1017</v>
      </c>
      <c r="H151">
        <v>0.9</v>
      </c>
      <c r="I151" t="s">
        <v>112</v>
      </c>
      <c r="J151" t="s">
        <v>206</v>
      </c>
      <c r="K151" t="b">
        <v>1</v>
      </c>
    </row>
    <row r="152" spans="1:11" x14ac:dyDescent="0.35">
      <c r="A152" t="s">
        <v>676</v>
      </c>
      <c r="B152">
        <v>2025</v>
      </c>
      <c r="C152" t="s">
        <v>677</v>
      </c>
      <c r="D152" t="s">
        <v>1018</v>
      </c>
      <c r="E152" t="s">
        <v>1019</v>
      </c>
      <c r="F152" t="b">
        <v>1</v>
      </c>
      <c r="G152" t="s">
        <v>944</v>
      </c>
      <c r="H152">
        <v>0.9</v>
      </c>
      <c r="I152" t="s">
        <v>112</v>
      </c>
      <c r="J152" t="s">
        <v>206</v>
      </c>
      <c r="K152" t="b">
        <v>1</v>
      </c>
    </row>
    <row r="153" spans="1:11" x14ac:dyDescent="0.35">
      <c r="A153" t="s">
        <v>688</v>
      </c>
      <c r="B153">
        <v>2025</v>
      </c>
      <c r="C153" t="s">
        <v>689</v>
      </c>
      <c r="D153" t="s">
        <v>690</v>
      </c>
      <c r="E153" t="s">
        <v>1020</v>
      </c>
      <c r="F153" t="b">
        <v>0</v>
      </c>
      <c r="G153" t="s">
        <v>1021</v>
      </c>
      <c r="H153">
        <v>0.9</v>
      </c>
      <c r="I153" t="s">
        <v>112</v>
      </c>
      <c r="J153" t="s">
        <v>206</v>
      </c>
      <c r="K153" t="b">
        <v>1</v>
      </c>
    </row>
    <row r="154" spans="1:11" x14ac:dyDescent="0.35">
      <c r="A154" t="s">
        <v>691</v>
      </c>
      <c r="B154">
        <v>2025</v>
      </c>
      <c r="C154" t="s">
        <v>692</v>
      </c>
      <c r="D154" t="s">
        <v>1022</v>
      </c>
      <c r="E154" t="s">
        <v>1023</v>
      </c>
      <c r="F154" t="b">
        <v>1</v>
      </c>
      <c r="G154" t="s">
        <v>1007</v>
      </c>
      <c r="H154">
        <v>0.9</v>
      </c>
      <c r="I154" t="s">
        <v>112</v>
      </c>
      <c r="J154" t="s">
        <v>206</v>
      </c>
      <c r="K154" t="b">
        <v>1</v>
      </c>
    </row>
  </sheetData>
  <conditionalFormatting sqref="I58:J138 J36:J57 I1:I57">
    <cfRule type="containsText" dxfId="3" priority="4" operator="containsText" text="Include">
      <formula>NOT(ISERROR(SEARCH("Include",I1)))</formula>
    </cfRule>
  </conditionalFormatting>
  <conditionalFormatting sqref="I58:J138 J36:J57 I1:I57">
    <cfRule type="containsText" dxfId="2" priority="3" operator="containsText" text="Exclude">
      <formula>NOT(ISERROR(SEARCH("Exclude",I1)))</formula>
    </cfRule>
  </conditionalFormatting>
  <conditionalFormatting sqref="I139:J154">
    <cfRule type="containsText" dxfId="1" priority="2" operator="containsText" text="Include">
      <formula>NOT(ISERROR(SEARCH("Include",I139)))</formula>
    </cfRule>
  </conditionalFormatting>
  <conditionalFormatting sqref="I139:J154">
    <cfRule type="containsText" dxfId="0" priority="1" operator="containsText" text="Exclude">
      <formula>NOT(ISERROR(SEARCH("Exclude",I139)))</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15"/>
  <sheetViews>
    <sheetView workbookViewId="0">
      <selection activeCell="A13" sqref="A13"/>
    </sheetView>
  </sheetViews>
  <sheetFormatPr defaultRowHeight="14.5" x14ac:dyDescent="0.35"/>
  <cols>
    <col min="1" max="1" width="14.453125" bestFit="1" customWidth="1"/>
  </cols>
  <sheetData>
    <row r="1" spans="1:3" x14ac:dyDescent="0.35">
      <c r="A1" t="s">
        <v>165</v>
      </c>
    </row>
    <row r="2" spans="1:3" x14ac:dyDescent="0.35">
      <c r="B2" t="s">
        <v>163</v>
      </c>
      <c r="C2" t="s">
        <v>164</v>
      </c>
    </row>
    <row r="3" spans="1:3" x14ac:dyDescent="0.35">
      <c r="A3" t="s">
        <v>161</v>
      </c>
      <c r="B3">
        <f>COUNTIFS('Merged results table'!$F:$F,TRUE,'Merged results table'!$K:$K,TRUE)</f>
        <v>109</v>
      </c>
      <c r="C3">
        <f>COUNTIFS('Merged results table'!$F:$F,TRUE,'Merged results table'!$K:$K,FALSE)</f>
        <v>0</v>
      </c>
    </row>
    <row r="4" spans="1:3" x14ac:dyDescent="0.35">
      <c r="A4" t="s">
        <v>162</v>
      </c>
      <c r="B4">
        <f>COUNTIFS('Merged results table'!$F:$F,FALSE,'Merged results table'!$K:$K,TRUE)</f>
        <v>31</v>
      </c>
      <c r="C4">
        <f>COUNTIFS('Merged results table'!$F:$F,FALSE,'Merged results table'!$K:$K,FALSE)</f>
        <v>13</v>
      </c>
    </row>
    <row r="6" spans="1:3" x14ac:dyDescent="0.35">
      <c r="A6" t="s">
        <v>168</v>
      </c>
      <c r="B6">
        <f>B3</f>
        <v>109</v>
      </c>
    </row>
    <row r="7" spans="1:3" x14ac:dyDescent="0.35">
      <c r="A7" t="s">
        <v>169</v>
      </c>
      <c r="B7">
        <f>C4</f>
        <v>13</v>
      </c>
    </row>
    <row r="8" spans="1:3" x14ac:dyDescent="0.35">
      <c r="A8" t="s">
        <v>170</v>
      </c>
      <c r="B8">
        <f>C3</f>
        <v>0</v>
      </c>
    </row>
    <row r="9" spans="1:3" x14ac:dyDescent="0.35">
      <c r="A9" t="s">
        <v>171</v>
      </c>
      <c r="B9">
        <f>B4</f>
        <v>31</v>
      </c>
    </row>
    <row r="11" spans="1:3" x14ac:dyDescent="0.35">
      <c r="A11" t="s">
        <v>166</v>
      </c>
      <c r="B11">
        <f>(B3+C4)/(B3+B4+C3+C4)</f>
        <v>0.79738562091503273</v>
      </c>
    </row>
    <row r="12" spans="1:3" x14ac:dyDescent="0.35">
      <c r="A12" t="s">
        <v>167</v>
      </c>
      <c r="B12">
        <f>B3/(B3+B4)</f>
        <v>0.77857142857142858</v>
      </c>
    </row>
    <row r="14" spans="1:3" x14ac:dyDescent="0.35">
      <c r="A14" t="s">
        <v>172</v>
      </c>
    </row>
    <row r="15" spans="1:3" x14ac:dyDescent="0.35">
      <c r="A15" t="s">
        <v>1024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Stage_4_API_200</vt:lpstr>
      <vt:lpstr>ID_Lookup</vt:lpstr>
      <vt:lpstr>Stage_4_FF_200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cp:lastPrinted>2025-09-08T10:46:52Z</cp:lastPrinted>
  <dcterms:created xsi:type="dcterms:W3CDTF">2025-09-03T10:40:47Z</dcterms:created>
  <dcterms:modified xsi:type="dcterms:W3CDTF">2025-09-08T10:46:57Z</dcterms:modified>
</cp:coreProperties>
</file>