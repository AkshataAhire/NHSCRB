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NM2.TP5IJ4AX\Downloads\"/>
    </mc:Choice>
  </mc:AlternateContent>
  <xr:revisionPtr revIDLastSave="0" documentId="13_ncr:1_{BA07FDD1-00BC-4EB3-A1D6-F31DFC2D82A2}" xr6:coauthVersionLast="47" xr6:coauthVersionMax="47" xr10:uidLastSave="{00000000-0000-0000-0000-000000000000}"/>
  <bookViews>
    <workbookView xWindow="-110" yWindow="-110" windowWidth="19420" windowHeight="10300" activeTab="4" xr2:uid="{66513E08-89B8-4D61-A86D-819C01466699}"/>
  </bookViews>
  <sheets>
    <sheet name="Stage_4_API_200" sheetId="1" r:id="rId1"/>
    <sheet name="ID_Lookup" sheetId="5" r:id="rId2"/>
    <sheet name="Stage_4_FF_200" sheetId="2" r:id="rId3"/>
    <sheet name="Merged results table" sheetId="3" r:id="rId4"/>
    <sheet name="Evaluating Results" sheetId="4" r:id="rId5"/>
  </sheets>
  <definedNames>
    <definedName name="_xlnm._FilterDatabase" localSheetId="3" hidden="1">'Merged results table'!$A$1:$K$154</definedName>
    <definedName name="_xlnm._FilterDatabase" localSheetId="2" hidden="1">Stage_4_FF_200!$A$1:$H$201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4" l="1"/>
  <c r="C3" i="4"/>
  <c r="B4" i="4"/>
  <c r="B3" i="4"/>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2" i="2"/>
  <c r="B8" i="4" l="1"/>
  <c r="B7" i="4"/>
  <c r="B9" i="4"/>
  <c r="B12" i="4" l="1"/>
  <c r="B6" i="4"/>
  <c r="B11" i="4"/>
</calcChain>
</file>

<file path=xl/sharedStrings.xml><?xml version="1.0" encoding="utf-8"?>
<sst xmlns="http://schemas.openxmlformats.org/spreadsheetml/2006/main" count="3090" uniqueCount="864">
  <si>
    <t>id</t>
  </si>
  <si>
    <t>Year</t>
  </si>
  <si>
    <t>Title</t>
  </si>
  <si>
    <t>Abstract</t>
  </si>
  <si>
    <t>J500</t>
  </si>
  <si>
    <t>The lifetime costs of pediatric abusive head trauma and a cost-effectiveness analysis of the Period of Purple crying program in British Columbia, Canada</t>
  </si>
  <si>
    <t>J501</t>
  </si>
  <si>
    <t>Impact of Weekend Treatment on Short-term and Long-term Survival Following Urgent Repair of Ruptured Aortic Aneurysms in Germany</t>
  </si>
  <si>
    <t>J502</t>
  </si>
  <si>
    <t>Pdb16 Assessment of Cost-Effectiveness of a 0.2 Mcg/Day Fluocinolone Acetonide (Fac) Implant in Patients with Chronic Diabetic Macular Oedema (Dmo) in an Eye with Cataract</t>
  </si>
  <si>
    <t>J503</t>
  </si>
  <si>
    <t>Fluorides for preventing early tooth decay (demineralised lesions) during fixed brace treatment</t>
  </si>
  <si>
    <t>J504</t>
  </si>
  <si>
    <t>Pmh28 Assessing the Life-Cycle Value Added of Second-Generation Antipsychotics in Sweden and the Uk: The Case of Risperidone</t>
  </si>
  <si>
    <t>J505</t>
  </si>
  <si>
    <t>Fetal fibronectin testing for reducing the risk of preterm birth</t>
  </si>
  <si>
    <t>J506</t>
  </si>
  <si>
    <t>Cervical assessment by ultrasound for preventing preterm delivery</t>
  </si>
  <si>
    <t>J507</t>
  </si>
  <si>
    <t>J508</t>
  </si>
  <si>
    <t>Adalimumab for non-infectious uveitis: Is it cost-effective?</t>
  </si>
  <si>
    <t>J509</t>
  </si>
  <si>
    <t>Burden of varicella complications in secondary care, England, 2004 to 2017</t>
  </si>
  <si>
    <t>J510</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</si>
  <si>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</si>
  <si>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</si>
  <si>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</si>
  <si>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</si>
  <si>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</si>
  <si>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</si>
  <si>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</si>
  <si>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J514</t>
  </si>
  <si>
    <t>J515</t>
  </si>
  <si>
    <t>What evidence is available to support the development of a regional specialist neurorehabilitation outreach service</t>
  </si>
  <si>
    <t>J516</t>
  </si>
  <si>
    <t>Mixed exercise training for adults with fibromyalgia</t>
  </si>
  <si>
    <t>J517</t>
  </si>
  <si>
    <t>The health economics of ankle and foot sprains and fractures: A systematic review of English-language published papers. Part 2: The direct and indirect costs of injury</t>
  </si>
  <si>
    <t>J518</t>
  </si>
  <si>
    <t>143. Chiropractors treating patients with acute lower back pain in a spine treatment pathway model: a five-year prospective cohort study</t>
  </si>
  <si>
    <t>J519</t>
  </si>
  <si>
    <t>Lateral flow urine lipoarabinomannan assay for detecting active tuberculosis in people living with HIV</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</si>
  <si>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</si>
  <si>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</si>
  <si>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</si>
  <si>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J521</t>
  </si>
  <si>
    <t>Pcv98 Pcsk9 Inhibitors: An Analysis of Current Uptake and Potential Opportunities in England</t>
  </si>
  <si>
    <t>J522</t>
  </si>
  <si>
    <t>Continuous subcutaneous insulin infusion versus multiple daily injection regimens in children and young people at diagnosis of type 1 diabetes: Pragmatic randomised controlled trial and economic evaluation</t>
  </si>
  <si>
    <t>J523</t>
  </si>
  <si>
    <t>J524</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</si>
  <si>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</si>
  <si>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</si>
  <si>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</si>
  <si>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</si>
  <si>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</si>
  <si>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</si>
  <si>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</si>
  <si>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</si>
  <si>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J528</t>
  </si>
  <si>
    <t>J529</t>
  </si>
  <si>
    <t>Endometrial resection and ablation techniques for heavy menstrual bleeding</t>
  </si>
  <si>
    <t>J530</t>
  </si>
  <si>
    <t>Cyclical progestogens for heavy menstrual bleeding</t>
  </si>
  <si>
    <t>J531</t>
  </si>
  <si>
    <t>SAT-017 End Stage Renal Disease in Ghana</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</si>
  <si>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</si>
  <si>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</si>
  <si>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</si>
  <si>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</si>
  <si>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</si>
  <si>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</si>
  <si>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</si>
  <si>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</si>
  <si>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J535</t>
  </si>
  <si>
    <t>Interventions for prodromal stage of psychosis</t>
  </si>
  <si>
    <t>J536</t>
  </si>
  <si>
    <t>Context-Specific Economic Evaluation for Molecular Pathology Tests: An Application in Colorectal Cancer in the West of Scotland</t>
  </si>
  <si>
    <t>J537</t>
  </si>
  <si>
    <t>Screening Women for Abdominal Aortic Aneurysms: Clinical and Economic Effectiveness Results from a Discrete Event Simulation Model</t>
  </si>
  <si>
    <t>J538</t>
  </si>
  <si>
    <t>Herbal medicinal products or preparations for neuropathic pain</t>
  </si>
  <si>
    <t>J539</t>
  </si>
  <si>
    <t>J540</t>
  </si>
  <si>
    <t>Conservative management following closed reduction of traumatic anterior dislocation of the shoulder</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</si>
  <si>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</si>
  <si>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</si>
  <si>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</si>
  <si>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</si>
  <si>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J543</t>
  </si>
  <si>
    <t>Laparoscopically assisted versus open oesophagectomy for patients with oesophageal cancer - The Randomised Oesophagectomy: Minimally Invasive or Open (ROMIO) study: Protocol for a randomised controlled trial (RCT)</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</si>
  <si>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</si>
  <si>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</si>
  <si>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</si>
  <si>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</si>
  <si>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</si>
  <si>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</si>
  <si>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J546</t>
  </si>
  <si>
    <t>Individualised screening for diabetic retinopathy: The ISDR study - Rationale, design and methodology for a randomised controlled trial comparing annual and individualised risk-based variable-interval screening</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</si>
  <si>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</si>
  <si>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</si>
  <si>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</si>
  <si>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</si>
  <si>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</si>
  <si>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</si>
  <si>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</si>
  <si>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</si>
  <si>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</si>
  <si>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Unique ID</t>
  </si>
  <si>
    <t>FF screen</t>
  </si>
  <si>
    <t>FF reason</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</si>
  <si>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</si>
  <si>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</si>
  <si>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</si>
  <si>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</si>
  <si>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</si>
  <si>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</si>
  <si>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</si>
  <si>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</si>
  <si>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</si>
  <si>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</si>
  <si>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</si>
  <si>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</si>
  <si>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</si>
  <si>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</si>
  <si>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</si>
  <si>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</si>
  <si>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</si>
  <si>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</si>
  <si>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</si>
  <si>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</si>
  <si>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</si>
  <si>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</si>
  <si>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</si>
  <si>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</si>
  <si>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</si>
  <si>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</si>
  <si>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</si>
  <si>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</si>
  <si>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</si>
  <si>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</si>
  <si>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</si>
  <si>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</si>
  <si>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</si>
  <si>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</si>
  <si>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</si>
  <si>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</si>
  <si>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</si>
  <si>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</si>
  <si>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</si>
  <si>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</si>
  <si>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</si>
  <si>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</si>
  <si>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</si>
  <si>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</si>
  <si>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</si>
  <si>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</si>
  <si>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</si>
  <si>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</si>
  <si>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</si>
  <si>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</si>
  <si>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API_Include</t>
  </si>
  <si>
    <t>API_Exclude</t>
  </si>
  <si>
    <t>FF_Include</t>
  </si>
  <si>
    <t>FF_Exclude</t>
  </si>
  <si>
    <t>Confusion Matrix</t>
  </si>
  <si>
    <t>Accuracy</t>
  </si>
  <si>
    <t>Precision</t>
  </si>
  <si>
    <t>True Positives</t>
  </si>
  <si>
    <t>True Negatives</t>
  </si>
  <si>
    <t>False Positives</t>
  </si>
  <si>
    <t>False Negatives</t>
  </si>
  <si>
    <t>Notes</t>
  </si>
  <si>
    <t>Exclude</t>
  </si>
  <si>
    <t>Id_flag</t>
  </si>
  <si>
    <t>FF_include_stage2</t>
  </si>
  <si>
    <t>include_stage4</t>
  </si>
  <si>
    <t>reason_stage4</t>
  </si>
  <si>
    <t>publication_type</t>
  </si>
  <si>
    <t>confidence_stage4</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</si>
  <si>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Ãƒâ€šÃ‚Â© 2019</t>
  </si>
  <si>
    <t>Peer-reviewed</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</si>
  <si>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Ãƒâ€šÃ‚Â© 2019</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</si>
  <si>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Ãƒâ€šÃ‚Â©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</si>
  <si>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Ãƒâ€šÃ‚Â© 2019 European Centre for Disease Prevention and Control (ECDC). All rights reserved.</t>
  </si>
  <si>
    <t>ÃƒÂ¢Ã¢â€šÂ¬Ã¢â‚¬Â¹Primary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</si>
  <si>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InÃƒÂ¢Ã¢â€šÂ¬Ã‚ÂProcess &amp; Other NonÃƒÂ¢Ã¢â€šÂ¬Ã‚ÂIndexed Citations); Ovid Embase and EBSCO CINAHL Plus. We also searched clinical trials registries for ongoing and unpublished studies, and scanned reference lists of relevant included studies as well as reviews, metaÃƒÂ¢Ã¢â€šÂ¬Ã‚Âanalyses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fullÃƒÂ¢Ã¢â€šÂ¬Ã‚Âtext publications, applied the inclusion criteria, and extracted data. We pooled data using a randomÃƒÂ¢Ã¢â€šÂ¬Ã‚Âeffects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infectionÃƒÂ¢Ã¢â€šÂ¬Ã‚Âfree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ÃƒÂ¢Ã¢â€šÂ¬Ã‚Â1.31, 95% CI ÃƒÂ¢Ã¢â€šÂ¬Ã‚Â2.03 to ÃƒÂ¢Ã¢â€šÂ¬Ã‚Â0.59; 1 study, 182 participants). The certainty of evidence for this outcome was judged to be moderate (we downgraded our assessment by one level for imprecision). We are uncertain whether primary closure improves the proportion of dog bite wounds that are infectionÃƒÂ¢Ã¢â€šÂ¬Ã‚Âfree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highÃƒÂ¢Ã¢â€šÂ¬Ã‚Âcertainty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lowerÃƒÂ¢Ã¢â€šÂ¬Ã‚Âincome countries bites can also be caused by wild animals. Dogs are generally responsible for the majority of bites. Bite wounds are at high risk of infection as microbes are transmitted into the wound from the animal's mouth. In lowerÃƒÂ¢Ã¢â€šÂ¬Ã‚Âincome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infectionÃƒÂ¢Ã¢â€šÂ¬Ã‚Âfree compared with no closure (very lowÃƒÂ¢Ã¢â€šÂ¬Ã‚Âcertainty evidence from two studies including a total of 782 people) and compared with delayed closure (very lowÃƒÂ¢Ã¢â€šÂ¬Ã‚Âcertainty evidence from one study with a total of 120 people). There is little difference in the appearance of dog bite wounds when primary closure is compared with no closure (moderateÃƒÂ¢Ã¢â€šÂ¬Ã‚Âcertainty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</si>
  <si>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(XpressIveÃƒâ€šÃ‚Â©) and Discrete-Even Simulation (Simul8 Ãƒâ€šÃ‚Â©).Various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</si>
  <si>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Ãƒâ€šÃ‚Â©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</si>
  <si>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Ãƒâ€šÃ‚Â© Published by the BMJ Publishing Group Limited.</t>
  </si>
  <si>
    <t>Editorial/Commentary</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</si>
  <si>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Ãƒâ€šÃ‚Â© 2019 Author(s).</t>
  </si>
  <si>
    <t>Protocol</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</si>
  <si>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Ãƒâ€šÃ‚Â©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</si>
  <si>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Ãƒâ€šÃ‚Â© 2019</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</si>
  <si>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Ãƒâ€šÃ‚Â© Ãƒâ€šÃ‚Â© Author(s) (or their employer(s)) 2019. Re-use permitted under CC BY. Published by BMJ.</t>
  </si>
  <si>
    <t>Study protocol identified in title and abstract.</t>
  </si>
  <si>
    <t>Peer-reviewed article on cost-effectiveness of public health interventions.</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</si>
  <si>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Ãƒâ€šÃ‚Â© 2019 BMJ Publishing Group Limited.</t>
  </si>
  <si>
    <t>Correct study type</t>
  </si>
  <si>
    <t>think this is essentially a Protocol</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</si>
  <si>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ParticipantÃƒÂ¢Ã¢â€šÂ¬Ã‚Âassessed outcomes, such as perception of DLs, and oral healthÃƒÂ¢Ã¢â€šÂ¬Ã‚Ârelated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ParallelÃƒÂ¢Ã¢â€šÂ¬Ã‚Âgroup, randomised controlled trials comparing the use of a fluorideÃƒÂ¢Ã¢â€šÂ¬Ã‚Âcontaining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(nonÃƒÂ¢Ã¢â€šÂ¬Ã‚Âfluoride)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lowÃƒÂ¢Ã¢â€šÂ¬Ã‚Âcertainty evidence). One placebo (nonÃƒÂ¢Ã¢â€šÂ¬Ã‚Âfluoride)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highÃƒÂ¢Ã¢â€šÂ¬Ã‚Âconcentration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comparisons:ÃƒÂ¢Ã¢â€šÂ¬Ã‚Â¨ ÃƒÂ¢Ã¢â€šÂ¬Ã‚Â an amine fluoride and stannous fluoride toothpaste/mouthrinse combination versus a sodium fluoride toothpaste/mouthrinse,ÃƒÂ¢Ã¢â€šÂ¬Ã‚Â¨ ÃƒÂ¢Ã¢â€šÂ¬Ã‚Â an amine fluoride gel versus a nonÃƒÂ¢Ã¢â€šÂ¬Ã‚Âfluoride placebo applied by participants at home once a week and by professional application every three months,ÃƒÂ¢Ã¢â€šÂ¬Ã‚Â¨ ÃƒÂ¢Ã¢â€šÂ¬Ã‚Â resinÃƒÂ¢Ã¢â€šÂ¬Ã‚Âmodified glass ionomer cement versus lightÃƒÂ¢Ã¢â€šÂ¬Ã‚Âcured composite resin for bonding orthodontic brackets,ÃƒÂ¢Ã¢â€šÂ¬Ã‚Â¨ ÃƒÂ¢Ã¢â€šÂ¬Ã‚Â a 250 ppm F mouthrinse versus 0 ppm F placebo mouthrinse,ÃƒÂ¢Ã¢â€šÂ¬Ã‚Â¨ ÃƒÂ¢Ã¢â€šÂ¬Ã‚Â the use of an intraoral fluorideÃƒÂ¢Ã¢â€šÂ¬Ã‚Âreleasing glass bead device attached to the brace versus a daily fluoride mouthrinse. The last two comparisons involved studies that were assessed at high risk of bias, because a substantial number of participants were lost to followÃƒÂ¢Ã¢â€šÂ¬Ã‚Âup.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followÃƒÂ¢Ã¢â€šÂ¬Ã‚Âup studies, in different settings, to confirm external validity. A patientÃƒÂ¢Ã¢â€šÂ¬Ã‚Âreported outcome, such as concern about the aesthetics of any DLs, was still not included as an outcome in any study. Reports of adverse effects from topical fluoride applications were rare and unlikely to be significant. One study involving fluorideÃƒÂ¢Ã¢â€šÂ¬Ã‚Âcontaining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ÃƒÂ¢Ã¢â€šÂ¬Ã‚Â¨ Ugly white or brown marks sometimes appear on the teeth during treatment with braces to straighten teeth. These are due to early tooth decay and usually occur with fixed, gluedÃƒÂ¢Ã¢â€šÂ¬Ã‚Âon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ÃƒÂ¢Ã¢â€šÂ¬Ã‚Â¨ Wearing a fixed brace makes it harder for people to keep their teeth clean and may also cause pain. Pain can make it more difficult for people to brush their teeth. This can lead to a buildÃƒÂ¢Ã¢â€šÂ¬Ã‚Âup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ÃƒÂ¢Ã¢â€šÂ¬Ã‚Â¨ This review is upÃƒÂ¢Ã¢â€šÂ¬Ã‚ÂtoÃƒÂ¢Ã¢â€šÂ¬Ã‚Âdate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treatments:ÃƒÂ¢Ã¢â€šÂ¬Ã‚Â¨ ÃƒÂ¢Ã¢â€šÂ¬Ã‚Â dentist or nurseÃƒÂ¢Ã¢â€šÂ¬Ã‚Âapplied fluoride e.g. varnish, gel or foam,ÃƒÂ¢Ã¢â€šÂ¬Ã‚Â¨ ÃƒÂ¢Ã¢â€šÂ¬Ã‚Â patientÃƒÂ¢Ã¢â€šÂ¬Ã‚Âapplied/used fluoride e.g. toothpaste, mouthwash, gel or foam, andÃƒÂ¢Ã¢â€šÂ¬Ã‚Â¨ ÃƒÂ¢Ã¢â€šÂ¬Ã‚Â materials that release fluoride over time e.g. glues, elastic bands. Key results ÃƒÂ¢Ã¢â€šÂ¬Ã‚Â¨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ÃƒÂ¢Ã¢â€šÂ¬Ã‚Â¨ The level of belief we have in these findings is low, due to the lack of studies testing the same fluorides and showing the same results. We suggest that more, wellÃƒÂ¢Ã¢â€šÂ¬Ã‚Âconducted studies should be done in this area.</t>
  </si>
  <si>
    <t>- Background Fetal fibronectin (FFN) is an extracellular matrix glycoprotein localized at the maternalÃƒÂ¢Ã¢â€šÂ¬Ã‚Âfetal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ChildbirthÃƒÂ¢Ã¢â€šÂ¬Ã¢â€žÂ¢s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lowÃƒÂ¢Ã¢â€šÂ¬Ã‚Âquality evidence). However, management based on knowledge of FFN results may make little or no difference to preterm birth before 34 (RR 1.09, 95% CI 0.54 to 2.18; 4 trials; 357 women; lowÃƒÂ¢Ã¢â€šÂ¬Ã‚Âquality evidence) or maternal hospitalization (RR 1.06, 95% CI 0.79 to 1.43; 5 trials; 441 women; lowÃƒÂ¢Ã¢â€šÂ¬Ã‚Âquality evidence). The evidence for preterm birth before 32 weeks is uncertain because the quality was found to be very low (average RR 0.79, 95% CI 0.16 to 3.96; 4 trials; 357 women; very lowÃƒÂ¢Ã¢â€šÂ¬Ã‚Âquality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CostÃƒÂ¢Ã¢â€šÂ¬Ã‚Âeffectiveness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ÃƒÂ¢Ã¢â€šÂ¬Ã‹Å“glueÃƒÂ¢Ã¢â€šÂ¬Ã¢â€žÂ¢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womenÃƒÂ¢Ã¢â€šÂ¬Ã¢â€žÂ¢s gestational age at delivery; babies with a birthweight less than 2500 g; newborn deaths; the number of babies with respiratory distress syndrome; giving steroids to mature the unborn babiesÃƒÂ¢Ã¢â€šÂ¬Ã¢â€žÂ¢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</si>
  <si>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Peer-reviewed article with research findings.</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</si>
  <si>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ChildbirthÃƒÂ¢Ã¢â€šÂ¬Ã¢â€žÂ¢s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TVUÃƒÂ¢Ã¢â€šÂ¬Ã‚Âmeasured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TVUÃƒÂ¢Ã¢â€šÂ¬Ã‚Âmeasured cervical length of singletons with symptoms of PTL versus no knowledge. We are uncertain of the effects because of inconclusive results and very lowÃƒÂ¢Ã¢â€šÂ¬Ã‚Âquality evidence for: preterm births at less than 37 weeks (average RR 0.59, 95% CI 0.26 to 1.32; 2 studies, 242 participants; IÃƒâ€šÃ‚Â² = 66%; TauÃƒâ€šÃ‚Â²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IÃƒâ€šÃ‚Â²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ultrasoundÃƒÂ¢Ã¢â€šÂ¬Ã‚Âmeasured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costÃƒÂ¢Ã¢â€šÂ¬Ã‚Âeffectiveness analyses. Most importantly, future studies should include a clear protocol for management of women based on TVUÃƒÂ¢Ã¢â€šÂ¬Ã‚Âmeasured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lowÃƒÂ¢Ã¢â€šÂ¬Ã‚Âquality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costÃƒÂ¢Ã¢â€šÂ¬Ã‚Âeffectiveness analyses.</t>
  </si>
  <si>
    <t>Unknown</t>
  </si>
  <si>
    <t>Treatment for hepatorenal syndrome in people with decompensated liver cirrhosis: a network metaÃƒÂ¢Ã¢â€šÂ¬Ã‚Âanalysis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</si>
  <si>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metaÃƒÂ¢Ã¢â€šÂ¬Ã‚Âanalysis with OpenBUGS using Bayesian methods and calculated the odds ratio (OR), rate ratio, hazard ratio (HR), and mean difference (MD) with 95% credible intervals (CrI) based on an availableÃƒÂ¢Ã¢â€šÂ¬Ã‚Âcase analysis, according to National Institute of Health and Care Excellence Decision Support Unit guidance. Main results We included a total of 25 trials (1263 participants; 12 interventions) in the review. TwentyÃƒÂ¢Ã¢â€šÂ¬Ã‚Âthree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followÃƒÂ¢Ã¢â€šÂ¬Ã‚Âup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followÃƒÂ¢Ã¢â€šÂ¬Ã‚Âup between the different interventions. None of the trials reported healthÃƒÂ¢Ã¢â€šÂ¬Ã‚Ârelated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followÃƒÂ¢Ã¢â€šÂ¬Ã‚Âup (four trials; 342 participants), or other features of decompensation at maximal followÃƒÂ¢Ã¢â€šÂ¬Ã‚Âup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metaÃƒÂ¢Ã¢â€šÂ¬Ã‚Âanalysis,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lowÃƒÂ¢Ã¢â€šÂ¬Ã‚Âcertainty evidence, there is no evidence of benefit or harm of any of the interventions for hepatorenal syndrome with regards to the following outcomes: allÃƒÂ¢Ã¢â€šÂ¬Ã‚Âcause mortality, serious adverse events (proportion), number of serious adverse events per participant, any adverse events (proportion), liver transplantation, or other decompensation events. LowÃƒÂ¢Ã¢â€šÂ¬Ã‚Âcertainty evidence suggests that albumin plus noradrenaline had fewer 'any adverse events per participant' than albumin plus terlipressin. LowÃƒÂ¢Ã¢â€šÂ¬Ã‚Â or very lowÃƒÂ¢Ã¢â€šÂ¬Ã‚Âcertainty evidence also found that albumin plus midodrine plus octreotide and albumin alone had lower recovery from hepatorenal syndrome compared with albumin plus terlipressin. Future randomised clinical trials should be adequately powered; employ blinding, avoid postÃƒÂ¢Ã¢â€šÂ¬Ã‚Ârandomisation dropouts or planned crossÃƒÂ¢Ã¢â€šÂ¬Ã‚Âovers (or perform an intentionÃƒÂ¢Ã¢â€šÂ¬Ã‚ÂtoÃƒÂ¢Ã¢â€šÂ¬Ã‚Âtreat analysis); and report clinically important outcomes such as mortality, healthÃƒÂ¢Ã¢â€šÂ¬Ã‚Ârelated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metaÃƒÂ¢Ã¢â€šÂ¬Ã‚Âanalysis' or 'multiple treatment comparisons'). The aim is to gather reliable evidence on the relative benefits and harms of the different treatments. Date of literature search ÃƒÂ¢Ã¢â€šÂ¬Ã‚Â¨ December 2018 Key messages ÃƒÂ¢Ã¢â€šÂ¬Ã‚Â¨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HealthÃƒÂ¢Ã¢â€šÂ¬Ã‚Ârelated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liverÃƒÂ¢Ã¢â€šÂ¬Ã‚Âtransplanted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nonÃƒÂ¢Ã¢â€šÂ¬Ã‚Âserious complications, time to liver transplantation, recovery from hepatorenal syndrome, and disappearance of symptoms. What were the main results of the review? The 25 studies included a small number of participants (1263 participants). Study data were sparse. TwentyÃƒÂ¢Ã¢â€šÂ¬Ã‚Âthree studies with 1185 participants provided data for analyses. The followÃƒÂ¢Ã¢â€šÂ¬Ã‚Âup in the trials ranged from one week to six months. The review shows that: ÃƒÂ¢Ã¢â€šÂ¬Ã‚Â About 60 out of every 100 people died within three months, and 35 out of every 100 people recovered from hepatorenal syndrome. ÃƒÂ¢Ã¢â€šÂ¬Ã‚Â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ÃƒÂ¢Ã¢â€šÂ¬Ã‚Â None of the trials reported healthÃƒÂ¢Ã¢â€šÂ¬Ã‚Ârelated quality of life. ÃƒÂ¢Ã¢â€šÂ¬Ã‚Â The number of complications of any severity was lower with albumin plus noradrenaline than albumin plus terlipressin. ÃƒÂ¢Ã¢â€šÂ¬Ã‚Â Recovery from hepatorenal syndrome may be lower with albumin plus midodrine plus octreotide and albumin alone than albumin plus terlipressin and albumin plus noradrenaline. ÃƒÂ¢Ã¢â€šÂ¬Ã‚Â We have very low confidence in the overall results. ÃƒÂ¢Ã¢â€šÂ¬Ã‚Â Future trials with proper design and quality are needed to clarify the best treatment for people with advanced liver disease having hepatorenal syndrome.</t>
  </si>
  <si>
    <t>OnceÃƒÂ¢Ã¢â€šÂ¬Ã‚Âdaily versus multipleÃƒÂ¢Ã¢â€šÂ¬Ã‚Âdaily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</si>
  <si>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onceÃƒÂ¢Ã¢â€šÂ¬Ã‚Âdaily versus multipleÃƒÂ¢Ã¢â€šÂ¬Ã‚Âdaily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onceÃƒÂ¢Ã¢â€šÂ¬Ã‚Âdaily dosing of aminoglycosides has been compared with multipleÃƒÂ¢Ã¢â€šÂ¬Ã‚Âdaily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onceÃƒÂ¢Ã¢â€šÂ¬Ã‚Âdaily dosing with thriceÃƒÂ¢Ã¢â€šÂ¬Ã‚Âdaily dosing. One crossÃƒÂ¢Ã¢â€šÂ¬Ã‚Âover trial had 26 participants who received the firstÃƒÂ¢Ã¢â€šÂ¬Ã‚Âarm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ÃƒÂ¢Ã¢â€šÂ¬Ã‚Â2.81 to 3.48, moderateÃƒÂ¢Ã¢â€šÂ¬Ã‚Âquality evidence); forced vital capacity, MD 0.29 (95% CI ÃƒÂ¢Ã¢â€šÂ¬Ã‚Â6.58 to 7.16, lowÃƒÂ¢Ã¢â€šÂ¬Ã‚Âquality evidence); % weight for height, MD ÃƒÂ¢Ã¢â€šÂ¬Ã‚Â0.82 (95% CI ÃƒÂ¢Ã¢â€šÂ¬Ã‚Â3.77 to 2.13, lowÃƒÂ¢Ã¢â€šÂ¬Ã‚Âquality evidence); body mass index, MD 0.00 (95% CI ÃƒÂ¢Ã¢â€šÂ¬Ã‚Â0.42 to 0.42, lowÃƒÂ¢Ã¢â€šÂ¬Ã‚Âquality evidence); or in the incidence of ototoxicity, relative risk 0.56 (95% CI 0.04 to 7.96, moderateÃƒÂ¢Ã¢â€šÂ¬Ã‚Âquality evidence). OnceÃƒÂ¢Ã¢â€šÂ¬Ã‚Âdaily treatment in children probably improved the percentage change in creatinine, MD ÃƒÂ¢Ã¢â€šÂ¬Ã‚Â8.20 (95% CI ÃƒÂ¢Ã¢â€šÂ¬Ã‚Â15.32 to ÃƒÂ¢Ã¢â€šÂ¬Ã‚Â1.08, moderateÃƒÂ¢Ã¢â€šÂ¬Ã‚Âquality evidence), but showed no difference in adults, MD 3.25 (95% CI ÃƒÂ¢Ã¢â€šÂ¬Ã‚Â1.82 to 8.33, moderateÃƒÂ¢Ã¢â€šÂ¬Ã‚Âquality evidence). The included trials did not report antibiotic resistance patterns or quality of life. Authors' conclusions OnceÃƒÂ¢Ã¢â€šÂ¬Ã‚Â and threeÃƒÂ¢Ã¢â€šÂ¬Ã‚Âtimes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onceÃƒÂ¢Ã¢â€šÂ¬Ã‚ÂaÃƒÂ¢Ã¢â€šÂ¬Ã‚Âday dosing with three timesÃƒÂ¢Ã¢â€šÂ¬Ã‚ÂaÃƒÂ¢Ã¢â€šÂ¬Ã‚Âday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onceÃƒÂ¢Ã¢â€šÂ¬Ã‚Âdaily treatment can be just as effective and more convenient than threeÃƒÂ¢Ã¢â€šÂ¬Ã‚Âtimes daily treatment, we recommend further studies to look at the longÃƒÂ¢Ã¢â€šÂ¬Ã‚Âterm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</si>
  <si>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Perioperative betaÃƒÂ¢Ã¢â€šÂ¬Ã‚Âblockers for preventing surgeryÃƒÂ¢Ã¢â€šÂ¬Ã‚Ârelated mortality and morbidity in adults undergoing nonÃƒÂ¢Ã¢â€šÂ¬Ã‚Âcardiac surgery</t>
  </si>
  <si>
    <t>- Background Randomized controlled trials (RCTs) have yielded conflicting results regarding the ability of betaÃƒÂ¢Ã¢â€šÂ¬Ã‚Âblockers to influence perioperative cardiovascular morbidity and mortality. Thus routine prescription of these drugs in an unselected population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nonÃƒÂ¢Ã¢â€šÂ¬Ã‚Âcardiac surgery only. Objectives To assess the effectiveness of perioperatively administered betaÃƒÂ¢Ã¢â€šÂ¬Ã‚Âblockers for the prevention of surgeryÃƒÂ¢Ã¢â€šÂ¬Ã‚Ârelated mortality and morbidity in adults undergoing nonÃƒÂ¢Ã¢â€šÂ¬Ã‚Âcardiac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nonÃƒÂ¢Ã¢â€šÂ¬Ã‚Âcardiac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quasiÃƒÂ¢Ã¢â€šÂ¬Ã‚Ârandomized studies. All participants were undergoing nonÃƒÂ¢Ã¢â€šÂ¬Ã‚Âcardiac surgery, and types of surgery ranged from low to high risk. Types of betaÃƒÂ¢Ã¢â€šÂ¬Ã‚Âblockers were: propranolol, metoprolol, esmolol, landiolol, nadolol, atenolol, labetalol, oxprenolol, and pindolol. In nine studies, betaÃƒÂ¢Ã¢â€šÂ¬Ã‚Âblockers were titrated according to heart rate or blood pressure. Duration of administration varied between studies, as did the time at which drugs were administered; in most studies, it was intraoperatively, but in 18 studies it was before surgery, in six postoperatively, one multiÃƒÂ¢Ã¢â€šÂ¬Ã‚Âarm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openÃƒÂ¢Ã¢â€šÂ¬Ã‚Âlabel study design. Only two studies were prospectively registered with clinical trials registers, which limited the assessment of reporting bias. In six studies, participants in the control group were given betaÃƒÂ¢Ã¢â€šÂ¬Ã‚Âblockers as rescue therapy during the study period. The evidence for allÃƒÂ¢Ã¢â€šÂ¬Ã‚Âcause mortality at 30 days was uncertain; based on the risk of death in the control group of 25 per 1000, the effect with betaÃƒÂ¢Ã¢â€šÂ¬Ã‚Âblockers was between two fewer and 13 more per 1000 (risk ratio (RR) 1.17, 95% confidence interval (CI) 0.89 to 1.54; 16 studies, 11,446 participants; lowÃƒÂ¢Ã¢â€šÂ¬Ã‚Âcertainty evidence). BetaÃƒÂ¢Ã¢â€šÂ¬Ã‚Âblockers may reduce the incidence of myocardial infarction by 13 fewer incidences per 1000 (RR 0.72, 95% CI 0.60 to 0.87; 12 studies, 10,520 participants; lowÃƒÂ¢Ã¢â€šÂ¬Ã‚Âcertainty evidence). We found no evidence of a difference in cerebrovascular events (RR 1.65, 95% CI 0.97 to 2.81; 6 studies, 9460 participants; lowÃƒÂ¢Ã¢â€šÂ¬Ã‚Âcertainty evidence), or in ventricular arrhythmias (RR 0.72, 95% CI 0.35 to 1.47; 5 studies, 47 participants; very lowÃƒÂ¢Ã¢â€šÂ¬Ã‚Âcertainty evidence). BetaÃƒÂ¢Ã¢â€šÂ¬Ã‚Âblockers may reduce atrial fibrillation or flutter by 26 fewer incidences per 1000 (RR 0.41, 95% CI 0.21 to 0.79; 9 studies, 9080 participants; lowÃƒÂ¢Ã¢â€šÂ¬Ã‚Âcertainty evidence). However, betaÃƒÂ¢Ã¢â€šÂ¬Ã‚Âblockers may increase bradycardia by 55 more incidences per 1000 (RR 2.49, 95% CI 1.74 to 3.56; 49 studies, 12,239 participants; lowÃƒÂ¢Ã¢â€šÂ¬Ã‚Âcertainty evidence), and hypotension by 44 more per 1000 (RR 1.40, 95% CI 1.29 to 1.51; 49 studies, 12,304 participants; moderateÃƒÂ¢Ã¢â€šÂ¬Ã‚Âcertainty evidence). We downgraded the certainty of the evidence owing to study limitations; some studies had high risks of bias, and the effects were sometimes altered when we excluded studies with a standard care control group (including only placeboÃƒÂ¢Ã¢â€šÂ¬Ã‚Âcontrolled trials showed an increase in early mortality and cerebrovascular events with betaÃƒÂ¢Ã¢â€šÂ¬Ã‚Âblockers). We also downgraded for inconsistency; one large, wellÃƒÂ¢Ã¢â€šÂ¬Ã‚Âconducted, international study found a reduction in myocardial infarction, and an increase in cerebrovascular events and allÃƒÂ¢Ã¢â€šÂ¬Ã‚Âcause mortality, when betaÃƒÂ¢Ã¢â€šÂ¬Ã‚Âblockers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allÃƒÂ¢Ã¢â€šÂ¬Ã‚Âcause mortality with perioperative betaÃƒÂ¢Ã¢â€šÂ¬Ã‚Âblockers was uncertain. We found no evidence of a difference in cerebrovascular events or ventricular arrhythmias, and the certainty of the evidence for these outcomes was low and very low. We found lowÃƒÂ¢Ã¢â€šÂ¬Ã‚Âcertainty evidence that betaÃƒÂ¢Ã¢â€šÂ¬Ã‚Âblockers may reduce atrial fibrillation and myocardial infarctions. However, betaÃƒÂ¢Ã¢â€šÂ¬Ã‚Âblockers may increase bradycardia (lowÃƒÂ¢Ã¢â€šÂ¬Ã‚Âcertainty evidence) and probably increase hypotension (moderateÃƒÂ¢Ã¢â€šÂ¬Ã‚Âcertainty evidence). Further evidence from large placeboÃƒÂ¢Ã¢â€šÂ¬Ã‚Âcontrolled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BetaÃƒÂ¢Ã¢â€šÂ¬Ã‚Âblockers to prevent death or serious events after surgery not involving the heart This review assessed evidence from randomized controlled trials (RCTs) on whether betaÃƒÂ¢Ã¢â€šÂ¬Ã‚Âblockers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BetaÃƒÂ¢Ã¢â€šÂ¬Ã‚Âblockers are drugs that block the action of adrenaline and noradrenaline on the heart. BetaÃƒÂ¢Ã¢â€šÂ¬Ã‚Âblockers can slow down the heart, and reduce blood pressure, and this may reduce the risk of serious events. However, betaÃƒÂ¢Ã¢â€šÂ¬Ã‚Âblockers may lead to a very low heart rate or very low blood pressure which could increase the risk of death or a stroke. Prevention of early complications after surgery is important, but using betaÃƒÂ¢Ã¢â€šÂ¬Ã‚Âblockers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betaÃƒÂ¢Ã¢â€šÂ¬Ã‚Âblockers used in the studies were: propranolol, metoprolol, esmolol, landiolol, nadolol, atenolol, labetalol, oxprenolol, and pindolol. Studies compared these betaÃƒÂ¢Ã¢â€šÂ¬Ã‚Âblockers with either a placebo (disguised to look like a betaÃƒÂ¢Ã¢â€šÂ¬Ã‚Âblocker but containing no medicine) or with standard care. Key results BetaÃƒÂ¢Ã¢â€šÂ¬Ã‚Âblockers may make l ttle or no difference to the number of people who die within 30 days of surgery (16 studies, 11,446 participants; lowÃƒÂ¢Ã¢â€šÂ¬Ã‚Âcertainty evidence), have a stroke (6 studies, 9460 participants; lowÃƒÂ¢Ã¢â€šÂ¬Ã‚Âcertainty evidence), or experience ventricular arrhythmias (irregular heartbeat rhythms, starting in the main chambers of the heart, that are potentially lifeÃƒÂ¢Ã¢â€šÂ¬Ã‚Âthreatening and may need immediate medical treatment; 5 studies, 476 participants; very lowÃƒÂ¢Ã¢â€šÂ¬Ã‚Âcertainty evidence). We found that betaÃƒÂ¢Ã¢â€šÂ¬Ã‚Âblockers may reduce atrial fibrillation (an irregular heartbeat, starting in the atrial chambers of the heart, that increases the risk of stroke if untreated; 9 studies, 9080 participants; low certaintyÃƒÂ¢Ã¢â€šÂ¬Ã‚Âevidence), and the number of people who have a heart attack (12 studies, 10,520 participants; lowÃƒÂ¢Ã¢â€šÂ¬Ã‚Âcertainty evidence). However, taking betaÃƒÂ¢Ã¢â€šÂ¬Ã‚Âblockers may increase the number of people who experience a very low heart rate (49 studies, 12,239 participants; lowÃƒÂ¢Ã¢â€šÂ¬Ã‚Âcertainty evidence), or very low blood pressure (49 studies, 12,304 participants; moderateÃƒÂ¢Ã¢â€šÂ¬Ã‚Âcertainty evidence), around the time of surgery. In a few studies, we also found little or no difference in the number of people who died after 30 days, who died because of a heart problem, or had heart failure. We found no evidence of whether betaÃƒÂ¢Ã¢â€šÂ¬Ã‚Âblockers alter the length of time in hospital. No studies assessed whether people who were given betaÃƒÂ¢Ã¢â€šÂ¬Ã‚Âblockers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placeboÃƒÂ¢Ã¢â€šÂ¬Ã‚Âcontrolled studies or studies that reported how participants were randomized. We also found one large, wellÃƒÂ¢Ã¢â€šÂ¬Ã‚Âconducted, international study that had different findings to the smaller studies. It showed a reduction in heart attacks and an increase in stroke and allÃƒÂ¢Ã¢â€šÂ¬Ã‚Âcause mortality when betaÃƒÂ¢Ã¢â€šÂ¬Ã‚Âblockers were used, whilst the other studies did not show a clear effect. We were also less certain of the findings for outcomes with few studies, such as for ventricular arrhythmias. Conclusion Although betaÃƒÂ¢Ã¢â€šÂ¬Ã‚Âblockers may make little or no difference to the number of people who die within 30 days, have a stroke, or have ventricular arrhythmias, they may reduce atrial fibrillation and heart attacks. Taking betaÃƒÂ¢Ã¢â€šÂ¬Ã‚Âblockers may increase the number of people with a very low heart rate or very low blood pressure around the time of surgery. Further evidence from large, placeboÃƒÂ¢Ã¢â€šÂ¬Ã‚Âcontrolled trials is likely to increase the certainty of these findings, and we recommend the assessment of impact on quality of life.</t>
  </si>
  <si>
    <t>Perioperative betaÃƒÂ¢Ã¢â€šÂ¬Ã‚Âblockers for preventing surgeryÃƒÂ¢Ã¢â€šÂ¬Ã‚Ârelated mortality and morbidity in adults undergoing cardiac surgery</t>
  </si>
  <si>
    <t>- Background Randomized controlled trials (RCTs) have yielded conflicting results regarding the ability of betaÃƒÂ¢Ã¢â€šÂ¬Ã‚Âblockers to influence perioperative cardiovascular morbidity and mortality. Thus routine prescription of these drugs in unselected patients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cardiac surgery only. Objectives To assess the effectiveness of perioperatively administered betaÃƒÂ¢Ã¢â€šÂ¬Ã‚Âblockers for the prevention of surgeryÃƒÂ¢Ã¢â€šÂ¬Ã‚Ârelated mortality and morbidity in adults undergoing 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quasiÃƒÂ¢Ã¢â€šÂ¬Ã‚Ârandomized and the remaining were RCTs. All participants were undergoing cardiac surgery, and in most studies, at least some of the participants were previously taking betaÃƒÂ¢Ã¢â€šÂ¬Ã‚Âblockers. Types of betaÃƒÂ¢Ã¢â€šÂ¬Ã‚Âblockers were: propranolol, metoprolol, sotalol, esmolol, landiolol, acebutolol, timolol, carvedilol, nadolol, and atenolol. In twelve studies, betaÃƒÂ¢Ã¢â€šÂ¬Ã‚Âblockers were titrated according to heart rate or blood pressure. Duration of administration varied between studies, as did the time at which drugs were administered; in nine studies this was before surgery, in 20 studies during surgery, and in the remaining studies betaÃƒÂ¢Ã¢â€šÂ¬Ã‚Âblockers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betaÃƒÂ¢Ã¢â€šÂ¬Ã‚Âblockers as rescue therapy during the study period, and all studies in which the control was standard care were at high risk of performance bias because of the openÃƒÂ¢Ã¢â€šÂ¬Ã‚Âlabel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lowÃƒÂ¢Ã¢â€šÂ¬Ã‚Âcertainty evidence that betaÃƒÂ¢Ã¢â€šÂ¬Ã‚Âblockers may make little or no difference to allÃƒÂ¢Ã¢â€šÂ¬Ã‚Âcause mortality at 30 days (risk ratio (RR) 0.95, 95% confidence interval (CI) 0.47 to 1.90; 29 studies, 4099 participants). For myocardial infarctions, we found no evidence of a difference in events (RR 1.05, 95% CI 0.72 to 1.52; 25 studies, 3946 participants; lowÃƒÂ¢Ã¢â€šÂ¬Ã‚Âcertainty evidence). Few study authors reported cerebrovascular events, and the evidence was uncertain (RR 1.37, 95% CI 0.51 to 3.67; 5 studies, 1471 participants; very lowÃƒÂ¢Ã¢â€šÂ¬Ã‚Âcertainty evidence). Based on a control risk of 54 per 1000, we found lowÃƒÂ¢Ã¢â€šÂ¬Ã‚Âcertainty evidence that betaÃƒÂ¢Ã¢â€šÂ¬Ã‚Âblockers may reduce episodes of ventr cular arrhythmias by 32 episodes per 1000 (RR 0.40, 95% CI 0.25 to 0.63; 12 studies, 2296 participants). For atrial fibrillation or flutter, there may be 163 fewer incidences with betaÃƒÂ¢Ã¢â€šÂ¬Ã‚Âblockers, based on a control risk of 327 incidences per 1000 (RR 0.50, 95% CI 0.42 to 0.59; 40 studies, 5650 participants; lowÃƒÂ¢Ã¢â€šÂ¬Ã‚Âcertainty evidence). However, the evidence for bradycardia and hypotension was less certain. We found that betaÃƒÂ¢Ã¢â€šÂ¬Ã‚Âblockers may make little or no difference to bradycardia (RR 1.63, 95% CI 0.92 to 2.91; 12 studies, 1640 participants; lowÃƒÂ¢Ã¢â€šÂ¬Ã‚Âcertainty evidence), or hypotension (RR 1.84, 95% CI 0.89 to 3.80; 10 studies, 1538 participants; lowÃƒÂ¢Ã¢â€šÂ¬Ã‚Âcertainty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allÃƒÂ¢Ã¢â€šÂ¬Ã‚Âcause mortality, myocardial infarction, cerebrovascular events, hypotension and bradycardia. However, there may be a reduction in atrial fibrillation and ventricular arrhythmias when betaÃƒÂ¢Ã¢â€šÂ¬Ã‚Âblockers are used. A larger sample size is likely to increase the certainty of this evidence. Four studies awaiting classification may alter the conclusions of this review. Plain language summary BetaÃƒÂ¢Ã¢â€šÂ¬Ã‚Âblockers to prevent death or serious events after heart surgery This review assessed evidence of whether betaÃƒÂ¢Ã¢â€šÂ¬Ã‚Âblockers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BetaÃƒÂ¢Ã¢â€šÂ¬Ã‚Âblockers are drugs that block the action of adrenaline and noradrenaline on the heart. BetaÃƒÂ¢Ã¢â€šÂ¬Ã‚Âblockers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quasiÃƒÂ¢Ã¢â€šÂ¬Ã‚Ârandomized (participants were allocated to groups by methods such as using hospital record numbers or dates of birth). The types of betaÃƒÂ¢Ã¢â€šÂ¬Ã‚Âblockers were: propranolol, metoprolol, sotalol, esmolol, landiolol, acebutolol, timolol, carvedilol, nadolol, and atenolol. These betaÃƒÂ¢Ã¢â€šÂ¬Ã‚Âblockers were compared with either a placebo (disguised to look like a betaÃƒÂ¢Ã¢â€šÂ¬Ã‚Âblocker but containing no medicine) or with standard care. BetaÃƒÂ¢Ã¢â€šÂ¬Ã‚Âblockers were started before surgery, during surgery or at the latest by the end of the first day after surgery. The length of time betaÃƒÂ¢Ã¢â€šÂ¬Ã‚Âblockers were given varied between studies. In most studies, at least some of the people were already taking betaÃƒÂ¢Ã¢â€šÂ¬Ã‚Âblockers, which would be expected for people who had conditions that needed heart surgery. Key results BetaÃƒÂ¢Ã¢â€šÂ¬Ã‚Âblockers probably make little or no difference to the number of people who die (29 studies, 4099 participants) or have a heart attack (25 studies, 3946 participants) within 30 days of surgery. This w s supported by lowÃƒÂ¢Ã¢â€šÂ¬Ã‚Âcertainty evidence. Few studies reported on people who had a stroke, and we were uncertain whether or not betaÃƒÂ¢Ã¢â€šÂ¬Ã‚Âblockers reduced strokes because the certainty of the evidence was very low (5 studies, 1471 participants). BetaÃƒÂ¢Ã¢â€šÂ¬Ã‚Âblockers may reduce atrial fibrillation, which is an irregular heartbeat starting in the atrial chambers of the heart that increases the risk of stroke if untreated (40 studies, 5650 participants; lowÃƒÂ¢Ã¢â€šÂ¬Ã‚Âcertainty evidence). BetaÃƒÂ¢Ã¢â€šÂ¬Ã‚Âblockers may also reduce ventricular arrhythmias, which are potentially lifeÃƒÂ¢Ã¢â€šÂ¬Ã‚Âthreatening irregular heartbeat rhythms originating in the main chambers of the heart, and which may need immediate medical treatment (12 studies, 2296 participants). We found that betaÃƒÂ¢Ã¢â€šÂ¬Ã‚Âblockers may make little or no difference to whether people experience a very low heart rate or very low blood pressure. We were uncertain whether betaÃƒÂ¢Ã¢â€šÂ¬Ã‚Âblockers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betaÃƒÂ¢Ã¢â€šÂ¬Ã‚Âblockers had a shorter hospital stay by about half a day (14 studies, 2450 participants; lowÃƒÂ¢Ã¢â€šÂ¬Ã‚Âcertainty evidence). No studies assessed whether people on betaÃƒÂ¢Ã¢â€šÂ¬Ã‚Âblockers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placeboÃƒÂ¢Ã¢â€šÂ¬Ã‚Âcontrol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BetaÃƒÂ¢Ã¢â€šÂ¬Ã‚Âblockers may be beneficial for people who are undergoing cardiac surgery because they may reduce the number of people who experience atrial fibrillation and ventricular arrhythmias. BetaÃƒÂ¢Ã¢â€šÂ¬Ã‚Âblockers may make little or no difference to the other outcomes in this review, including death, heart attacks or stroke.</t>
  </si>
  <si>
    <t>- Background Cerebral palsy (CP) is the most common cause of physical disabilities in children in highÃƒÂ¢Ã¢â€šÂ¬Ã‚Âincome countries. Spasticity is the most common motor disturbance in CP. Botulinum toxin type A (BoNTÃƒÂ¢Ã¢â€šÂ¬Ã‚ÂA) is considered the firstÃƒÂ¢Ã¢â€šÂ¬Ã‚Âline treatment for focal spasticity in people with CP. Objectives To evaluate the effectiveness and safety of BoNTÃƒÂ¢Ã¢â€šÂ¬Ã‚ÂA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BoNTÃƒÂ¢Ã¢â€šÂ¬Ã‚ÂA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metaÃƒÂ¢Ã¢â€šÂ¬Ã‚Âanalyses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BoNTÃƒÂ¢Ã¢â€šÂ¬Ã‚ÂA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BoNTÃƒÂ¢Ã¢â€šÂ¬Ã‚ÂA versus usual care or physiotherapy BoNTÃƒÂ¢Ã¢â€šÂ¬Ã‚ÂA might improve overall gait scores at mediumÃƒÂ¢Ã¢â€šÂ¬Ã‚Âterm followÃƒÂ¢Ã¢â€šÂ¬Ã‚Âup (MD 2.80, 95% CI 1.55 to 4.05; 1 study, 40 children; very lowÃƒÂ¢Ã¢â€šÂ¬Ã‚Âquality evidence) and is moderately effective at improving function at shortÃƒÂ¢Ã¢â€šÂ¬Ã‚Âterm (SMD 0.59, 95% CI 0.23 to 0.95; 2 studies, 123 children) and mediumÃƒÂ¢Ã¢â€šÂ¬Ã‚Âterm (SMD 1.04, 95% CI 0.16 to 1.91; 4 studies, 191 children) followÃƒÂ¢Ã¢â€šÂ¬Ã‚Âup (all very lowÃƒÂ¢Ã¢â€šÂ¬Ã‚Âquality evidence). BoNTÃƒÂ¢Ã¢â€šÂ¬Ã‚ÂA improves ankle range of motion, satisfaction, and ankle plantarflexors spasticity at one or more time points (very lowÃƒÂ¢Ã¢â€šÂ¬Ã‚Âquality evidence). The proportion of adverse events in the BoNTÃƒÂ¢Ã¢â€šÂ¬Ã‚ÂA group was 0.37 (95% CI 0.08 to 0.66; I 2 = 95%; very lowÃƒÂ¢Ã¢â€šÂ¬Ã‚Âquality evidence). No adverse events were reported in the control group. BoNTÃƒÂ¢Ã¢â€šÂ¬Ã‚ÂA versus placebo or sham BoNTÃƒÂ¢Ã¢â€šÂ¬Ã‚ÂA improves overall gait scores at shortÃƒÂ¢Ã¢â€šÂ¬Ã‚Âterm (RR 1.66, 95% CI 1.16 to 2.37, P = 0.006; 4 studies, 261 assessments) and mediumÃƒÂ¢Ã¢â€šÂ¬Ã‚Âterm (RR 1.90, 95% CI 1.32 to 2.74, P &lt; 0.001; 3 studies, 248 assessments) followÃƒÂ¢Ã¢â€šÂ¬Ã‚Âup, and may improve peak ankle dorsiflexion in stance (MD 15.90 degrees, 95% CI 4.87 to 26.93, P = 0.005; 1 study, 19 children) and in swing (MD 10.20 degrees, 95% CI 4.01 to 16.39, P = 0.001; 1 study, 19 children) at shortÃƒÂ¢Ã¢â€šÂ¬Ã‚Âterm followÃƒÂ¢Ã¢â€šÂ¬Ã‚Âup (all moderateÃƒÂ¢Ã¢â€šÂ¬Ã‚Âquality evidence). BoNTÃƒÂ¢Ã¢â€šÂ¬Ã‚ÂA is not more effective than placebo or sham at improving function at shortÃƒÂ¢Ã¢â€šÂ¬Ã‚Âterm (SMD 0.24, 95% CI ÃƒÂ¢Ã‹â€ Ã¢â‚¬â„¢0.35 to 0.83, P = 0.42; 4 studies, 305 children) or longÃƒÂ¢Ã¢â€šÂ¬Ã‚Âterm (SMD ÃƒÂ¢Ã‹â€ Ã¢â‚¬â„¢0.07, 95% CI ÃƒÂ¢Ã‹â€ Ã¢â‚¬â„¢0.48 to 0.35, P = 0.76; 2 studies, 91 children) followÃƒÂ¢Ã¢â€šÂ¬Ã‚Âup, but has a small positive effect at mediumÃƒÂ¢Ã¢â€šÂ¬Ã‚Âterm followÃƒÂ¢Ã¢â€šÂ¬Ã‚Âup (SMD 0.28, 95% CI 0.06 to 0.49, P = 0.01; 5 studies, 327 children) (all moderateÃƒÂ¢Ã¢â€šÂ¬Ã‚Âquality evidence). BoNTÃƒÂ¢Ã¢â€šÂ¬Ã‚ÂA improves passive ankle range of motion, satisfaction, and ankle plantarflexors spasticity at one or more time points (moderateÃƒÂ¢Ã¢â€šÂ¬Ã‚Âquality evidence). There was no difference between groups in the rate of adverse events at shortÃƒÂ¢Ã¢â€šÂ¬Ã‚Âterm followÃƒÂ¢Ã¢â€šÂ¬Ã‚Âup (RR 1.29, 95% CI 0.87 to 1.93, P = 0.21; 12 studies, 918 children; moderateÃƒÂ¢Ã¢â€šÂ¬Ã‚Âquality evidence). BoNTÃƒÂ¢Ã¢â€šÂ¬Ã‚ÂA versus serial casting There was no difference between groups for overall gait scores at shortÃƒÂ¢Ã¢â€šÂ¬Ã‚Âterm (MD 0.00, 95% CI ÃƒÂ¢Ã‹â€ Ã¢â‚¬â„¢1.66 to 1.66); mediumÃƒÂ¢Ã¢â€šÂ¬Ã‚Âterm (MD 0.65, 95% CI ÃƒÂ¢Ã‹â€ Ã¢â‚¬â„¢1.21 to 2.51); or longÃƒÂ¢Ã¢â€šÂ¬Ã‚Âterm (MD 0.46, 95% CI ÃƒÂ¢Ã‹â€ Ã¢â‚¬â„¢1.33 to 2.25) followÃƒÂ¢Ã¢â€šÂ¬Ã‚Âup in one study with 18 children (moderateÃƒÂ¢Ã¢â€šÂ¬Ã‚Âquality evidence). BoNTÃƒÂ¢Ã¢â€šÂ¬Ã‚ÂA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(moderateÃƒÂ¢Ã¢â€šÂ¬Ã‚Â and lowÃƒÂ¢Ã¢â€šÂ¬Ã‚Âquality evidence). BoNTÃƒÂ¢Ã¢â€šÂ¬Ã‚ÂA is not more effective than serial casting at improving function, ankle range of motion, and spasticity at any time point (moderateÃƒÂ¢Ã¢â€šÂ¬Ã‚Â and lowÃƒÂ¢Ã¢â€šÂ¬Ã‚Âquality evidence). BoNTÃƒÂ¢Ã¢â€šÂ¬Ã‚ÂA is not associated with a higher risk of adverse events than serial casting (RR 0.59, 95% CI 0.03 to 11.03; 3 studies, 64 children; lowÃƒÂ¢Ã¢â€šÂ¬Ã‚Âquality evidence). BoNTÃƒÂ¢Ã¢â€šÂ¬Ã‚ÂA versus orthoses There was no difference between groups for function at mediumÃƒÂ¢Ã¢â€šÂ¬Ã‚Âterm followÃƒÂ¢Ã¢â€šÂ¬Ã‚Âup (MD 11.14, 95% CI ÃƒÂ¢Ã‹â€ Ã¢â‚¬â„¢0.05 to 22.33; 1 study, 43 children), but BoNTÃƒÂ¢Ã¢â€šÂ¬Ã‚ÂA is more effective than orthoses at improving hip range of motion and hip adductors spasticity (all very lowÃƒÂ¢Ã¢â€šÂ¬Ã‚Âquality evidence). Authors' conclusions The quality of the evidence was low or very low for most of the outcomes analysed. We found limited evidence that BoNTÃƒÂ¢Ã¢â€šÂ¬Ã‚ÂA is more effective than placebo or a nonÃƒÂ¢Ã¢â€šÂ¬Ã‚Âplacebo control at improving gait, joint range of motion, satisfaction, and lower limb spasticity in children with CP, whereas the results for function were contradictory. The rate of adverse events with BoNTÃƒÂ¢Ã¢â€šÂ¬Ã‚ÂA is similar to placebo. BoNTÃƒÂ¢Ã¢â€šÂ¬Ã‚ÂA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nonÃƒÂ¢Ã¢â€šÂ¬Ã‚Âprogressive,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(BoNTÃƒÂ¢Ã¢â€šÂ¬Ã‚ÂA; a poisonous biological substance that is thought to relieve spasticity by reducing muscle overactivity when injected into the muscle). This review looked at the effects of BoNTÃƒÂ¢Ã¢â€šÂ¬Ã‚ÂA. Review question The aim of this review was to assess and summarise scientific studies comparing BoNTÃƒÂ¢Ã¢â€šÂ¬Ã‚ÂA injections to other treatments for lower limb spasticity in children with CP. Study characteristics We found 31 studies assessing 1508 participants. The use of BoNTÃƒÂ¢Ã¢â€šÂ¬Ã‚ÂA in the lower limb muscles was compared to: (1) children's regular care or physiotherapy, (2) placebo (fake injections), (3) a series of belowÃƒÂ¢Ã¢â€šÂ¬Ã‚Âknee plaster casts, and (4) leg splints. Key results Children receiving BoNTÃƒÂ¢Ã¢â€šÂ¬Ã‚ÂA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BoNTÃƒÂ¢Ã¢â€šÂ¬Ã‚ÂA injections. The rate of side effects was similar when comparing BoNTÃƒÂ¢Ã¢â€šÂ¬Ã‚ÂA injections to placebo. BoNTÃƒÂ¢Ã¢â€šÂ¬Ã‚ÂA injections and plaster cas s below the knee produced similar benefits in walking and joint motion and relieving spasms. In addition, BoNTÃƒÂ¢Ã¢â€šÂ¬Ã‚ÂA provided better results in terms of joint range of motion compared to a specific type of splinting (Johnstone pressure splints). Quality of the evidence We considered the quality of the evidence as very low for the comparison BoNTÃƒÂ¢Ã¢â€šÂ¬Ã‚ÂA versus usual care or physiotherapy; moderate for the comparison BoNTÃƒÂ¢Ã¢â€šÂ¬Ã‚ÂA versus placebo; moderate and low for the comparison BoNTÃƒÂ¢Ã¢â€šÂ¬Ã‚ÂA versus plaster casts; and very low for the comparison BoNTÃƒÂ¢Ã¢â€šÂ¬Ã‚ÂA versus splints. Conclusion There is limited evidence that, compared to placebo or regular care, BoNTÃƒÂ¢Ã¢â€šÂ¬Ã‚ÂA improves walking, joint motion, satisfaction with the outcome of treatment, and muscle spasticity in children with CP. The rate of side effects with BoNTÃƒÂ¢Ã¢â€šÂ¬Ã‚ÂA was similar to placebo. BoNTÃƒÂ¢Ã¢â€šÂ¬Ã‚ÂA was no better than plaster casts in any of our analyses, but was better than splints at improving range of motion and spasticity.</t>
  </si>
  <si>
    <t>- Background Heavy menstrual bleeding (HMB) is a significant health problem in premenopausal women; it can reduce their quality of life and can cause social disruption and physical problems such as iron deficiency anaemia. FirstÃƒÂ¢Ã¢â€šÂ¬Ã‚Âline treatment has traditionally consisted of medical therapy (hormonal and nonÃƒÂ¢Ã¢â€šÂ¬Ã‚Âhormonal),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FirstÃƒÂ¢Ã¢â€šÂ¬Ã‚Âgeneration techniques require visualisation of the uterus with a hysteroscope during the procedure; although it is safe, this procedure requires specific technical skills. Newer techniques for endometrial ablation (secondÃƒÂ¢Ã¢â€šÂ¬Ã‚Â and thirdÃƒÂ¢Ã¢â€šÂ¬Ã‚Âgeneration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firstÃƒÂ¢Ã¢â€šÂ¬Ã‚Â and secondÃƒÂ¢Ã¢â€šÂ¬Ã‚Âgeneration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secondÃƒÂ¢Ã¢â€šÂ¬Ã‚Âgeneration versus firstÃƒÂ¢Ã¢â€šÂ¬Ã‚Âgeneration (i.e. gold standard hysteroscopic ablative) techniques revealed no evidence of differences in amenorrhoea at 1 year and 2 to 5 years' followÃƒÂ¢Ã¢â€šÂ¬Ã‚Âup (risk ratio (RR) 0.99, 95% confidence interval (CI) 0.78 to 1.27; 12 studies; 2145 women; IÃƒâ€šÃ‚Â² = 77%; and RR 1.16, 95% CI 0.78 to 1.72; 672 women; 4 studies; IÃƒâ€šÃ‚Â² = 80%; very lowÃƒÂ¢Ã¢â€šÂ¬Ã‚Âquality evidence) and showed subjective improvement at 1 year followÃƒÂ¢Ã¢â€šÂ¬Ã‚Âup based on a Pictorial Blood Assessment Chart (PBAC) (&lt; 75 or acceptable improvement) (RR 1.03, 95% CI 0.98 to 1.09; 5 studies; 1282 women; IÃƒâ€šÃ‚Â² = 0%; and RR 1.12, 95% CI 0.97 to 1.28; 236 women; 1 study; lowÃƒÂ¢Ã¢â€šÂ¬Ã‚Âquality evidence). Study results showed no difference in patient satisfaction between secondÃƒÂ¢Ã¢â€šÂ¬Ã‚Â and firstÃƒÂ¢Ã¢â€šÂ¬Ã‚Âgeneration techniques at 1 year followÃƒÂ¢Ã¢â€šÂ¬Ã‚Âup (RR 1.01, 95% CI 0.98 to 1.04; 11 studies; 1750 women; IÃƒâ€šÃ‚Â² = 36%; lowÃƒÂ¢Ã¢â€šÂ¬Ã‚Âquality evidence) nor at 2 to 5 years' followÃƒÂ¢Ã¢â€šÂ¬Ã‚Âup (RR 1.02, 95% CI 0.93 t 1.13; 672 women; 4 studies; IÃƒâ€šÃ‚Â² = 81%). Compared with firstÃƒÂ¢Ã¢â€šÂ¬Ã‚Âgeneration techniques, secondÃƒÂ¢Ã¢â€šÂ¬Ã‚Âgeneration endometrial ablation techniques were associated with shorter operating times (mean difference (MD) ÃƒÂ¢Ã¢â€šÂ¬Ã‚Â13.52 minutes, 95% CI ÃƒÂ¢Ã¢â€šÂ¬Ã‚Â16.90 to ÃƒÂ¢Ã¢â€šÂ¬Ã‚Â10.13; 9 studies; 1822 women; lowÃƒÂ¢Ã¢â€šÂ¬Ã‚Âquality evidence) and more often were performed under local rather than general anaesthesia (RR 2.8, 95% CI 1.8 to 4.4; 6 studies; 1434 women; lowÃƒÂ¢Ã¢â€šÂ¬Ã‚Âquality evidence). We are uncertain whether perforation rates differed between secondÃƒÂ¢Ã¢â€šÂ¬Ã‚Â and firstÃƒÂ¢Ã¢â€šÂ¬Ã‚Âgeneration techniques (RR 0.32, 95% CI 0.10 to 1.01; 1885 women; 8 studies; IÃƒâ€šÃ‚Â² = 0%). Trials reported little or no difference between secondÃƒÂ¢Ã¢â€šÂ¬Ã‚Â and firstÃƒÂ¢Ã¢â€šÂ¬Ã‚Âgeneration techniques in requirement for additional surgery (ablation or hysterectomy) at 1 year followÃƒÂ¢Ã¢â€šÂ¬Ã‚Âup (RR 0.72, 95% CI 0.41 to 1.26; 6 studies: 935 women; lowÃƒÂ¢Ã¢â€šÂ¬Ã‚Âquality evidence). At 5 years, results showed probably little or no difference between groups in the requirement for hysterectomy (RR 0.85, 95% CI 0.59 to 1.22; 4 studies; 758 women; moderateÃƒÂ¢Ã¢â€šÂ¬Ã‚Âquality evidence). Authors' conclusions Approaches to endometrial ablation have evolved from firstÃƒÂ¢Ã¢â€šÂ¬Ã‚Âgeneration techniques to newer secondÃƒÂ¢Ã¢â€šÂ¬Ã‚Â and thirdÃƒÂ¢Ã¢â€šÂ¬Ã‚Âgeneration approaches. Current evidence suggests that compared to firstÃƒÂ¢Ã¢â€šÂ¬Ã‚Âgeneration techniques (endometrial laser ablation, transcervical resection of the endometrium, rollerball endometrial ablation), secondÃƒÂ¢Ã¢â€šÂ¬Ã‚Âgeneration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SecondÃƒÂ¢Ã¢â€šÂ¬Ã‚Âgeneration techniques are associated with shorter operating times and are performed more often under local rather than general anaesthesia. It is uncertain whether perforation rates differed between secondÃƒÂ¢Ã¢â€šÂ¬Ã‚Â and firstÃƒÂ¢Ã¢â€šÂ¬Ã‚Âgeneration techniques. Evidence was insufficient to show which secondÃƒÂ¢Ã¢â€šÂ¬Ã‚Âgeneration approaches were superior to others and to reveal the efficacy and safety of thirdÃƒÂ¢Ã¢â€šÂ¬Ã‚Âgeneration approaches versus firstÃƒÂ¢Ã¢â€šÂ¬Ã‚Â and secondÃƒÂ¢Ã¢â€šÂ¬Ã‚Âgeneration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firstÃƒÂ¢Ã¢â€šÂ¬Ã‚Â, secondÃƒÂ¢Ã¢â€šÂ¬Ã‚Â and thirdÃƒÂ¢Ã¢â€šÂ¬Ã‚Âgeneration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ModerateÃƒÂ¢Ã¢â€šÂ¬Ã‚Â to very lowÃƒÂ¢Ã¢â€šÂ¬Ã‚Âquality evidence suggests that firstÃƒÂ¢Ã¢â€šÂ¬Ã‚Â and secondÃƒÂ¢Ã¢â€šÂ¬Ã‚Âgeneration approaches were equally effective in the treatment of HMB. Newer (secondÃƒÂ¢Ã¢â€šÂ¬Ã‚Âgeneration) treatment approaches were safer in terms of rate of fluid overload, cervical lacerations, and haematometra, with similar rates of uterine perforation. The newer approaches (secondÃƒÂ¢Ã¢â€šÂ¬Ã‚Âgeneration ablation) w re quicker and were more likely to be done under local (rather than general) anaesthesia compared with firstÃƒÂ¢Ã¢â€šÂ¬Ã‚Âgeneration approaches. Most women in both groups were satisfied with results of the procedure. Not enough evidence is available to show which secondÃƒÂ¢Ã¢â€šÂ¬Ã‚Âgeneration approaches are superior to others, and information about thirdÃƒÂ¢Ã¢â€šÂ¬Ã‚Âgeneration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</si>
  <si>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firstÃƒÂ¢Ã¢â€šÂ¬Ã‚Âline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ShortÃƒÂ¢Ã¢â€šÂ¬Ã‚Âcycle progestogen therapy during the luteal phase (medroxyprogesterone acetate or norethisterone for 7 to 10 days, from day 15 to 19) was inferior to other medical therapy, including tranexamic acid, danazol and the progestogenÃƒÂ¢Ã¢â€šÂ¬Ã‚Âreleasing intrauterine system (PgÃƒÂ¢Ã¢â€šÂ¬Ã‚ÂIUS (off the market since 2001)), releasing 60 mcg of progesterone daily, with respect to reduction of menstrual blood loss (mean difference (MD) 37.29, 95% confidence interval (CI) 17.67 to 56.91; I 2 = 50%; 6 trials, 145 women, lowÃƒÂ¢Ã¢â€šÂ¬Ã‚Âquality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LongÃƒÂ¢Ã¢â€šÂ¬Ã‚Âcycle progestogen therapy (medroxyprogesterone acetate or norethisterone), from day 5 to day 26 of the menstrual cycle, is also inferior compared to the levonorgestrelÃƒÂ¢Ã¢â€šÂ¬Ã‚Âreleasing intrauterine system (LNGÃƒÂ¢Ã¢â€šÂ¬Ã‚ÂIUS), tranexamic acid and ormeloxifene, ut may be similar to the combined vaginal ring with respect to reduction of menstrual blood loss (MD 16.88, 95% CI 10.93 to 22.84; I 2 = 87%; 4 trials, 355 women, very lowÃƒÂ¢Ã¢â€šÂ¬Ã‚Âquality evidence). There was no clear evidence of a difference between progestogen therapy long cycle and other medical therapy in terms of headache (OR 1.45, 95% CI 0.40 to 5.31; I 2 = 0%; 2 trials, 189 women; lowÃƒÂ¢Ã¢â€šÂ¬Ã‚Âquality evidence). Breakthrough bleeding or spotting was more likely in women with the LNGÃƒÂ¢Ã¢â€šÂ¬Ã‚ÂIUS (OR 0.18, 95% CI 0.06 to 0.55; I 2 = 0%; 3 trials, 220 women; lowÃƒÂ¢Ã¢â€šÂ¬Ã‚Âquality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LowÃƒÂ¢Ã¢â€šÂ¬Ã‚Â or very lowÃƒÂ¢Ã¢â€šÂ¬Ã‚Âquality evidence suggests that shortÃƒÂ¢Ã¢â€šÂ¬Ã‚Âcourse progestogen was inferior to other medical therapy, including tranexamic acid, danazol and the PgÃƒÂ¢Ã¢â€šÂ¬Ã‚ÂIUS with respect to reduction of menstrual blood loss. Long cycle progestogen therapy (medroxyprogesterone acetate or norethisterone) was also inferior to the LNGÃƒÂ¢Ã¢â€šÂ¬Ã‚ÂIUS,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PgÃƒÂ¢Ã¢â€šÂ¬Ã‚ÂIUS.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levonorgestrelÃƒÂ¢Ã¢â€šÂ¬Ã‚Âreleasing intrauterine device. No studies in this comparison reported on quality of life. Satisfaction with treatment was similar to women using the combined vaginal ring, but there were no data to compare satisfaction between long cycle and LNGÃƒÂ¢Ã¢â€šÂ¬Ã‚ÂIUS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</si>
  <si>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studyÃƒÂ¢Ã¢â€šÂ¬Ã‚Âbased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ÃƒÂ¢Ã¢â€šÂ¬Ã‹Å“transition to psychosisÃƒÂ¢Ã¢â€šÂ¬Ã¢â€žÂ¢. For details of other main outcomes please see 'Summary of findings' tables. In Group A (comparisons of absolute effects) we found no clear difference between amino acids and placebo (risk ratio (RR) 0.48 95% confidence interval (CI) 0.08 to 2.98; 2 RCTs, 52 participants; very lowÃƒÂ¢Ã¢â€šÂ¬Ã‚Âquality evidence). When omegaÃƒÂ¢Ã¢â€šÂ¬Ã‚Â3 fatty acids were compared to placebo, fewer participants given the omegaÃƒÂ¢Ã¢â€šÂ¬Ã‚Â3 (10%) transitioned to psychosis compared to the placebo group (33%) during longÃƒÂ¢Ã¢â€šÂ¬Ã‚Âterm followÃƒÂ¢Ã¢â€šÂ¬Ã‚Âup of seven years (RR 0.24 95% CI 0.09 to 0.67; 1 RCT, 81 participants; lowÃƒÂ¢Ã¢â€šÂ¬Ã‚Âquality evidence). In Group B (comparisons where complex interactions are probable) and in the subgroup focusing on antipsychotic drugs added to specific care packages, the amisulpiride + needsÃƒÂ¢Ã¢â€šÂ¬Ã‚Âfocused intervention (NFI) compared to NFI comparison (no reporting of transition to psychosis; 1 RCT, 102 participants; very lowÃƒÂ¢Ã¢â€šÂ¬Ã‚Âquality evidence) and the olanzapine + supportive intervention compared to supportive intervention alone comparison (RR 0.58 95% CI 0.28 to 1.18; 1 RCT, 60 participants; very lowÃƒÂ¢Ã¢â€šÂ¬Ã‚Âquality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followÃƒÂ¢Ã¢â€šÂ¬Ã‚Âup by 18 months, compared with double that percentage in the supportive therapy alone group (RR 0.45 95% CI 0.23 to 0.89; 2 RCTs, 252 participants; very lowÃƒÂ¢Ã¢â€šÂ¬Ã‚Âquality evidence). The CBT + risperidone versus CBT + placebo comparison identified no clear difference between treatments (RR 1.02 95% CI 0.39 to 2.67; 1 RCT, 87 participants; very lowÃƒÂ¢Ã¢â€šÂ¬Ã‚Âquality evidence) and this also applies to the CBT + needsÃƒÂ¢Ã¢â€šÂ¬Ã‚Âbased intervention (NBI) + risperidone versus NBI comparison (RR 0.75 95% CI 0.39 to 1.46; 1 RCT, 59 participants; very lowÃƒÂ¢Ã¢â€šÂ¬Ã‚Âquality evidence). Group C (differential effects) also involved six comparisons. The first compared CBT with supportive therapy. No clear difference was found for the ÃƒÂ¢Ã¢â€šÂ¬Ã‹Å“transition to psychosisÃƒÂ¢Ã¢â€šÂ¬Ã¢â€žÂ¢ outcome (RR 0.74 95% CI 0.28 to 1.98; 1 RCT, 72 participants; very lowÃƒÂ¢Ã¢â€šÂ¬Ã‚Âquality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lowÃƒÂ¢Ã¢â€šÂ¬Ã‚Âquality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lowÃƒÂ¢Ã¢â€šÂ¬Ã‚Âquality evidence) and integrated treatment compared to standard treatment comparison (RR 0.57 95% CI 0.28 to 1.15; 1 RCT, 79 participants; very lowÃƒÂ¢Ã¢â€šÂ¬Ã‚Âquality evidence) no effects of any of these approaches was evident. Authors' conclusions There has been considerable research effort in this area and several interventions have been trialled. The evidence available suggests that omegaÃƒÂ¢Ã¢â€šÂ¬Ã‚Â3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highÃƒÂ¢Ã¢â€šÂ¬Ã‚Âquality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nonÃƒÂ¢Ã¢â€šÂ¬Ã‚Âspecific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omegaÃƒÂ¢Ã¢â€šÂ¬Ã‚Â3 fatty acids in terms of reduced transition to psychosis. Other studies found adding antipsychotic drugs to supportiveÃƒÂ¢Ã¢â€šÂ¬Ã‚Âcare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followÃƒÂ¢Ã¢â€šÂ¬Ã‚Âup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lowÃƒÂ¢Ã¢â€šÂ¬Ã‚Âquality evidence suggesting that omegaÃƒÂ¢Ã¢â€šÂ¬Ã‚Â3 fatty acids may be effective, but there is no highÃƒÂ¢Ã¢â€šÂ¬Ã‚Âquality evidence to suggest that any type of treatment is effective, and no firm conclusions can be made.</t>
  </si>
  <si>
    <t>- Background Acute anterior shoulder dislocation, which is the most common type of dislocation, usually results from an injury. Subsequently, the shoulder is less stable and is more susceptible to reÃƒÂ¢Ã¢â€šÂ¬Ã‚Âdislocation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quasiÃƒÂ¢Ã¢â€šÂ¬Ã‚Ârandomised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reÃƒÂ¢Ã¢â€šÂ¬Ã‚Âdislocation, patientÃƒÂ¢Ã¢â€šÂ¬Ã‚Âreported shoulder instability measures and return to preÃƒÂ¢Ã¢â€šÂ¬Ã‚Âinjury activities. Secondary outcomes included participant satisfaction, healthÃƒÂ¢Ã¢â€šÂ¬Ã‚Ârelated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quasiÃƒÂ¢Ã¢â€šÂ¬Ã‚Ârandomised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followÃƒÂ¢Ã¢â€šÂ¬Ã‚Âup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reÃƒÂ¢Ã¢â€šÂ¬Ã‚Âdislocation after 12 months' or longer followÃƒÂ¢Ã¢â€šÂ¬Ã‚Âup compared with immobilisation in internal rotation (55/245 versus 73/243; risk ratio (RR) 0.67, 95% confidence interval (CI) 0.38 to 1.19; 488 participants; 6 studies; IÃƒâ€šÃ‚Â² = 61%; very low certainty evidence). In a moderateÃƒÂ¢Ã¢â€šÂ¬Ã‚Ârisk population with an illustrative risk of 312 per 1000 people experiencing a dislocation in the internal rotation group, this equates to 103 fewer (95% CI 194 fewer to 60 more) reÃƒÂ¢Ã¢â€šÂ¬Ã‚Âdislocations after immobilisation in external rotation. Thus this result covers the possibility of a benefit for each intervention. Individually, the four studies (380 participants) reporting on validated patientÃƒÂ¢Ã¢â€šÂ¬Ã‚Âreported outcome measures for shoulder instability at a minimum of 12 months' followÃƒÂ¢Ã¢â€šÂ¬Ã‚Âup found no evidence of a clinically important difference between the two interventions. We are uncertain of the relative effects of the two methods of immobilisat on on resumption of preÃƒÂ¢Ã¢â€šÂ¬Ã‚Âinjury activities or sports. One study (169 participants) found no evidence of a difference between interventions in the return to preÃƒÂ¢Ã¢â€šÂ¬Ã‚Âinjury activity of the affected arm. Two studies (135 participants) found greater return to sports in the external rotation group in a subgroup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goodÃƒÂ¢Ã¢â€šÂ¬Ã‚Âquality, wellÃƒÂ¢Ã¢â€šÂ¬Ã‚Âreported randomised controlled trials with longÃƒÂ¢Ã¢â€šÂ¬Ã‚Âterm followÃƒÂ¢Ã¢â€šÂ¬Ã‚Âup. Future research should aim to determine the optimal immobilisation duration, precise indications for immobilisation, optimal rehabilitation interventions, and the acceptability of these different interventions. Plain language summary NonÃƒÂ¢Ã¢â€šÂ¬Ã‚Âsurgical management after nonÃƒÂ¢Ã¢â€šÂ¬Ã‚Âsurgical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reÃƒÂ¢Ã¢â€šÂ¬Ã‚Âdislocation, especially in active young adults. Initial treatment involves putting the joint back in place. This is called ÃƒÂ¢Ã¢â€šÂ¬Ã‹Å“closed reductionÃƒÂ¢Ã¢â€šÂ¬Ã¢â€žÂ¢ when it is done without surgery. Subsequent treatment is often conservative (nonÃƒÂ¢Ã¢â€šÂ¬Ã‚Âsurgical)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reÃƒÂ¢Ã¢â€šÂ¬Ã‚Âdislocation, patientÃƒÂ¢Ã¢â€šÂ¬Ã‚Âreported shoulder instability measures (usually questionnaires) and return to preÃƒÂ¢Ã¢â€šÂ¬Ã‚Âinjury activities. Further outcomes of interest included patientsÃƒÂ¢Ã¢â€šÂ¬Ã¢â€žÂ¢ satisfaction with the intervention, healthÃƒÂ¢Ã¢â€šÂ¬Ã‚Ârelated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reÃƒÂ¢Ã¢â€šÂ¬Ã‚Âdislocation at oneÃƒÂ¢Ã¢â€šÂ¬Ã‚Âyear or more followÃƒÂ¢Ã¢â€šÂ¬Ã‚Âup compared with immobilisation in internal rotation. None of the four studies reporting on patientÃƒÂ¢Ã¢â€šÂ¬Ã‚Âreported outcome measures for shoulder instability at a minimum of oneÃƒÂ¢Ã¢â€šÂ¬Ã‚Âyear followÃƒÂ¢Ã¢â€šÂ¬Ã‚Âup found evidence of any important difference between the two interventions. We are uncertain of the relative effects of the two methods of immobilisation on resumption of preÃƒÂ¢Ã¢â€šÂ¬Ã‚Âinjury activities or sports. One study found no evidence of a difference between interventions in the return to preÃƒÂ¢Ã¢â€šÂ¬Ã‚Âinjury activity of the affected arm. Two other studies found greater return to sports in the external rotation group in a small 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(a partial dislocation). The reporting of adverse events (complications) was unsatisfactory. There were reports of nine cases of shortÃƒÂ¢Ã¢â€šÂ¬Ã‚Âterm shoulder stiffness in the external rotation group and two cases of underÃƒÂ¢Ã¢â€šÂ¬Ã‚Âarm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</si>
  <si>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Study protocol for a randomised controlled trial</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</si>
  <si>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Ãƒâ€šÃ‚Â© 2019 Elsevier Ltd. All rights reserved.</t>
  </si>
  <si>
    <t>J551</t>
  </si>
  <si>
    <t>Cost effectiveness of letermovir as prophylaxis of clinically significant cytomegalovirus reactivation and disease in adult CMV-seropositive allogeneic haematopoietic stem cell transplant: A Scottish payer perspective</t>
  </si>
  <si>
    <t>Background: Data from a recent phase III clinical trial has demonstrated the efficacy of letermovir as prophylaxis against CMV reactivation in adult CMV-seropositive recipients of an allogeneic haematopoietic stem-cell transplant (HSCT). The objective of this cost-effectiveness analysis is to evaluate the clinical and economic value of letermovir when compared to pre-emptive treatment from the payer perspective in Scotland. Method(s): A decision-analytic model evaluated total costs and lifetime quality-adjusted life-years (QALY's) from the perspective of the National Health Service (NHS) and social work in Scotland. Efficacy data, including rates of preemptive therapy for CMV infection, CMV disease, rehospitalization, mortality, and quality of life were incorporated from clinical trial data at 24 weeks posttransplant. The primary endpoint of the trial was clinically significant CMV-infection at week 24 post-transplant. Costs of preemptive treatment, CMV disease, and other trial outcomes were obtained from published sources. Life-years during the first 24 weeks were estimated from the mortality observed in the clinical trial. Life-years post 24 weeks were estimated for the week 24 survivors by applying a relative risk of death for HSCT to the general mortality risk from the life tables for Scotland (2014-16). Utility values were applied based on EQ-5D data collected in the clinical trial and longer-term data from published sources. The annual cost to treat 1-year survivors was based on a proportion of patients receiving 2 years of immunosuppressive agent treatment for chronic graft-versus-host disease (onset 100 days after transplant). Sensitivity analysis explored the impact of including data from the extended follow-up period, where various endpoints were collected through 48 weeks post-transplant. The model used an annual discount rate of 3.5%. Result(s): In the base-case analysis, letermovir reduced the number CMV infections requiring pre-emptive treatment vs standard of care (SoC) (20.0% vs 49.3%) at 24 weeks posttransplant. Prophylaxis with letermovir resulted in lower allcause mortality at week 24 in comparison to SoC (10.2% vs. 15.9%), and a mean increase in life-years (+0.46), QALY's (+0.41) and total costs up to week 24 post-HSCT per patient. This resulted in an incremental costeffectiveness ratio (ICER) of 12,659 per QALY gained. The sensitivity analysis using data from 48 weeks posttransplant did not have a significant effect on the results. Results of a probabilistic sensitivity analysis indicated that letermovir was cost effective in 77.4% of iterations at 20,000 per QALY gained and 87.6% of iterations at 30,000 per QALY gained. Conclusion(s): The results of this model would suggest that the prophylaxis use of letermovir is a cost-effective treatment strategy at commonly accepted ICER thresholds. The model inputs with a greatest impact on the results were a reduction in the rate of mortality, increasing the age of patients treated with letermovir, and an increase in the cost of prophylaxis for letermovir.</t>
  </si>
  <si>
    <t>J552</t>
  </si>
  <si>
    <t>Pharmacy‐based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</si>
  <si>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Search methods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Main results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t>
  </si>
  <si>
    <t>J553</t>
  </si>
  <si>
    <t>Interventions for preventing obesity in children</t>
  </si>
  <si>
    <t>- Background Prevention of childhood obesity is an international public health priority given the significant impact of obesity on acute and chronic diseases, general health, development and well‐being. The international evidence base for strategies to prevent obesity is very large and is accumulating rapidly. This is an update of a previous review. Objectives To determine the effectiveness of a range of interventions that include diet or physical activity components, or both, designed to prevent obesity in children. Search methods We searched CENTRAL, MEDLINE, Embase, PsychINFO and CINAHL in June 2015. We re‐ran the search from June 2015 to January 2018 and included a search of trial registers. Selection criteria Randomised controlled trials (RCTs) of diet or physical activity interventions, or combined diet and physical activity interventions, for preventing overweight or obesity in children (0‐17 years) that reported outcomes at a minimum of 12 weeks from baseline. Data collection and analysis Two authors independently extracted data, assessed risk‐of‐bias and evaluated overall certainty of the evidence using GRADE. We extracted data on adiposity outcomes, sociodemographic characteristics, adverse events, intervention process and costs. We meta‐analysed data as guided by the Cochrane Handbook for Systematic Reviews of Interventions and presented separate meta‐analyses by age group for child 0 to 5 years, 6 to 12 years, and 13 to 18 years for zBMI and BMI. Main results We included 153 RCTs, mostly from the USA or Europe. Thirteen studies were based in upper‐middle‐income countries (UMIC: Brazil, Ecuador, Lebanon, Mexico, Thailand, Turkey, US‐Mexico border), and one was based in a lower middle‐income country (LMIC: Egypt). The majority (85) targeted children aged 6 to 12 years.  Children aged 0‐5 years: There is moderate‐certainty evidence from 16 RCTs (n = 6261) that diet combined with physical activity interventions, compared with control, reduced BMI (mean difference (MD) −0.07 kg/m 2 , 95% confidence interval (CI) −0.14 to −0.01), and had a similar effect (11 RCTs, n = 5536) on zBMI (MD −0.11, 95% CI −0.21 to 0.01). Neither diet (moderate‐certainty evidence) nor physical activity interventions alone (high‐certainty evidence) compared with control reduced BMI (physical activity alone: MD −0.22 kg/m 2 , 95% CI −0.44 to 0.01) or zBMI (diet alone: MD −0.14, 95% CI −0.32 to 0.04; physical activity alone: MD 0.01, 95% CI −0.10 to 0.13) in children aged 0‐5 years.  Children aged 6 to 12 years: There is moderate‐certainty evidence from 14 RCTs (n = 16,410) that physical activity interventions, compared with control, reduced BMI (MD −0.10 kg/m 2 , 95% CI −0.14 to −0.05). However, there is moderate‐certainty evidence that they had little or no effect on zBMI (MD −0.02, 95% CI −0.06 to 0.02). There is low‐certainty evidence from 20 RCTs (n = 24,043) that diet combined with physical activity interventions, compared with control, reduced zBMI (MD −0.05 kg/m2, 95% CI −0.10 to −0.01). There is high‐certainty evidence that diet interventions, compared with control, had little impact on zBMI (MD −0.03, 95% CI −0.06 to 0.01) or BMI (−0.02 kg/m2, 95% CI −0.11 to 0.06). Children aged 13 to 18 years: There is very low‐certainty evidence that physical activity interventions, compared with control reduced BMI (MD −1.53 kg/m2, 95% CI −2.67 to −0.39; 4 RCTs; n = 720); and low‐certainty evidence for a reduction in zBMI (MD ‐0.2, 95% CI −0.3 to ‐0.1; 1 RCT; n = 100). There is low‐certainty evidence from eight RCTs (n = 16,583) that diet combined with physical activity interventions, compared with control, had no effect on BMI (MD −0.02 kg/m2, 95% CI −0.10 to 0.05); or zBMI (MD 0.01, 95% CI −0.05 to 0.07; 6 RCTs; n = 16,543). Evidence from two RCTs (low‐certainty evidence; n = 294) found no effect of diet interventions on BMI. Direct comparisons of interventions: Two RCTs reported data directly comparing die with either physical activity or diet combined with physical activity interventions for children aged 6 to 12 years and reported no differences. Heterogeneity was apparent in the results from all three age groups, which could not be entirely explained by setting or duration of the interventions. Where reported, interventions did not appear to result in adverse effects (16 RCTs) or increase health inequalities (gender: 30 RCTs; socioeconomic status: 18 RCTs), although relatively few studies examined these factors. Re‐running the searches in January 2018 identified 315 records with potential relevance to this review, which will be synthesised in the next update. Authors' conclusions Interventions that include diet combined with physical activity interventions can reduce the risk of obesity (zBMI and BMI) in young children aged 0 to 5 years. There is weaker evidence from a single study that dietary interventions may be beneficial. However, interventions that focus only on physical activity do not appear to be effective in children of this age. In contrast, interventions that only focus on physical activity can reduce the risk of obesity (BMI) in children aged 6 to 12 years, and adolescents aged 13 to 18 years. In these age groups, there is no evidence that interventions that only focus on diet are effective, and some evidence that diet combined with physical activity interventions may be effective. Importantly, this updated review also suggests that interventions to prevent childhood obesity do not appear to result in adverse effects or health inequalities. The review will not be updated in its current form. To manage the growth in RCTs of child obesity prevention interventions, in future, this review will be split into three separate reviews based on child age. Plain language summary Do diet and physical activity strategies help prevent obesity in children (aged 0 to 18 years)? Background More children are becoming overweight and obese worldwide. Being overweight as a child can cause health problems, and children may be affected psychologically and in their social life. Overweight children are likely also to be overweight as adults and continue to experience poor physical and mental health. Searching for studies We searched many scientific databases to find studies that looked at ways of preventing obesity in children. We included studies aimed at all ages of children. We only included studies if the methods they were using were aimed at changing children's diet, or their level of physical activity, or both. We looked only for the studies that contained the best information to answer this question, ‘randomised controlled trials’ or RCTs. What we found We found 153 RCTs. The studies were based mainly in high‐income countries such as the USA and European countries although 12% were in middle‐income countries (Brazil, Ecuador, Egypt, Lebanon, Mexico, Thailand and Turkey). Just over half the RCTs (56%) tried out strategies to change diet or activity levels in children aged 6 to 12 years, a quarter were for children aged 0 to 5 years and a fifth (20%) were for teenagers aged 13 to 18. The strategies were used in different settings such as home, preschool or school and most were targeted towards trying to change individual behaviour. Did they work? One widely accepted way of assessing if a child is overweight is to calculate a score based on their height and how much they weigh, and relating this to the weight and height of many children their age in their country. This is called the zBMI score. We found 61 RCTs involving over 60,000 children, that had reported zBMI scores. Children aged 0 to 5, and children aged 6 to 12 who were helped with a strategy to change their diet or activity levels reduced their zBMI score by 0.07 and 0.04 units respectively compared to children who were not given a strategy. This means these children were able to reduce their weight. This change in zBMI, when provided to many children across a whole population, is useful for governments in trying to tackle the problems of obesity in child en. Strategies to change diet or physical activity, or both, given to adolescents and young adults aged 13 to 18 years, did not successfully reduce zBMI. We looked to see if the strategies were likely to work fairly for all children, for example girls and boys, children from wealthy or less wealthy backgrounds, children from different racial backgrounds. Not many RCTs reported this, but in those that did, there was no indication that the strategies increased inequalities. However we could not find enough RCTs with this information to help us answer this question. We also looked to see if children were harmed by any of the strategies, for example by having injuries, losing too much weight or developing damaging views about themselves and their weight. Not many RCTs reported this, but in those that did, none reported any harms from children who had been given strategies to change their diet or physical activity. We looked at how well the RCTs were done to see if they might be biased. We decided to downgrade some information based on these assessments. The quality of the evidence was ‘moderate’ for children aged 0 to 5 for zBMI, ‘low’ for children aged 6 to 12 and moderate for adolescents (13 to 18). Our conclusions Strategies for changing diet or activity levels, or both, of children in order to help prevent them becoming overweight or obese are effective in making modest reductions in zBMI score in children aged 0 to 5 years and in children aged 6 to 12 years. This can be useful to parents and children concerned about children becoming overweight. It can also be useful for governments, trying to tackle a growing trend of children who are becoming obese or overweight. We found less evidence for adolescents and young people aged 13 to 18, and the strategies given to them did not reduce their zBMI score.</t>
  </si>
  <si>
    <t>J554</t>
  </si>
  <si>
    <t>Early supported discharge for patients with febrile neutropenia - experience at a large district hospital in the UK</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</si>
  <si>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 2019 Rila Publications Ltd."</t>
  </si>
  <si>
    <t>J555</t>
  </si>
  <si>
    <t>Should we all be looking for marginal gains in endoscopy efficiency?</t>
  </si>
  <si>
    <t>Introduction Demand for endoscopy in the UK has doubled in the last 5 years. In 2017, 64% of units failed to meet suspected cancer targets despite 66% of units having weekend lists and 27% outsourcing to external providers1. UCL Cancer Collaborative (UCLCC) data showed demand can be met by improving efficiency. This is important in a resource-limited setting. Our Quality Improvement (QI) Project aimed to improve efficiency by improving turnaround time, non-attendance and on-the-day cancellations. Methods The Endoscopy QI fellow, endoscopy unit manager and Gastroenterology service manager participated in the UCLCC Improvement Programme, and utilised QI methodology. We collected data from electronic patient records and scheduling system. At baseline, we identified that underutilisation of lists was multifactorial. We introduced a turnaround nurse role to consent patients. Healthcare assistants (HCAS) and nurses were trained in cannulation. As poor bowel preparation contributed to cancellations, we introduced telephone pre-assessment to educate patients. Finally, the administrative team sent text reminders before appointments. Results At baseline, our unit performed an average of 7.9 points per list, out of a planned 10. On average, 28.5 patients per month had procedures cancelled on the day due to poor bowel prep or inadequate fasting. After the introduction of pre-assessment, it improved to 23.5 per month, saving 5 procedures which would have had to be rearranged. The average points performed improved to 9.3 points per list. The average DNA rate has improved from 9% to 7% after the introduction of text reminders. After the introduction of the turnaround nurse and HCA cannulation, turnaround time reduced from an average of 18 to 9 minutes between procedures. This could save 90 minutes over a 12-point list. Despite these improvements, only 41.6% of lists are booked for 1-2 points. Inadequate staffing numbers and late start times are contributing factors. A start time audit showed that only 5 out of 27 lists in a week started within 10 minutes of supposed start times, a target for further cycles of this QI project. Conclusions Multiple small improvements in efficiency can achieve significant impact on productivity. Interventions focused on turnaround time can reduce underuse of list time. Patient-centred approaches to procedural preparation may reduce squandered appointments. Sustainability of these improvements is difficult to assess in the short term but will be promoted by the continuing QI fellow role and implementation of endoscopy QI champions from the administrative and nursing team.</t>
  </si>
  <si>
    <t>J556</t>
  </si>
  <si>
    <t>Low Back and Radicular Pain Including Symptomatic Spinal Stenosis</t>
  </si>
  <si>
    <t>Back pain is the largest single cause of disability in the UK, with lower back pain alone accounting for 11% of the total disability of the UK population. Currently there is enormous geographical variation in the pathways, costs and outcomes of patients with back pain. Despite existing evidence there are a significant number of treatments with low clinical value still in use. The NHS England Trauma Programme of Care Board selected Low Back Pain and Radicular Pain as a pathfinder project in 2013. A clinical group of 30 stakeholder representatives worked collaboratively to produce an agreed, seamless pathway, extending from first contact in primary care through to secondary care and specialist services. This pathway was updated in 2017 following the publication of NICE NG59 and is endorsed in the 2019 GIRFT report. The National Back and Radicular Pain Pathway (NBRPP) is recognised as the commissioning pathway of choice for CCG's. Implementation of the NBRPP is currently being driven through Right Care and GIRFT. National Back and Radicular Pain Pathway. Where implemented, evaluation of the pathway provides evidence that the NBRPP results in substantial cost saving through reducing; admissions for back pain (with or without radicular pain), therapeutic injections for back pain, readmissions and spinal fusions for back pain. This session will use case studies to explore the recommended pathway of care for people with: * Back pain who are at risk of persisting disability * Severe radicular pain, best managed with injection or surgery * Symptomatic spinal stenosis which can be managed conservatively..</t>
  </si>
  <si>
    <t>J557</t>
  </si>
  <si>
    <t>Pns408 How Is the English Nhs Prescription Drugs Budget Spent</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</si>
  <si>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 2019</t>
  </si>
  <si>
    <t>J558</t>
  </si>
  <si>
    <t>Conservative interventions for treating functional daytime urinary incontinence in children</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</si>
  <si>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child’s well‐being,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quasi‐randomised, multi‐arm studies, cross‐over studies and cluster‐randomised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meta‐analysis was possible, we applied random‐effects meta‐analysis using the Mantel‐Haenszel method for dichotomous outcomes. Main results The review included 27 RCTs involving 1803 children. Of these, six were multi‐arm and one was also a cross‐over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low‐certainty evidence). Voiding education with uroflowmetry feedback and urotherapy versus urotherapy alone. Slightly more children receiving voiding education with uroflow feedback and urotherapy may achieve continence (RR 1.13, 95% CI 0.87 to 1.45; 3 studies; n = 151; low‐certainty evidence). Urotherapy with timer watch versus urotherapy alone. We are uncertain whether urotherapy plus timer watch increases the number of children achieving continence compared to urotherapy alone (RR 1.42, 95% CI 1.12 to 1.80; 1 study; n = 58; very low‐certainty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low‐certainty evidence). Individual conservative interventions versus non‐conservative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low‐certainty evidence). TENS versus anticholinergics. We are uncertain whether there was any evidence of a difference between treatment groups in the proportions of children achieving continence (RR 0.81, 95% CI 0.05 to 12.50; 2 studies; n = 72; very low‐certainty evidence). Combined conservative interventions versus non‐conservative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low‐certainty evidence). Authors' conclusions The review found little reliable evidence that can help affected children, their carers and the clinicians working with them to make evidence‐based treatment decisions. In this scenario, the clinical experience of individual clinicians and the support of carers may be the most valuable resources. More well‐designed research, with well‐defined interventions and consistent outcome measurement, is needed. Plain language summary Conservative (non‐pharmaceutical and non‐surgical)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up‐to‐date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 and sometimes carers ‐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good‐quality research evidence that can help children, their carers and doctors and nurses to make decisions about treatments. More well‐designed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</si>
  <si>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J559</t>
  </si>
  <si>
    <t>Enhancing efficiency in endoscopy unit using the 'time and motion' model</t>
  </si>
  <si>
    <t>Introduction Endoscopy Units throughout the UK are facing unprecedented pressures due to increasing demand with limited capacity. Our aim was to explore strategies to improve our endoscopy unit's efficiency. In order to identify targets for improvement we sought to undertake a 'Time and Motion' study in the endoscopy unit. Methods The study was conducted at Nottingham City Hospital Endoscopy centre between 13th January 2017 to 10th February 2017. Procedures included were gastroscopy, colonoscopy, sigmoidoscopy, bronchoscopy, therapeutic endoscopy and endoscopic ultrasound. From the time a patient reports to the reception to the time discharge was made the patients journey was mapped using the 'time and motion' principle. As part of this study, healthcare professionals and admission staff were asked to record the patient's journey through endoscopy unit accurately and complete templates which were kept with the patient's notes as they moved through the unit. Separate independent observers were then responsible for observing and recording times at which patients entered and exited the procedure room coupled with noting any issues for delays. Results A total of 509 day case patients and 27 inpatient procedures were performed in 4 procedure rooms during the study period over 138 endoscopy lists. The adjusted median delay in starting time was 26 minutes with a peak of 20 minutes. The adjusted median turnaround times (time period between exit of patient from endoscopy room to entry of next patient in to the room) was 13:11 minutes with a peak at 12:30 minutes. The median for overruns (overrunning of lists beyond schedule) was 49:00 minutes. The adjusted median procedure time was 25:00 minutes. 95% of endoscopy lists started late and 80% of the lists finished late. Bottlenecks identified were (1) delays in booking, (2) delays in patient preparation including enema, (3) inpatient transportation from and to wards and (4) timely endoscope availability. These were addressed by changing patient arrival times, additional support workers to support admission and patient preparation, introduction of co-ordinator to monitor lists with empowerment to redeploy staffing, and the role of a 'runner' to liaise between decontamination and the procedure rooms. Conclusion The 'time and motion' study is a useful tool to identify areas for improvement in patient flow and improve efficiency in the Endoscopy unit.</t>
  </si>
  <si>
    <t>J560</t>
  </si>
  <si>
    <t>Perioperative nutrition for the treatment of bladder cancer by radical cystectomy</t>
  </si>
  <si>
    <t>- Background Radical cystectomy (RC) is the primary surgical treatment for muscle‐invasive urothelial carcinoma of the bladder. This major operation is typically associated with an extended hospital stay, a prolonged recovery period and potentially major complications. Nutritional interventions are beneficial in some people with other types of cancer and may be of value in this setting too. Objectives To assess the effects of perioperative nutrition in people undergoing radical cystectomy for the treatment of bladder cancer. Search methods We performed a comprehensive search using multiple databases (Evidence Based Medicine Reviews, MEDLINE, Embase, AMED, CINAHL), trials registries, other sources of grey literature, and conference proceedings published up to 22 February 2019, with no restrictions on the language or status of publication. Selection criteria We included parallel‐group randomised controlled trials (RCTs) of adults undergoing RC for bladder cancer. The intervention was any perioperative nutrition support. Data collection and analysis Two review authors independently assessed studies for inclusion, extracted data, and assessed risk of bias and the quality of evidence using GRADE. Primary outcomes were postoperative complications at 90 days and length of hospital stay. The secondary outcome was mortality up to 90 days after surgery. When 90‐day outcome data were not available, we reported 30‐day data. Main results The search identified eight trials including 500 participants. Six trials were conducted in the USA and two in Europe. 1. Parenteral nutrition (PN) versus oral nutrition: based on one study with 157 participants, PN may increase postoperative complications within 30 days (risk ratio (RR) 1.40, 95% confidence interval (CI) 1.07 to 1.82; low‐quality evidence). We downgraded the quality of evidence for serious study limitations (unclear risk of selection, performance and selective reporting bias) and serious imprecision. This corresponds to 198 more complications per 1000 participants (95% CI 35 more to 405 more). Length of hospital stay may be similar (mean difference (MD) 0.5 days higher, CI not reported; low‐quality evidence). 2. Immuno‐enhancing nutrition versus standard nutrition: based on one study including 29 participants, immuno‐enhancing nutrition may reduce 90‐day postoperative complications (RR 0.31, 95% CI 0.08 to 1.23; low‐quality evidence). These findings correspond to 322 fewer complications per 1000 participants (95% CI 429 fewer to 107 more). Length of hospital stay may be similar (MD 0.20 days, 95% CI 1.69 lower to 2.09 higher; low‐quality evidence). We downgraded the quality of evidence of both outcomes for very serious imprecision. 3. Preoperative oral nutritional support versus normal diet: based on one study including 28 participants, we are very uncertain if preoperative oral supplements reduces postoperative complications. We downgraded quality for serious study limitations (unclear risk of selection, performance, attrition and selective reporting bias) and very serious imprecision. The study did not report on length of hospital stay. 4. Early postoperative feeding versus standard postoperative management: based on one study with 102 participants, early postoperative feeding may increase postoperative complications (very low‐quality evidence) but we are very uncertain of this finding. We downgraded the quality of evidence for serious study limitations (unclear risk of selection and performance bias) and very serious imprecision. Length of hospital stay may be similar (MD 0.95 days less, CI not reported; low‐quality evidence). We downgraded the quality of evidence for serious study limitations (unclear risk of selection and performance bias) and serious imprecision. 5. Amino acid with dextrose versus dextrose: based on two studies with 104 participants, we are very uncertain whether amino acids reduce postoperative complications (very low‐quality evidence). We are also very uncertain whether length of hospital stay is similar (very low‐quality evidence). We downgraded the quality of evidence for both outcomes for serious study limitations (unclear and high risk of selection bias; unclear risk of performance, detection and selective reporting bias), serious indirectness related to the patient population and very serious imprecision. 6. Branch chain amino acids versus dextrose only: based on one study including 19 participants, we are very uncertain whether complication rates are similar (very low‐quality evidence). We downgraded the quality of evidence for serious study limitations (unclear risk of selection, performance, detection, attrition and selective reporting bias), serious indirectness related to the patient population and very serious imprecision. The study did not report on length of hospital stay. 7. Perioperative oral nutritional supplements versus oral multivitamin and mineral supplement: based on one study with 61 participants, oral supplements compared to a multivitamin and mineral supplement may slightly decrease postoperative complications (low‐quality evidence). These findings correspond to 135 fewer occurrences per 1000 participants (95% CI 256 fewer to 65 more). Length of hospital stay may be similar (low‐quality evidence). We downgraded the quality of evidence of both outcomes for study limitations and imprecision. Authors' conclusions Based on few, small and dated studies, with serious methodological limitations, we found limited evidence for a benefit of perioperative nutrition interventions. We rated the quality of evidence as low or very low, which underscores the urgent need for high‐quality research studies to better inform nutritional support interventions for people undergoing surgery for bladder cancer. Plain language summary Nutrition support for people having an operation for bladder cancer Review objective To assess the effects of perioperative nutrition in participants undergoing an operation for treating bladder cancer. Background Some people with advanced bladder cancer require an operation called a radical cystectomy to remove their bladder , which has a risk of complications after surgery. Some people who have bladder cancer may have difficulties with eating before or after the operation and may lose weight and be malnourished. In this review, we wanted to see if providing additional nutrition is of benefit compared to waiting for people to eat ordinary food. Study characteristics The evidence is current up to 22 February 2019. There were eight studies conducted including 500 people in hospital. There were seven different ways in which nutrition was given. Key results 1. Feeding into a vein versus oral nutrition: based on one study that included 157 people, we found that feeding into a vein may increase complications after surgery. However, there may be little or no difference in length of hospital stay. 2. Immuno‐enhancing nutrition versus standard supplements: immuno‐enhancing nutrition has high levels of nutrients that are thought to improve the immune function and was given in one study that included 29 people. We found that this form of nutrition may decrease complications 90 days after surgery, but may have little effect on length of hospital stay. 3. Preoperative oral nutrition support versus diet: based on one study that included 28 people, we are uncertain if oral supplements before surgery improve complications after surgery. Length of hospital stay was not reported. 4. Early postoperative feeding versus standard care: based on one study that included 102 people, early postoperative feeding may increase postoperative complications after surgery, but we are very uncertain of this finding. Length of hospital stay may be similar. 5. Amino acids versus dextrose: amino acids are the building blocks of proteins and dextrose is sugary water. From two studies that included 104 people, we are uncertain whether complications may be reduced. Length of hospital stay may be similar. 6. Branch chain versus dextrose: branch chain are a type of amino acid. From one study that included 19 people, we are very uncertain whether complication rates are similar. Length of hospital stay was not reported. 7. Perioperative oral nutritional supplements versus multivitamin and mineral supplement: from one study that included 61 people, oral supplements compared to a multivitamin and mineral supplement may slightly decrease postoperative complications. Length of hospital stay may be similar. Certainty of the evidence The certainty of the evidence for all outcomes in this review was low or very low, meaning that the true effect may be very different or is likely very different from what we found.</t>
  </si>
  <si>
    <t>J561</t>
  </si>
  <si>
    <t>Dietary interventions for adult cancer survivors</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</si>
  <si>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full‐text articles, extracted data, and assessed risk of bias. For analysis, we used a random‐effects statistical model for all meta‐analyses,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low‐certainty evidence). For secondary malignancies, dietary interventions versus control trials reported little or no difference (risk ratio (RR) 0.99, 95% CI 0.84 to 1.15; 1 study; 3107 participants; low‐certainty evidence). Co‐morbidities were not measured in any included trials. Subsequent outcomes reported after 12 months found that dietary interventions versus control probably make little or no difference in energy intake at 12 months (mean difference (MD) ‐59.13 kcal, 95% CI ‐159.05 to 37.79; 5 studies; 3283 participants; moderate‐certainty evidence). Dietary interventions versus control probably led to slight increases in fruit and vegetable servings (MD 0.41 servings, 95% CI 0.10 to 0.71; 5 studies; 834 participants; moderate‐certainty evidence); mixed results for fibre intake overall (MD 5.12 g, 95% CI 0.66 to 10.9; 2 studies; 3127 participants; very low‐certainty evidence); and likely improvement in Diet Quality Index (MD 3.46, 95% CI 1.54 to 5.38; 747 participants; moderate‐certainty evidence). For anthropometry, dietary intervention versus control probably led to a slightly decreased body mass index (BMI) (MD ‐0.79 kg/m², 95% CI ‐1.50 to ‐0.07; 4 studies; 777 participants; moderate‐certainty evidence). Dietary interventions versus control probably had little or no effect on waist‐to‐hip ratio (MD ‐0.01, 95% CI ‐0.04 to 0.02; 2 studies; 106 participants; low‐certainty evidence). For QoL, there were mixed results; several different quality assessment tools were used and evidence was of low to very low‐certainty.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waist‐to‐hip ratio. For QoL, results were highly varied. Additional high‐quality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This review evaluates evidence on dietary interventions for people after cancer. Quality of evidence   The quality of evidence is generally low to very low. Most studies did not evaluate dietary interventions for key review outcomes, particularly mortality and morbidity. However, a few study outcomes with moderate‐certainty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(moderate‐certainty evidence ) . Evidence on dietary fibre was mixed for different advice on weight reducing or healthy eating. Dietary interventions compared to control probably improved the Diet Quality Index (moderate‐certainty evidence ) . For physical measurements, we found a probable reduction in body mass index (BMI) with dietary interventions compared to controls (moderate‐certainty evidence) but little evidence showing any change in waist‐to‐hip ratio (low‐certainty evidence ) . For quality of life (QoL), results were mixed due to the wide variety of tools used. No adverse events were reported. Conclusion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</si>
  <si>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J562</t>
  </si>
  <si>
    <t>Perspectives of healthcare professionals in England on falls interventions for people with dementia: a qualitative interview study</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</si>
  <si>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 2019 Author(s) (or their employer(s)). Re-use permitted under CC BY-NC.</t>
  </si>
  <si>
    <t>J563</t>
  </si>
  <si>
    <t>Protocol for a cluster randomised control trial evaluating the efficacy and safety of treatment for latent tuberculosis infection in recent migrants within primary care: the CATAPuLT trial</t>
  </si>
  <si>
    <t>BACKGROUND: The identification and treatment of LTBI is a key component of the WHO's strategy to eliminate TB. Recent migrants from high TB-incidence countries are recognised to be at risk TB reactivation, and many high-income countries have focused on LTBI screening and treatment programmes for this group. However, migrants are the group least likely to complete the LTBI cascade-of-care. This pragmatic cluster-randomised, parallel group, superiority trial investigates whether a model of care based entirely within a community setting (primary care) will improve treatment completion compared with treatment in specialist TB services (secondary care). METHOD(S): The CATAPuLT trial (Completion and Acceptability of Treatment Across Primary Care and the community for Latent Tuberculosis) randomised 34 general practices in London, England, to evaluate the efficacy and safety of treatment for LBTI in recent migrants within primary care. GP practices were randomised to either provide management for LTBI entirely within primary care (GPs and community pharmacists) or to refer patients to secondary care. The target recruitment number for individuals is 576. The primary outcome is treatment completion (defined as taking at least 90% of antibiotic doses). The secondary outcomes assess adherence, acceptance of treatment, the incidence of adverse effects including drug-induced liver injury, the rates of active TB, patient satisfaction and cost-effectiveness of LTBI treatment. This protocol adheres to the SPIRIT Checklist. DISCUSSION(S): The CATAPuLT trial seeks to provide implementation research evidence for a patient-centred intervention to improve treatment completion for LTBI amongst recent migrants to the UK. TRIAL REGISTRATION: NCT03069807, March 2017, registered retrospectively.</t>
  </si>
  <si>
    <t>J564</t>
  </si>
  <si>
    <t>Interventions to reduce ambient particulate matter air pollution and their effect on health</t>
  </si>
  <si>
    <t>- Background Ambient air pollution is associated with a large burden of disease in both high‐income countries (HICs) and low‐ and middle‐income countries (LMICs). To date, no systematic review has assessed the effectiveness of interventions aiming to reduce ambient air pollution. Objectives To assess the effectiveness of interventions to reduce ambient particulate matter air pollution in reducing pollutant concentrations and improving associated health outcomes. Search methods We searched a range of electronic databases with diverse focuses, including health and biomedical research (CENTRAL, Cochrane Public Health Group Specialised Register, MEDLINE, Embase, PsycINFO), multidisciplinary research (Scopus, Science Citation Index), social sciences (Social Science Citation Index), urban planning and environment (Greenfile), and LMICs (Global Health Library regional indexes, WHOLIS). Additionally, we searched grey literature databases, multiple online trial registries, references of included studies and the contents of relevant journals in an attempt to identify unpublished and ongoing studies, and studies not identified by our search strategy. The final search date for all databases was 31 August 2016. Selection criteria Eligible for inclusion were randomized and cluster randomized controlled trials, as well as several non‐randomized study designs, including controlled interrupted time‐series studies (cITS‐EPOC), interrupted time‐series studies adhering to EPOC standards (ITS‐EPOC), interrupted time‐series studies not adhering to EPOC standards (ITS), controlled before‐after studies adhering to EPOC standards (CBA‐EPOC), and controlled before‐after studies not adhering to EPOC standards (CBA); these were classified as main studies. Additionally, we included uncontrolled before‐after studies (UBA) as supporting studies. We included studies that evaluated interventions to reduce ambient air pollution from industrial, residential, vehicular and multiple sources, with respect to their effect on mortality, morbidity and several air pollutant concentrations. We did not restrict studies based on the population, setting or comparison. Data collection and analysis After a calibration exercise among the author team, two authors independently assessed studies for inclusion, extracted data and assessed risk of bias. We conducted data extraction, risk of bias assessment and evidence synthesis only for main studies; we mapped supporting studies with regard to the types of intervention and setting. To assess risk of bias, we used the Graphic Appraisal Tool for Epidemiological studies (GATE) for correlation studies, as modified and employed by the Centre for Public Health Excellence at the UK National Institute for Health and Care Excellence (NICE). For each intervention category, i.e. those targeting industrial, residential, vehicular and multiple sources, we synthesized evidence narratively, as well as graphically using harvest plots. Main results We included 42 main studies assessing 38 unique interventions. These were heterogeneous with respect to setting; interventions were implemented in countries across the world, but most (79%) were implemented in HICs, with the remaining scattered across LMICs. Most interventions (76%) were implemented in urban or community settings. We identified a heterogeneous mix of interventions, including those aiming to address industrial (n = 5), residential (n = 7), vehicular (n = 22), and multiple sources (n = 4). Some specific interventions, such as low emission zones and stove exchanges, were assessed by several studies, whereas others, such as a wood burning ban, were only assessed by a single study. Most studies assessing health and air quality outcomes used routine monitoring data. Studies assessing health outcomes mostly investigated effects in the general population, while few studies assessed specific subgroups such as infants, children and the elderly. No identified studies assessed unintended or adverse effects. The judgements regarding the risk of bias f studies were mixed. Regarding health outcomes, we appraised eight studies (47%) as having no substantial risk of bias concerns, five studies (29%) as having some risk of bias concerns, and four studies (24%) as having serious risk of bias concerns. Regarding air quality outcomes, we judged 11 studies (31%) as having no substantial risk of bias concerns, 16 studies (46%) as having some risk of bias concerns, and eight studies (23%) as having serious risk of bias concerns. The evidence base, comprising non‐randomized studies only, was of low or very low certainty for all intervention categories and primary outcomes. The narrative and graphical synthesis showed that evidence for effectiveness was mixed across the four intervention categories. For interventions targeting industrial, residential and multiple sources, a similar pattern emerged for both health and air quality outcomes, with essentially all studies observing either no clear association in either direction or a significant association favouring the intervention. The evidence base for interventions targeting vehicular sources was more heterogeneous, as a small number of studies did observe a significant association favouring the control. Overall, however, the evidence suggests that the assessed interventions do not worsen air quality or health. Authors' conclusions Given the heterogeneity across interventions, outcomes, and methods, it was difficult to derive overall conclusions regarding the effectiveness of interventions in terms of improved air quality or health. Most included studies observed either no significant association in either direction or an association favouring the intervention, with little evidence that the assessed interventions might be harmful. The evidence base highlights the challenges related to establishing a causal relationship between specific air pollution interventions and outcomes. In light of these challenges, the results on effectiveness should be interpreted with caution; it is important to emphasize that lack of evidence of an association is not equivalent to evidence of no association. We identified limited evidence for several world regions, notably Africa, the Middle East, Eastern Europe, Central Asia and Southeast Asia; decision‐makers should prioritize the development and implementation of interventions in these settings. In the future, as new policies are introduced, decision‐makers should consider a built‐in evaluation component, which could facilitate more systematic and comprehensive evaluations. These could assess effectiveness, but also aspects of feasibility, fidelity and acceptability. The production of higher quality and more uniform evidence would be helpful in informing decisions. Researchers should strive to sufficiently account for confounding, assess the impact of methodological decisions through the conduct and communication of sensitivity analyses, and improve the reporting of methods, and other aspects of the study, most importantly the description of the intervention and the context in which it is implemented. Plain language summary Ambient air quality – what works to reduce pollution and improve health? Why did we conduct this review? Globally, outdoor air pollution is a serious public health problem. In 2016, approximately 4 million deaths were attributable to air pollution, mostly from cardiovascular and respiratory diseases. Air pollution has also been linked to other health problems, like asthma. It is of much concern both in low‐ and middle‐income countries, where air quality may still be worsening, as well as in high‐income countries, where pollution levels have decreased over several decades. Many different policies and programmes have been put into place to reduce air pollution; examples include vehicle restrictions to reduce traffic, fuel standards for cars, buses and other motorized transport, industrial regulations to limit pollution from factories, and the replacement of inefficient heating stoves with more efficient, cleaner burning stoves. So far, no review has investigated sy tematically whether these measures have impacted air pollution and health as intended. What is the aim of this review? We investigated whether measures put into place to reduce outdoor air pollution have actually reduced air pollution and improved health. What were the main results of this review? We found 42 studies evaluating a broad range of measures to reduce air pollution in different countries around the world, although most were from high‐income countries. Most aimed to reduce air pollution from cars and other vehicles. However, we also identified measures addressing heating and cooking, industry, or a combination of different sources. We wanted to know whether these measures led to a reduction in the overall number of deaths, and in the number of deaths from cardiovascular and respiratory causes. We also investigated whether the measures led to fewer people going to hospitals for cardiovascular and respiratory problems. We also examined whether there were any changes in outdoor air quality, looking at different pollutants, such as particulate matter, fine particulate matter and other criteria pollutants. Studies were very diverse with respect to the policies or programmes they assessed, the settings and contexts in which they were implemented, and the methods used to evaluate them. The evidence we identified was of low and very low certainty, which means we cannot be very confident in the overall findings. Questions around certainty arose because of how studies were designed, conducted and analyzed. While some studies applied rigorous methods, others did not. Overall, we observed mixed results across studies. Many studies observed no clear changes in health or air quality associated with the measures, while others did observe clear improvements. We identified very few studies that reported worsened health or air quality associated with the measures. How do we interpret these results? Differences in the studies make it difficult to draw general conclusions about whether the measures worked. Detecting changes in population health and air pollution levels is challenging, and assessing whether changes that occur are due to a specific measure is complex. Air pollution levels are changing constantly and often unpredictably due to weather and other factors, and other changes happening at the same time could also impact population health and air pollution. When regulations to limit industrial pollution are introduced, one must keep in mind that several other changes may be occurring in the background: an increase in traffic and an upgrade of residential heating systems, for example, or an economic downturn that leads to reduced pollution. It can sometimes take a long time before improvements in health become apparent. In interpreting the review’s findings it is important to remember that just because a study did not detect an improvement does not mean that there really was no improvement. Further evaluations of measures to reduce outdoor air pollution in different countries, in particular in low‐ and middle‐income countries, are needed. Wherever possible, future evaluations should apply more reliable and standardized methods to analyze the data. This should help improve the quality of individual studies as well as our confidence in the findings across studies. How up to date is this review? This review includes studies up to 31 August 2016; any studies that were published after that date are not included in this review.</t>
  </si>
  <si>
    <t>J565</t>
  </si>
  <si>
    <t>Development of local alcohol services-experience from an english rural district general hospital</t>
  </si>
  <si>
    <t>Introduction Alcohol services are the cornerstone to delivering good alcohol detoxification treatment and outcomes for patients with alcohol dependence. The impact of staff educational program, e-CIWA proforma and inpatient outreach service for community rehabilitation (The Well) is assessed in this two-cycle audit study, leading to improvement in patient care and ongoing local service development at an English rural district general hospital.</t>
  </si>
  <si>
    <t>J566</t>
  </si>
  <si>
    <t>Pharmacological interventions for the treatment of delirium in critically ill adults</t>
  </si>
  <si>
    <t>- Background Although delirium is typically an acute reversible cognitive impairment, its presence is associated with devastating impact on both short‐term and long‐term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delirium‐free and coma‐free days; days with coma; delirium relapse; duration of mechanical ventilation; intensive care unit (ICU) and hospital length of stay; mortality; and long‐term outcomes (e.g. cognitive; discharge disposition; health‐related quality of life); and 2. the safety of such treatments for critically ill adult patients. Search methods We searched the following databases from their inception date to 21 March 2019: Ovid MEDLINE®, Ovid MEDLINE® In‐Process &amp; Other Non‐Indexed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quasi‐RCTs, of any pharmacological (drug) for treatment of delirium in critically ill adults. The drug intervention was to be compared to another active drug treatment, placebo, or a non‐pharmacological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high‐dependency unit. Data collection and analysis Two review authors independently identified studies from the search results; four review authors (in pairs) performed data extraction and assessed risk of bias independently. We performed data synthesis through pairwise meta‐analysis and network meta‐analysis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moderate‐quality evidence). In order of descending SUCRA values (best to worst), the next best interventions were atypical antipsychotics (RoM 0.80, 95% CrI 0.50 to 1.11; SUCRA 0.738; moderate‐quality evidence), opioids (RoM 0.88, 95% CrI 0.37 to 2.01; SUCRA 0.578; very‐low quality evidence), and typical antipsychotics (RoM 0.96, 95% CrI 0.64 to1.36; SUCRA 0.468; high‐quality evidence). The NMAs of multiple secondary outcomes revealed that only the alpha 2 agonist dexmedetomidine was associated with a shorter duration of mechanical ventilation (RoM 0.55, 95% CrI 0.34 to 0.89; moderate‐quality evidence), and the CHE inhibitor rivastigmine was associated with a longer ICU stay (RoM 2.19, 95% CrI 1.47 to 3.27; moderate‐quality evidence). Adverse events often were not reported in these trials or, when reported, were rare; pair‐wise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delirium‐free and coma‐free days, days with coma, physical restraint use, length of stay, long‐term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new‐onset, generally short‐term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 an inactive medicine also known as a sugar pill; four studies compared different drugs. Eleven studies with 1153 participants reported on the main outcome of this review ‐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meta‐analysis to compare the six different drug classes. Dexmedetomidine was ranked most effective in reducing delirium duration, followed by atypical antipsychotics. However, network meta‐analysis of delirium duration failed to rule out the possibility of no difference for all six drug classes compared to placebo. Using this method, we did not find that any drug improved the duration of coma, length of stay, long‐term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</si>
  <si>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J567</t>
  </si>
  <si>
    <t>Hospital nurse‐staffing models and patient‐ and staff‐related outcomes</t>
  </si>
  <si>
    <t>- Background Nurses comprise the largest component of the health workforce worldwide and numerous models of workforce allocation and profile have been implemented. These include changes in skill mix, grade mix or qualification mix, staffâ€allocation models, staffing levels, nursing shifts, or nursesâ€™ work patterns. This is the first update of our review published in 2011. Objectives The purpose of this review was to explore the effect of hospital nurseâ€staffing models on patient and staffâ€related outcomes in the hospital setting, specifically to identify which staffing model(s) are associated with: 1) better outcomes for patients, 2) better staffâ€related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nonâ€randomised trials, controlled beforeâ€after studies and interruptedâ€timeâ€series or repeatedâ€measures studies of interventions relating to hospital nurseâ€staffing models. Participants were patients and nursing staff working in hospital settings. We included any objective reported measure of patientâ€, staffâ€related, or economic outcome. The most important outcomes included in this review were: nursingâ€staff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nurseâ€staffing models: â€ introduction of advanced or specialist nurses to the nursing workforce; â€ introduction of nursing assistive personnel to the hospital workforce; â€ primary nursing; and â€ staffing models. The studies were conducted in the USA, the Netherlands, UK, Australia, and Canada and included patients with cancer, asthma, diabetes and chronic illness, on medical, acute care, intensive care and longâ€stay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nurseâ€staffing models. One nurseâ€staffing model study tested hospital units scheduling their own nursing shifts (selfâ€staffing), and the other study compared different ways to schedule nursing shifts. We cannot be sure about the impact of primary nursing or nurseâ€staffing models on nurse resignations or costs because the research is very limited. How upâ toâ€date is this review? The review authors searched for studies that had been published up to March 2018.</t>
  </si>
  <si>
    <t>J568</t>
  </si>
  <si>
    <t>Guideline No. 388-Determination of Gestational Age by Ultrasound</t>
  </si>
  <si>
    <t>Objective: To assist clinicians in assigning gestational age based on ultrasound biometry. Outcome(s): To determine whether ultrasound dating provides more accurate gestational age assessment than menstrual dating with or without the use of ultrasound. To provide maternity health care providers and researchers with evidence-based guidelines for the assignment of gestational age. To determine which ultrasound biometric parameters are superior when gestational age is uncertain. To determine whether ultrasound gestational age assessment is cost effective. Evidence: Published literature was retrieved through searches of PubMed or MEDLINE and The Cochrane Library in 2013 using appropriate controlled vocabulary and key words (gestational age, ultrasound biometry, ultrasound dating). Results were restricted to systematic reviews, randomized control trials/controlled clinical trials, and observational studies written in English. There were no date restrictions. Searches were updated on a regular basis and incorporated in the guideline to July 31, 2013. Grey (unpublished) literature was identified through searching the websites of health technology assessment and health technology-related agencies, clinical practice guideline collections, clinical trial registries, and national and international medical specialty societies. Values: The quality of evidence in this document was rated using the criteria described in the Report of the Canadian Task Force on Preventive Health Care (Table 1). Benefits, harms, and costs: Accurate assignment of gestational age may reduce post-dates labour induction and may improve obstetric care through allowing the optimal timing of necessary interventions and the avoidance of unnecessary ones. More accurate dating allows for optimal performance of prenatal screening tests for aneuploidy. A national algorithm for the assignment of gestational age may reduce practice variations across Canada for clinicians and researchers. Potential harms include the possible reassignment of dates when significant fetal pathology (such as fetal growth restriction or macrosomia) result in a discrepancy between ultrasound biometric and clinical gestational age. Such reassignment may lead to the omission of appropriate-or the performance of inappropriate-fetal interventions. Summary Statements: 1 When performed with quality and precision, ultrasound alone is more accurate than a certain" menstrual date for determining gestational age in the first and second trimesters (&lt;= 23 weeks) in spontaneous conceptions, and it is the best method for estimating the delivery date (II). 2 In the absence of better assessment of gestational age, routine ultrasound in the first or second trimester reduces inductions for post-term pregnancies (I). 3 Ideally, every pregnant woman should be offered a first-trimester dating ultrasound; however, if the availability of obstetrical ultrasound is limited, it is reasonable to use a second-trimester scan to assess gestational age (I). Recommendations: 1 First-trimester crown-rump length is the best parameter for determining gestational age and should be used whenever appropriate (I A). 2 If there is more than one first-trimester scan with a mean sac diameter or crown-rump length measurement, the earliest ultrasound with a crown-rump length equivalent to at least 7 weeks (or 10 mm) should be used to determine the gestational age (III B). Ideally the dating ultrasound is at least 7 weeks or 10 mm of gestation. However, in the absence of timed fertilization, clinical judgement and discretion can be applied should the only early crown-rump length scan be prior to 10 mm and 7 weeks and thus a repeat scan is not mandatory. Factors to consider include the quality of the scan, ultrasound method, and all available clinical information. 3 Between the 12th and 14th weeks, crown-rump length and biparietal diameter are similar in accuracy. It is recommended that crown-rump length be used up to 84 mm, and the biparietal diameter be used for measurements &gt; 84 mm (II-1 A). 4 If a second- or third-trimester scan is used to determine gestational age, a combination of multiple biometric parameters (bipariet l diameter, head circumference, abdominal circumference, and femur length) should be used to determine gestational age, rather than a single parameter (II-1 A). 5 When the assignment of gestational age is based on a third-trimester ultrasound, it is difficult to confirm an accurate due date. Follow-up of interval growth is suggested 2 to 3 weeks following the ultrasound (III C). Copyright © 2019 The Society of Obstetricians and Gynaecologists of Canada/La Societe des obstetriciens et gynecologues du Canada."</t>
  </si>
  <si>
    <t>J569</t>
  </si>
  <si>
    <t>Taking stock of cost-effectiveness analysis of healthcare in China</t>
  </si>
  <si>
    <t>&lt;b&gt;INTRODUCTION&lt;/b&gt;: Cost-effectiveness analysis (CEA) is playing an increasingly important role in informing healthcare decision-making in China. This study aims to review the published literature on CEA in mainland China and describe its characteristics and evolution. We provide recommendations on the future direction of CEA as a methodology and as a tool to support healthcare decision-making in China._x000D_
&lt;b&gt;METHODS&lt;/b&gt;: English-language cost-per-quality-adjusted life-year (QALY) and cost-per-disability-adjusted life-year (DALY) publications relating to mainland China were reviewed using the Tufts Medical Center Cost-Effectiveness Analysis Registry and Global Health Cost-Effectiveness Analysis Registry through 2017. Study features were summarised using descriptive statistics. Changes in study methodology over time were analysed by trend test, and study characteristics influencing the incremental cost-effectiveness ratio (ICER) of cost-per-QALY studies were investigated using logistic regression._x000D_
&lt;b&gt;RESULTS&lt;/b&gt;: 170 studies were identified reporting CEA for mainland China (cost/QALY=125, cost/DALY=45) since 1998. The number and quality of studies has increased over the past two decades, with significantly more cost-per-QALY studies compared with cost-per-DALY studies (p&lt;0.0001) and more studies with authors affiliated with Chinese institutions (p=0.0002). The average quality score was 5.04 out of 7 for cost-per-QALY and 4.70 for cost-per-DALY studies based on Registry reviewers' subjective assessment of overall quality (methods, assumptions and reporting practices). The median ICER reported for interventions for oncology patients was higher (US$26 694 per QALY) than the median ICER reported for all interventions (US$11 503 per QALY). Oncology interventions were associated with the likelihood of reporting higher ICERs than the median ICER (p=0.003)._x000D_
&lt;b&gt;CONCLUSION&lt;/b&gt;: The number of English-language published CEA studies relating to China has grown rapidly over the past 20 years. In terms of quality, the China studies compare favourably with international studies, although they remain a small proportion of studies globally.</t>
  </si>
  <si>
    <t>J570</t>
  </si>
  <si>
    <t>Interventions for involving older patients with multi‐morbidity in decision‐making during primary care consultations</t>
  </si>
  <si>
    <t>- Background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Objectives To assess the effects of interventions for older patients with multi‐morbidity aiming to involve them in decision‐making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Data collection and analysis We used standard Cochrane methodological procedures. Meta‐analysis was not possible; therefore we prepared a narrative synthesis. Main results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 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long‐term health problem in decision‐making during primary care consultations Background The number of older people with more than one long‐term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long‐term health problem in decision‐making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long‐term health problems on average. Interventions investigated included: · patient workshops and individual patient coaching; · patient coaching including cognitive‐behavioural therapy; and · whole‐person patient review, practitioner training, and organisational changes. All studies were funded by national research bodies. Key results None of the studies reported the main outcome ‘patient involvement in decision‐making about their health care’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long‐term health problem in decision‐making about their health care can improve their self‐rated health or healthcare engagement, or make any difference in self‐efficacy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</si>
  <si>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J571</t>
  </si>
  <si>
    <t>Alternative community-based models of care for young people with anorexia nervosa: the CostED national surveillance study</t>
  </si>
  <si>
    <t>&lt;b&gt;BACKGROUND&lt;/b&gt;: Evidence suggests that investing in specialist eating disorders services for young people with anorexia nervosa could have important implications for the NHS, with the potential to improve health outcomes and reduce costs through reductions in the number and length of hospital admissions._x000D_
&lt;b&gt;OBJECTIVES&lt;/b&gt;: The primary objectives were to evaluate the costs and cost-effectiveness of alternative community-based models of service provision for young people with anorexia nervosa and to model the impact of potential changes to the provision of specialist services._x000D_
&lt;b&gt;DESIGN&lt;/b&gt;: Observational surveillance study using the Child and Adolescent Psychiatry Surveillance System._x000D_
&lt;b&gt;SETTING&lt;/b&gt;: Community-based secondary or tertiary child and adolescent mental health services (CAMHS) in the UK and the Republic of Ireland._x000D_
&lt;b&gt;PARTICIPANTS&lt;/b&gt;: A total of 298 young people aged 8-17 years in contact with CAMHS for a first episode of anorexia nervosa in accordance with Diagnostic and Statistical Manual of Mental Disorders, Fifth Edition, diagnostic criteria._x000D_
&lt;b&gt;INTERVENTIONS&lt;/b&gt;: Community-based specialist eating disorders services and generic CAMHS._x000D_
&lt;b&gt;MAIN OUTCOME MEASURES&lt;/b&gt;: Children's Global Assessment Scale (CGAS) score (primary outcome) and percentage of median expected body mass index (BMI) for age and sex (%mBMI) (secondary outcome) were assessed at baseline and at 6 and 12 months._x000D_
&lt;b&gt;DATA SOURCES&lt;/b&gt;: Data were collected by clinicians from clinical records._x000D_
&lt;b&gt;RESULTS&lt;/b&gt;: Total costs incurred by young people initially assessed in specialist eating disorders services were not significantly different from those incurred by young people initially assessed in generic CAMHS. However, adjustment for baseline covariates resulted in observed differences favouring specialist services (costs were lower, on average) because of the significantly poorer clinical status of the specialist group at baseline. At the 6-month follow-up, mean %mBMI was significantly higher in the specialist group, but no other significant differences in outcomes were evident. Cost-effectiveness analyses suggest that initial assessment in a specialist service has a higher probability of being cost-effective than initial assessment in generic CAMHS, as determined by CGAS score and %mBMI. However, no firm conclusion can be drawn without knowledge of society's willingness to pay for improvements in these outcomes. Decision modelling did not support the hypothesis that changes to the provision of specialist services would generate savings for the NHS, with results suggesting that cost per 10-point improvement in CGAS score (improvement from one CGAS category to the next) varies little as the percentage of participants taking the specialist or generic pathway is varied._x000D_
&lt;b&gt;LIMITATIONS&lt;/b&gt;: Follow-up rates were lower than expected, but the sample was still larger than has been achieved to date in RCTs carried out in this population in the UK, and an exploration of the impact of missing cost and outcome data produced very similar results to those of the main analyses._x000D_
&lt;b&gt;CONCLUSIONS&lt;/b&gt;: The results of this study suggest that initial assessment in a specialist eating disorders service for young people with anorexia nervosa may have a higher probability of being cost-effective than initial assessment in generic CAMHS, although the associated uncertainty makes it hard to draw firm conclusions. Although costs and outcomes were similar, young people in specialist services were more severely ill at baseline, suggesting that specialist services were achieving larger clinical effectiveness gains without the need for additional expenditure. The results did not suggest that providing more specialist services would save money for the NHS, given similar costs and outcomes, so decisions about which service type to fund could be made with reference to other factors, such as the preferences of patients and carers._x000D_
&lt;b&gt;FUTURE WORK&lt;/b&gt;: Data on measures of quality of life capable of generating quality-adjusted life-years are needed to confirm the cost-effectiveness of specialist services._x000D_
&lt;b&gt;TRIAL REGISTRATION&lt;/b&gt;: Current Controlled Trials ISRCTN12676087._x000D_
&lt;b&gt;FUNDING&lt;/b&gt;: This project was funded by the National Institute for Health Research (NIHR) Health Services and Delivery Research programme and will be published in full in Health Services and Delivery Research; Vol. 7, No. 37. See the NIHR Journals Library website for further project information.</t>
  </si>
  <si>
    <t>J572</t>
  </si>
  <si>
    <t>Barriers and facilitators to the implementation of a stratified model of care for low back pain patients in primary care in Portugal</t>
  </si>
  <si>
    <t>Background: The results of a recent study have suggested that the current clinical practice is not in line with clinical guideline recommendations and may not be delivering the best outcomes to Low Back Pain (LBP) Portuguese patients. Since the stratified primary care approach has demonstrated clinical and cost-effectiveness in the UK and other countries, the SPLIT project aimed to introduce a similar approach that involves general practitioners (GPs) and physiotherapists (PTs) in the triage and targeted treatment for LBP patients, in Portugal. In order to facilitate the implementation of this project a training program for GPs and PTs was delivered by rheumatologists and PTs. Considering the specific organization of the Portuguese primary care, it was important to explore the perceptions of the GPs and PTs, who attended to the training, regarding the implementation of the SPLIT stratified model of care in the Portuguese context. Objective(s): Identify and understand the potential barriers and facilitators to the implementation of the SPLIT stratified model of care. Method(s): After obtaining ethical approval, two focus groups (one for each professional group) were carried out. The focus groups were based on a semi-structured interview schedule, audio-recorded and transcribed verbatim. A thematic analysis was conducted. Firstly, two researchers independently coded the transcripts. Secondly, these researchers discussed the codes and examined their scope and relevance. Thirdly, the researchers developed a coding scheme that included the main themes and sub-themes, as well as the connections among them. Result(s): The potential barriers were identified and explored by both professional groups. The introduction of change into the routine delivery care was identified as one of the most important barriers. According to the GPs perspective, the possibility of inadequate referral was considered as an issue. The PTs highlighted the challenges inherent to the psychosocial informed physiotherapy treatment of patients classified with high risk of developing persistent and disabling pain. More specifically, they emphasised the need to receive mentoring sessions in clinical practice, in order to develop competences for the management of psychosocial issues. In what concerns to the potential facilitators to the implementation of the model, the participants personal motivation was considered as one of the most important factors. The alignment of the SPLIT model with the mission and goals of the health care units where the project was going to be piloted was also identified as an important facilitator. Finally, both professionals groups considered that the SPLIT model may facilitate the interdisciplinary approach to the management of this condition, as it clarifies the specific contribution of GPs and PTs in the approach to LBP patients Conclusion(s): The knowledge about the potential barriers and facilitators to the implementation of the SPLIT stratified model of care may contribute to the successful implementation of stratified care for LBP patients in Portugal.</t>
  </si>
  <si>
    <t>J573</t>
  </si>
  <si>
    <t>Protocol for a pragmatic cluster randomised controlled trial assessing the clinical effectiveness and cost effectiveness of electronic risk-assessment tools for cancer for patients in general practice (ERICA)</t>
  </si>
  <si>
    <t>Introduction: Compared with other developed countries, the UK has poorer cancer outcomes. Early cancer diagnosis within general practice has the potential to facilitate improvements. Paper and mouse mat Risk Assessment Tools (RATs) for 18 cancers have been developed to support GPs in identifying cancer. The RATs give precise estimates of the risk of an underlying cancer based on a single symptom or combination of symptoms. Some of the RATs have been converted into electronic versions (eRATs) and embedded into GPs' clinical systems, delivering an automated prompt to consider the possibility of cancer when a patient has at least a 2% risk of cancer. Early pilot work suggests that the eRATs are acceptable to GPs. There is no evidence to date of their clinical- or cost-effectiveness. Method(s): A pragmatic, cluster RCT with 530 practices across England randomised 1:1 to receive either the intervention (access to the eRATs medical device including: lung, oesophago-gastric, kidney, bladder, ovarian, colorectal) or usual practice. There will also be embedded process and health economics evaluations along with a parallel study modelling the impact of eRATs on NHS service delivery. Clinical outcomes will be observed in routinely collected data exported from the cancer registry. The primary outcome will be the proportion of the combined six cancers diagnosed during a 2-year follow-up that were at Stage 1/2 (early - cure likely) versus Stage 3/4 (late - cure not likely) at the time of diagnosis. Ethics approval and trial registration will be sought in the early spring 2019. Practice recruitment is planned to launch in summer 2019 and close in winter 2019. Result(s): Results will be available from winter 2023. Discussion(s): The results of the RCT will provide a definitive assessment of the clinical- and cost-effectiveness of the six eRATs being studied and report their impact on patient care.</t>
  </si>
  <si>
    <t>J574</t>
  </si>
  <si>
    <t>Abstract 2415: Polygenic risk-tailored screening for prostate cancer: A costeffectiveness Analysis</t>
  </si>
  <si>
    <t>Background Screening for prostate cancer with prostate specific antigen (PSA) remains controversial. Risk-tailoring based on age and polygenic profile might conserve the benefits of PSA screening whilst reducing overdiagnosis. This study evaluates the cost-effectiveness and benefit-to-harm balance of polygenic risk-tailored screening for prostate cancer. Methods A life-table approach was used. A hypothetical cohort of 4.48 million men in England between the ages of 55 and 70 was followed to the age of 90. Three scenarios were compared: No screening, age-based screening (PSA testing every four years from 55 to 70), and risk-tailored screening based on age and polygenic risk profile (men above the risk threshold receive PSA testing four-yearly from the age they reach the risk threshold to 70). The number of prostate cancer cases, deaths from prostate cancer, overdiagnosed cases, life-years and quality-adjusted life-years (QALYs), incremental cost per QALY, and net monetary benefit were calculated. Sensitivity analyses investigated the impact of parameter uncertainty, and the impact of varying the risk threshold, on outcomes. Costs were estimated from the perspective of the UK National Health Service; both costs and benefits were discounted at 3.5%. Results The incremental cost per additional QALY for age-based screening compared to no screening was 58,254 ($75,899), with 27% simulations having an incremental cost-effectiveness ratio of less than 20,000 ($26,058), the threshold set by the UK National Institute for Health and Care Excellence for an intervention to be considered costeffective. In risk-tailored screening, as the 10-year absolute risk-threshold was progressively increased from 2.6%, equivalent to the 10-year absolute risk of a 55-year old man, to 7.1%, the corresponding risk of a 69-year old man, the cost per additional QALY gained reduced from 36,065 ($46,989) to 26,210 ($34,149), when compared to no screening. By comparison with age-based screening, risk-tailored screening with a threshold between 2.6% and 7.1% led to 8 (2.5%) and 45 (13%) fewer deaths prevented from prostate cancer per 10,000 men, with a 0.1% rise and 10% reduction in costs, respectively. Raising the risk threshold from 2.6% to 7.1% led to fewer men being screened (cumulative total of 35% of men screened by comparison with 83%), 53% fewer overdiagnosed cases, 22% fewer biopsies and 10% lower costs, at the expense of 10% fewer prostate cancer deaths averted. Conclusion Risk-tailored screening reduces the harms of screening for prostate cancer whilst preserving much of the mortality benefit. This study raises the prospect of risktailored population-based screening for prostate cancer; the precise risk-thresholds selected will depend on societal judgements regarding the appropriate trade-offs between harms and benefits.</t>
  </si>
  <si>
    <t>J575</t>
  </si>
  <si>
    <t>Polygenic risk-tailored screening for prostate cancer: A benefit-harm and cost-effectiveness modelling study</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</si>
  <si>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 2019 Callender et al. This is an open access article distributed under the terms of the Creative Commons Attribution License, which permits unrestricted use, distribution, and reproduction in any medium, provided the original author and source are credited.</t>
  </si>
  <si>
    <t>J576</t>
  </si>
  <si>
    <t>Pragmatic cluster randomised cohort cross-over trial to determine the effectiveness of bridging from emergency to regular contraception: The Bridge-It study protocol</t>
  </si>
  <si>
    <t>Introduction Oral emergency contraception (EC) can prevent unintended pregnancy but it is important to start a regular method of contraception. Women in the UK usually access EC from a pharmacy but then need a subsequent appointment with a general practitioner or a sexual and reproductive health (SRH) service to access regular contraception. Unintended pregnancies can occur during this time. Methods and analysis Bridge-It is a pragmatic cluster randomised cohort cross-over trial designed to determine whether pharmacist provision of a bridging supply of a progestogen-only pill (POP) plus rapid access to a local SRH clinic, results in increased uptake of effective contraception and prevents more unintended pregnancies than provision of EC alone. Bridge-It involves 31 pharmacies in three UK regions (London, Lothian and Tayside) aiming to recruit 626-737 women. Pharmacies will give EC (levonorgestrel) according to normal practice and recruit women to both intervention and the control phases of the study. In the intervention phase, pharmacists will provide the POP (desogestrel) and offer rapid access to an SRH clinic. In the control phase, pharmacists will advise women to attend a contraceptive provider for contraception (standard care). Women will be asked 4 months later about contraceptive use. Data linkage to abortion registries will provide abortion rates over 12 months. The sample size is calculated on the primary outcome of effective contraception use at 4 months (yes/no) with 90% power and a 5% level of significance. Abortion rates will be an exploratory secondary analysis. Process evaluation includes interviews with pharmacists, SRH clinicians and women. Cost-effectiveness analysis will use a healthcare system perspective and be expressed as incremental cost-effectiveness ratio. Ethics and dissemination Ethical approval was received from South East Scotland REC June 2017. Results will be published in peer-reviewed journals and conference presentations. Trial registration number ISRCTN70616901. Copyright © Author(s) (or their employer(s)) 2019. Re-use permitted under CC BY. Published by BMJ.</t>
  </si>
  <si>
    <t>J577</t>
  </si>
  <si>
    <t>Screening for Latent Tuberculosis Infection in Migrants With CKD: A Cost-effectiveness Analysis</t>
  </si>
  <si>
    <t>Rationale &amp; Objective: In countries with a low tuberculosis (TB) incidence, TB disproportionately affects populations born abroad. TB persists in these populations through reactivation of latent TB infection (LTBI) acquired before immigration. Those with chronic kidney disease (CKD) are at increased risk for reactivation and may benefit from LTBI screening and treatment. Study Design: Health administrative data from British Columbia, Canada, were used to inform a cost-effectiveness analysis evaluating LTBI screening in those diagnosed with stage 4 or 5 CKD not requiring dialysis (late-stage CKD) and those who began dialysis therapy. Setting &amp; Population: Permanent residents establishing residency in British Columbia, Canada, between 1985 and 2012 who had late-stage CKD diagnosed or began dialysis therapy. Intervention(s): Screening with the tuberculin skin test or interferon-gamma release assay (IGRA) compared to no LTBI screening at the time of late-stage CKD diagnosis and time of dialysis therapy initiation. Treatment for those who tested positive was isoniazid for 9 months. Outcome(s): Costs (2016 Can $), TB cases, and quality-adjusted life-years (QALYs). The incremental cost-effectiveness ratio for QALYs gained was calculated. Model, Perspective, &amp; Timeframe: Discrete event simulation model using a health care system perspective, 1.5% discount rate, and 5-year time horizon. Result(s): Screening with IGRA was superior to the tuberculin skin test in all situations. Screening with IGRA was less expensive and resulted in better outcomes compared to no screening in those initiating dialysis therapy from countries with an elevated TB incidence. In individuals with late-stage CKD, screening with IGRA was only cost-effective in those 60 years or older (cost per QALY gained, &lt;$48,000) from countries with an elevated TB incidence. Limitation(s): This study has limitations in generalizability to different epidemiologic settings and in modeling complicated clinical decisions. Conclusion(s): LTBI screening should be considered in non-Canadian-born residents initiating dialysis therapy and those with late stage CKD who are older. Copyright © 2018 National Kidney Foundation, Inc.</t>
  </si>
  <si>
    <t>J578</t>
  </si>
  <si>
    <t>Implementation interventions for musculoskeletal programs of care in the active military and barriers, facilitators, and outcomes of implementation: a scoping review</t>
  </si>
  <si>
    <t>BACKGROUND: Musculoskeletal disorders are common in the active military and are associated with significant lost duty days and disability. Implementing programs of care to manage musculoskeletal disorders can be challenging in complex healthcare systems such as in the military. Understanding how programs of care for musculoskeletal disorders have been implemented in the military and how they impact outcomes may help to inform future implementation interventions in this population. METHOD(S): We conducted a scoping review using the modified Arksey and O'Malley framework to identify literature on (1) implementation interventions of musculoskeletal programs of care in the active military, (2) barriers and facilitators of implementation, and (3) implementation outcomes. We identified studies published in English by searching MEDLINE, CINAHL, Embase, and CENTRAL (Cochrane) from inception to 1 June 2018 and hand searched reference lists of relevant studies. We included empirical studies. We synthesized study results according to three taxonomies: the Effective Practice and Organization of Care (EPOC) taxonomy to classify the implementation interventions; the capability, opportunity, motivation-behavior (COM-B) system to classify barriers and facilitators of implementation; and Proctor et al.'s taxonomy (Adm Policy Ment Health 38:65-76, 2011) to classify outcomes in implementation research. RESULT(S): We identified 1785 studies and 16 were relevant. All but two of the relevant studies were conducted in the USA. Implementation interventions were primarily associated with delivery arrangements (e.g., multidisciplinary care). Most barriers or facilitators of implementation were environmental (physical or social). Service and client outcomes indicated improved efficiency of clinical care and improved function and symptomology. Studies reporting implementation outcomes indicated the programs were acceptable, appropriate, feasible, or sustainable. CONCLUSION(S): Identification of evidence-based approaches for the management of musculoskeletal disorders is a priority for active-duty military. Our findings can be used by military health services to inform implementation strategies for musculoskeletal programs of care. Further research is needed to better understand (1) the components of implementation interventions, (2) how to overcome barriers to implementation, and (3) how to measure implementation outcomes to improve quality of care and recovery from musculoskeletal disorders.</t>
  </si>
  <si>
    <t>J579</t>
  </si>
  <si>
    <t>Results of a Birth Cohort Hepatitis C Screening Program in an Academic Emergency Department in Canada</t>
  </si>
  <si>
    <t>BACKGROUND: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PURPOSE: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6,613 patients in the birth cohort presented to the ED during daytime hours. 77% (5,117) met the eligibility criteria, 52% (2,817) were offered testing: 269 (11%) were previously tested, 487 (20%) declined. 1,639 (66%) individuals underwent testing: median age 58.2 (35-74), 850 male (51.9%). Of these, 29 patients (1.8%; 95% CI 1.2% to 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 care system differences between countries.</t>
  </si>
  <si>
    <t>J580</t>
  </si>
  <si>
    <t>Results of a birth cohort hepatitis C screening program in an academic emergency department in Canada</t>
  </si>
  <si>
    <t>Background and aims: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 613 patients in the birth cohort presented to the ED during daytime hours. 77% (5, 117) met the eligibility criteria, 52% (2, 817) were offered testing: 269 (11%) were previously tested, 487 (20%) declined. 1639 (66%) individuals underwent testing: median age 58.2 (35-74), 850 male (51.9%). Of these, 29 patients (1.8%; 95%CI 1.2%-2.4%)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healthcare system differences between countries. Copyright © 2019 European Association for the Study of the Liver</t>
  </si>
  <si>
    <t>J581</t>
  </si>
  <si>
    <t>Fls implementation: An innovative service support model for secondary fracture prevention in the UK</t>
  </si>
  <si>
    <t>An FLS systematically finds, assesses, treats and follows-up fragility fracture patients to prevent secondary fractures. Fracture prevention is cost-effective in terms of both social and healthcare budgets. Studies show that half of hip fractures occur after a prior fragility fracture, and 25% of hip fractures could be prevented with effective identification and treatment. Since 2014 the NOS has led an innovative programme providing a 'top-down' (national influencing, policy agenda) and 'bottom-up' (operational health service delivery support) approach to developing FLS in the UK. To date, 29 new services have been set-up; providing FLS to an additional 10m people, potentially preventing over 3200 hip fractures and saving the local health economy 65m over 5 years. This session will share our extensive experience of promoting this model.</t>
  </si>
  <si>
    <t>J582</t>
  </si>
  <si>
    <t>Recontacting patients in clinical genetics services: recommendations of the European Society of Human Genetics</t>
  </si>
  <si>
    <t>Technological advances have increased the availability of genomic data in research and the clinic. If, over time, interpretation of the significance of the data changes, or new information becomes available, the question arises as to whether recontacting the patient and/or family is indicated. The Public and Professional Policy Committee of the European Society of Human Genetics (ESHG), together with research groups from the UK and the Netherlands, developed recommendations on recontacting which, after public consultation, have been endorsed by ESHG Board. In clinical genetics, recontacting for updating patients with new, clinically significant information related to their diagnosis or previous genetic testing may be justifiable and, where possible, desirable. Consensus about the type of information that should trigger recontacting converges around its clinical and personal utility. The organization of recontacting procedures and policies in current health care systems is challenging. It should be sustainable, commensurate with previously obtained consent, and a shared responsibility between healthcare providers, laboratories, patients, and other stakeholders. Optimal use of the limited clinical resources currently available is needed. Allocation of dedicated resources for recontacting should be considered. Finally, there is a need for more evidence, including economic and utility of information for people, to inform which strategies provide the most cost-effective use of healthcare resources for recontacting. Copyright © 2018, The Author(s).</t>
  </si>
  <si>
    <t>J583</t>
  </si>
  <si>
    <t>Community pharmacy personnel interventions for smoking cessation</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</si>
  <si>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meta‐analysis using a Mantel‐Haenszel random‐effects model to generate risk ratios (RRs) and 95% confidence intervals (CIs). Main results We identified seven studies including 1774 participants. We judged three studies to be at high risk of bias and four to be at unclear risk. Each study provided face‐to‐face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one‐off advice on how to quit. Participants in both intervention and control arms received equivalent smoking cessation pharmacotherapy in all but one study. All studies took place in high‐income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follow‐up (RR 2.30, 95% CI 1.33 to 3.97; I 2 = 54%; low‐certainty evidence). Authors' conclusions Community pharmacists can provide effective behavioural support to people trying to stop smoking. However, this conclusion is based on low‐certainty evidence, limited by risk of bias and imprecision. Further research could change this conclusion. Plain language summary Does quit‐smoking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face‐to‐face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</si>
  <si>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J584</t>
  </si>
  <si>
    <t>Physiotherapy triage service for cancer patients - a service evaluation</t>
  </si>
  <si>
    <t>Purpose: Individuals with cancer experience a plethora of symptoms from diagnosis, through treatment and beyond into survivorship. Allied Health Professionals are uniquely placed to impact upon these symptoms by engaging individuals in rehabilitation. Scoping of rehabilitation services amongst individuals with cancer undergoing haematological and oncological treatment highlighted various issues with fatigue, loss of function, pain and breathlessness. A pilot programme was implemented to address these unmet needs. Method(s): In an acute teaching trust in the South West of England, individuals with cancer were highlighted by health care professionals and referred into the Therapy Treatment Support Service (TTSS). Included individuals had a cancer diagnosis and were adults aged 16 years and over, exclusion criteria specified those under 16 years of age and those without a cancer diagnosis. Telephone triage carried out by a physiotherapist provided appropriate interventions including fatigue management, musculoskeletal treatment, exercise programmes and breathlessness advice for individuals. The Functional Assessment of Cancer Therapy - General (FACT-G) was used as a quality of life outcome measure on initial and final contact. Result(s): Between March 2017 and March 2018 220 individuals were referred to TTSS with the following numbers specifying the primary reason for referral, 81 for fatigue, 71 for musculoskeletal issues, 42 for physical activity issues, 20 for mobility issues and 6 for breathlessness. In total 44 of 53 completed datasets demonstrated positive outcomes in terms of quality of life using the FACT-G. Of 23 completed datasets with fatigue as the primary reason for referral, 21 demonstrated an improvement. Conclusion(s): Fatigue is the primary reason for referral to TTSS and its interventions have shown a positive impact upon quality of life. A more detailed enquiry is required to investigate this service model. Implications: There is discrepancy in service provision for fatigue management amongst the population of those living with and beyond cancer. A cost-effective intervention that can provide equitable access is required to meet the aims stated in the Recovery Package. A standardised intervention delivered via a telephone clinic could reach a significant population of those living with and beyond cancer improving cancer-related fatigue symptoms. Funding acknowledgements: Macmillan Cancer Support provided funding for this pilot programme. The authors report no affiliations or conflicts of interest in the subject matter of this abstract. Copyright © 2018</t>
  </si>
  <si>
    <t>J585</t>
  </si>
  <si>
    <t>Fortification of wheat and maize flour with folic acid for population health outcomes</t>
  </si>
  <si>
    <t>- Background Folate is a B‐vitamin required for DNA synthesis, methylation, and cellular division. Wheat and maize (corn) flour are staple crops consumed widely throughout the world and have been fortified with folic acid in over 80 countries to prevent neural tube defects. Folic acid fortification may be an effective strategy to improve folate status and other health outcomes in the overall population. Objectives To evaluate the health benefits and safety of folic acid fortification of wheat and maize flour (i.e. alone or in combination with other micronutrients) on folate status and health outcomes in the overall population, compared to wheat or maize flour without folic acid (or no intervention). Search methods We searched the following databases in March and May 2018: Cochrane Central Register of Controlled Trials (CENTRAL), MEDLINE and MEDLINE In Process, Embase, CINAHL, Web of Science (SSCI, SCI), BIOSIS, Popline, Bibliomap, TRoPHI, ASSIA, IBECS, SCIELO, Global Index Medicus‐AFRO and EMRO, LILACS, PAHO, WHOLIS, WPRO, IMSEAR, IndMED, and Native Health Research Database. We searched the International Clinical Trials Registry Platform and ClinicalTrials.gov for ongoing or planned studies in June 2018, and contacted authors for further information. Selection criteria We included randomised controlled trials (RCTs), with randomisation at the individual or cluster level. We also included non‐RCTs and prospective observational studies with a control group; these studies were not included in meta‐analyses, although their characteristics and findings were described. Interventions included wheat or maize flour fortified with folic acid (i.e. alone or in combination with other micronutrients), compared to unfortified flour (or no intervention). Participants were individuals over two years of age (including pregnant and lactating women), from any country. Data collection and analysis Two review authors independently assessed study eligibility, extracted data, and assessed risk of bias. Main results We included 10 studies: four provided data for quantitative analyses (437 participants); five studies were randomised trials (1182 participants); three studies were non‐RCTs (1181 participants, 8037 live births); two studies were interrupted time series (ITS) studies (1 study population of 2,242,438, 1 study unreported). Six studies were conducted in upper‐middle‐income countries (China, Mexico, South Africa), one study was conducted in a lower‐middle‐income country (Bangladesh), and three studies were conducted in a high‐income country (Canada). Seven studies examined wheat flour fortified with folic acid alone or with other micronutrients. Three studies included maize flour fortified with folic acid alone or with other micronutrients. The duration of interventions ranged from two weeks to 36 months, and the ITS studies included postfortification periods of up to seven years. Most studies had unclear risk of bias for randomisation, blinding, and reporting, and low/unclear risk of bias for attrition and contamination. Neural tube defects : none of the included RCTs reported neural tube defects as an outcome. In one non‐RCT, wheat flour fortified with folic acid and other micronutrients was associated with significantly lower occurrence of total neural tube defects, spina bifida, and encephalocoele, but not anencephaly, compared to unfortified flour (total neural tube defects risk ratio (RR) 0.32, 95% confidence interval (CI) 0.21 to 0.48; 1 study, 8037 births; low‐certainty evidence). Folate status : pregnant women who received folic acid‐fortified maize porridge had significantly higher erythrocyte folate concentrations (mean difference (MD) 238.90 nmol/L, 95% CI 149.40 to 328.40); 1 study, 38 participants; very low‐certainty evidence) and higher plasma folate (MD 14.98 nmol/L, 95% CI 9.63 to 20.33; 1 study, 38 participants; very low‐certainty evidence), compared to no intervention. Women of reproductive age consuming maize flour fortified with folic acid and other micronutrients did no have higher erythrocyte folate (MD ‐61.80 nmol/L, 95% CI ‐152.98 to 29.38; 1 study, 35 participants; very low‐certainty evidence) or plasma folate (MD 0.00 nmol/L, 95% CI ‐0.00 to 0.00; 1 study, 35 participants; very low‐certainty evidence) concentrations, compared to women consuming unfortified maize flour. Adults consuming folic acid‐fortified wheat flour bread rolls had higher erythrocyte folate (MD 0.66 nmol/L, 95% CI 0.13 to 1.19; 1 study, 30 participants; very low‐certainty evidence) and plasma folate (MD 27.00 nmol/L, 95% CI 15.63 to 38.37; 1 study, 30 participants; very low‐certainty evidence), versus unfortified flour. In two non‐RCTs, serum folate concentrations were significantly higher among women who consumed flour fortified with folic acid and other micronutrients compared to women who consumed unfortified flour (MD 2.92 nmol/L, 95% CI 1.99 to 3.85; 2 studies, 657 participants; very low‐certainty evidence). Haemoglobin or anaemia : in a cluster‐randomised trial among children, there were no significant effects of fortified wheat flour flatbread on haemoglobin concentrations (MD 0.00 nmol/L, 95% CI ‐2.08 to 2.08; 1 study, 334 participants; low‐certainty evidence) or anaemia (RR 1.07, 95% CI 0.74 to 1.55; 1 study, 334 participants; low‐certainty evidence), compared to unfortified wheat flour flatbread. Authors' conclusions Fortification of wheat flour with folic acid may reduce the risk of neural tube defects; however, this outcome was only reported in one non‐RCT. Fortification of wheat or maize flour with folic acid (i.e. alone or with other micronutrients) may increase erythrocyte and serum/plasma folate concentrations. Evidence is limited for the effects of folic acid‐fortified wheat or maize flour on haemoglobin levels or anaemia. The effects of folic acid fortification of wheat or maize flour on other primary outcomes assessed in this review is not known. No studies reported on the occurrence of adverse effects. Limitations of this review were the small number of studies and participants, limitations in study design, and low‐certainty of evidence due to how included studies were designed and reported. Plain language summary The effects of fortification of wheat and maize flour with folic acid on population health outcomes Background Folate is an essential vitamin that is needed to make and repair DNA and for cell division. Folate has two main forms: folate, the natural form found in foods, and folic acid, the form that is used in supplements and fortified foods. Wheat and maize (corn) flour are staple crops consumed widely throughout the world. Fortification (i.e. the addition of vitamins and minerals to foods, to increase their nutritional value) of wheat or maize flour with folic acid has been introduced in over 80 countries to prevent neural tube defects among women of reproductive age. However, no previous systematic reviews have been conducted to evaluate the effects of folic acid‐fortified flour on folate status or other health outcomes in the general population. Review question This review aimed to determine the benefits and safety of fortification of wheat and maize flour with folic acid (i.e. alone or with other vitamins and minerals), compared to wheat or maize flour without folic acid (or no intervention), on folate status and different measures of health in the general population. Study characteristics We conducted the literature search in March and May 2018. We included 10 studies; four studies provided data for meta‐analyses. Six studies were conducted in upper‐middle‐income countries (China, Mexico, South Africa), one study was conducted in a lower‐middle‐income country (Bangladesh), and three studies were conducted in a high‐income country (Canada). Seven studies examined the effects of wheat flour fortified with folic acid alone (3 studies) or with other micronutrients (4 studies). Three studies assessed the effects of maize flour fortified with folic acid alone (1 study) or with other micronutrients (two studies). Key results and certain y of the evidence Fortification of wheat flour with folic acid may reduce the likelihood of neural tube defects (i.e. total neural tube defects and two specific types of neural tube defects, spina bifida and encephalocoele (a type of neural tube defect that affects the brain and the membranes that cover it through an opening in the skull). Fortification of wheat or maize flour with folic acid (i.e. alone or with other vitamins and minerals) may increase folate status. There was limited evidence of the effects of folic acid‐fortified wheat flour on haemoglobin levels or anaemia. The effects of folic acid fortification of wheat or maize flour on other main outcomes assessed in this review is not known. No studies reported on the occurrence of adverse effects. Limitations of this review were the small number of studies and participants, and the low‐certainty of evidence due to how included studies were designed and reported.</t>
  </si>
  <si>
    <t>J586</t>
  </si>
  <si>
    <t>Medical treatment for botulism</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</si>
  <si>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quasi‐RCTs examining the medical treatment of any of the four major types of botulism (infant intestinal botulism, food‐borne botulism, wound botulism, and adult intestinal toxemia). Potential medical treatments included equine serum trivalent botulism antitoxin, human‐derived botulinum immune globulin intravenous (BIG‐IV), plasma exchange, 3,4‐diaminopyridine, and guanidine. Data collection and analysis We followed standard Cochrane methodology. Our primary outcome was in‐hospital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intention‐to‐treat principles, and possibly some between‐treatment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(BIG‐IV: 2.60 weeks, 95% confidence interval (CI) 1.95 to 3.25; control: 5.70 weeks, 95% CI 4.40 to 7.00; mean difference (MD) ‐3.10 weeks, 95% CI ‐4.52 to ‐1.68; moderate‐certainty evidence); mechanical ventilation (BIG‐IV: 1.80 weeks, 95% CI 1.20 to 2.40; control: 4.40 weeks, 95% CI 3.00 to 5.80; MD ‐2.60 weeks, 95% CI ‐4.06 to ‐1.14; low‐certainty evidence); and tube or parenteral feeding (BIG‐IV: 3.60 weeks, 95% CI 1.70 to 5.50; control: 10.00 weeks, 95% CI 6.85 to 13.15; MD ‐6.40 weeks, 95% CI ‐10.00 to ‐2.80; moderate‐certainty evidence), but not on proportion of participants with adverse events or complications (BIG‐IV: 63.08%; control: 68.75%; risk ratio 0.92, 95% CI 0.72 to 1.18; absolute risk reduction 0.06, 95% CI 0.22 to ‐0.11; moderate‐certainty evidence). Authors' conclusions We found low‐ and moderate‐certainty evidence supporting the use of BIG‐IV in infant intestinal botulism. A single RCT demonstrated that BIG‐IV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(human‐derived botulinum immune globulin intravenous, or BIG‐IV). Fifty‐nine infants received BIG‐IV,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BIG‐IV spent, on average, about three weeks less time in hospital (i.e. 3.1 weeks versus 5.7 weeks) than infants who received the inactive treatment, and spent about three weeks less on a ventilator (1.8 weeks versus 4.4 weeks). The average duration of tube feeding in the BIG‐IV group was more than six weeks less than in the placebo group (i.e. 3.6 versus 10 weeks). The risk of harmful effects of the treatment was probably no greater with BIG‐IV than with the inactive treatment. The evidence was mostly of moderate certainty (low certainty for time spent on a ventilator). The review shows that BIG‐IV probably shortens hospitalization; may shorten time spent on a ventilator; and probably reduces the duration of tube feeding compared to placebo. On the other hand, we found no evidence for or against botulism antitoxin or other treatments for botulism. The evidence is up‐to‐date to January 2018, when we updated the searches and found no new trials.</t>
  </si>
  <si>
    <t>J587</t>
  </si>
  <si>
    <t>Digital and online symptom checkers and assessment services for urgent care to inform a new digital platform: a systematic review</t>
  </si>
  <si>
    <t>&lt;b&gt;BACKGROUND&lt;/b&gt;: Digital and online symptom checkers and assessment services are used by patients seeking guidance about health problems. NHS England is planning to introduce a digital platform (NHS111 Online) to operate alongside the NHS111 urgent-care telephone service. This review focuses on digital and online symptom checkers for urgent health problems._x000D_
&lt;b&gt;OBJECTIVES&lt;/b&gt;: This systematic review was commissioned to provide NHS England with an independent review of previous research in this area to inform strategic decision-making and service design._x000D_
&lt;b&gt;DATA SOURCES&lt;/b&gt;: Focused searches of seven bibliographic databases were performed and supplemented by phrase searching for names of symptom checker systems and citation searches of key included studies. The bibliographic databases searched were MEDLINE, EMBASE, The Cochrane Library, CINAHL (Cumulative Index to Nursing and Allied Health Literature), HMIC (Health Management Information Consortium), Web of Science and the Association of Computing Machinery (ACM) Digital Library, from inception up to April 2018._x000D_
&lt;b&gt;REVIEW METHODS&lt;/b&gt;: Brief inclusion criteria were (1) population - general population seeking information online or digitally to address an urgent health problem; (2) intervention - any online or digital service designed to assess symptoms, provide health advice and direct patients to appropriate services; and (3) comparator - telephone or face-to-face assessment, comparative performance in tests or simulations (studies with no comparator were included if they reported relevant outcomes). Outcomes of interest included safety, clinical effectiveness, costs or cost-effectiveness, diagnostic and triage accuracy, use of and contacts with health services, compliance with advice received, patient/carer satisfaction, and equity and inclusion. Inclusion was not restricted by study design. Screening studies for inclusion, data extraction and quality assessment were carried out by one reviewer with a sample checked for accuracy and consistency. Final decisions on study inclusion were taken by consensus of the review team. A narrative synthesis of the included studies was performed and structured around the predefined research questions and key outcomes. The overall strength of evidence for each outcome was classified as 'stronger', 'weaker', 'conflicting' or 'insufficient', based on study numbers and design._x000D_
&lt;b&gt;RESULTS&lt;/b&gt;: In total, 29 publications describing 27 studies were included. Studies were diverse in their design and methodology. The overall strength of the evidence was weak because it was largely based on observational studies and with a substantial component of non-peer-reviewed grey literature. There was little evidence to suggest that symptom checkers are unsafe, but studies evaluating their safety were generally short term and small scale. Diagnostic accuracy was highly variable between different systems but was generally low. Algorithm-based triage tended to be more risk averse than that of health professionals. Inconsistent evidence was found on effects on service use. There was very limited evidence on patients' reactions to online triage advice. The studies showed that younger and more highly educated people are more likely to use these services. Study participants generally expressed high levels of satisfaction with digital and online triage services, albeit in uncontrolled studies._x000D_
&lt;b&gt;LIMITATIONS&lt;/b&gt;: Findings from symptom checker systems for specific conditions may not be applicable to more general systems and vice versa. Studies of symptom checkers as part of electronic consultation systems in general practice were also included, which is a slightly different setting from a general 'digital 111' service. Most studies were screened by one reviewer._x000D_
&lt;b&gt;CONCLUSIONS&lt;/b&gt;: Major uncertainties surround the probable impact of digital 111 services on most outcomes. It will be important to monitor and evaluate the services using all available data sources and by commissioning high-quality research._x000D_
&lt;b&gt;FUTURE WORK&lt;/b&gt;: Priorities for research include comparisons of different systems, rigorous economic evaluations and investigations of patient pathways._x000D_
&lt;b&gt;STUDY REGISTRATION&lt;/b&gt;: The study is registered as PROSPERO CRD42018093564._x000D_
&lt;b&gt;FUNDING&lt;/b&gt;: The National Institute for Health Research Health Services and Delivery Research programme.</t>
  </si>
  <si>
    <t>J588</t>
  </si>
  <si>
    <t>Insights for Care: The Healthcare Utilisation and Cost Impact of Managing Type 2 Diabetes-Associated Microvascular Complications</t>
  </si>
  <si>
    <t>Introduction: The increasing prevalence of type 2 diabetes (T2DM) in the UK imposes a significant burden on the National Health Service (NHS). Despite the availability of effective treatments, the loss of glycaemic control over time results in significant comorbidities, including nephropathy, neuropathy and retinopathy. The cost of treating these microvascular complications has not been well documented, and this study aimed to provide an accurate assessment of the healthcare resource utilisation (HCRU) associated with managing T2DM and its complications.
Methods: This retrospective cohort study utilised electronic medical records from patients with T2DM from the Heart of England Foundation Trust (HEFT), which captures data from patients using secondary care services. Patients were diagnosed with microvascular complications based on ICD-10 or OPCS codes. HCRU over a 2-year period was based on NHS Tariffs for healthcare services for inpatient, accident and emergency, and dialysis clinic usage.
Results: The study cohort comprised 26,629 patients with T2DM who used HEFT services during the study period, 22.6%, 20.8% and 3.1% of whom had comorbid nephropathy, retinopathy or neuropathy, respectively. While the prevalence of diabetes in the overall HEFT population was reported to be 7% in 2012, diabetes and its associated complications accounted for more than 30% of secondary care costs. Furthermore, while patients with diabetes represent only 17% of HEFT inpatients, they account for more than 20% of service usage. The economic burden of microvascular complications increased substantially with the severity of the condition, with the overall cost exceeding £70 million over the 2-year period.
Conclusion: This study of patients with T2DM in a typical secondary care provider in the UK showed that avoiding the progression of microvascular complications could provide substantial cost savings through targeted interventions that improve outcomes and lower resource use.</t>
  </si>
  <si>
    <t>J589</t>
  </si>
  <si>
    <t>Can We Develop Sustainable and Sharable Cost-Effectiveness Models for Value Assessment in the U.S. Health Care System?</t>
  </si>
  <si>
    <t>There is currently a movement to make economic models more transparent, with some arguing for completely open-source models. However, increasing model transparency raises several logistical challenges, including ownership and funding. This article outlines recent experience and approaches to some of the logistical hurdles that must be overcome in pursuit of more transparent economic models. The Institute for Clinical and Economic Review (ICER) has recently completed a pilot transparency initiative that made drafts of executable economic models available to involved drug manufacturers during the review process. By directly viewing and interacting with models' structures, inputs, key assumptions, and results, stakeholders were better equipped to provide valuable feedback as part of the health technology assessments. This experience, along with feedback received from the modeling collaborators and relevant manufacturers during this pilot, have helped determine ICER's approach to sharing economic models associated with ongoing and future evidence reviews. This process has been expanded to all assessments going forward, making it the standard approach to model transparency. DISCLOSURES: No outside funding supported the writing of this article. Both authors are employees of the Institute for Clinical and Economic Review (ICER), which is an an independent organization that evaluates the evidence on the value of health care interventions. ICER receives grant funding from the California Healthcare Foundation, Laura and John Arnold Foundation, and New England States Consortium Systems Organization. ICER's annual policy summit is supported by dues from Aetna, AHIP, Allergan, Alnylam, Anthem, AstraZeneca, Biogen, Blue Shield of California, Cambia Health Services, CVS Caremark, Editas, Express Scripts, Genentech, GlaxoSmithKline, Harvard Pilgrim Health Care, Health Care Service Corporation, Health Partners, Johnson &amp; Johnson, Kaiser Permanente, LEO, Mallinckrodt, Merck, National Pharmaceutical Council, Novartis, Premera, Prime Therapeutics, Regeneron, Sanofi, Spark Therapeutics, and United Healthcare.</t>
  </si>
  <si>
    <t>J590</t>
  </si>
  <si>
    <t>Lost cost savings to the NHS in England due to the delayed entry of multiple generic low-dose transdermal buprenorphine: A case scenario analysis</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</si>
  <si>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 2019 Author(s).</t>
  </si>
  <si>
    <t>J591</t>
  </si>
  <si>
    <t>Healthcare in a carbon-constrained world</t>
  </si>
  <si>
    <t>Objective The climate crisis necessitates urgent decarbonisation. The health sector must address its large carbon footprint. In the present study, we sought healthcare thought leaders' views about a future environmentally sustainable health system. Methods The present study was a qualitative exploratory study consisting of semistructured, in-depth interviews with 15 healthcare thought leaders from Australia, the UK, the US and New Zealand. Audio recordings of the interviews were transcribed and analysed by matrix display and thematic analysis. Results Overall, healthcare thought leaders believe that to reduce the carbon footprint of healthcare we need to look beyond traditional 'green' initiatives towards a more fundamental and longer-term redesign. Five main themes and one 'key enabler' (information communication technology) were identified. In this paper we draw on other relevant findings, but chiefly focus on the fifth theme about reshaping the role of healthcare within society and using the size and influence of the health sector to leverage wider health, environmental and societal benefits. Conclusions These ideas represent potentially low-carbon models of care. The next step would be to pilot and measure the outcomes (health, environmental, financial) of these models. What is known about the topic? The health sector needs to reduce its large carbon footprint. Traditional 'green' initiatives, such as recycling and improving energy efficiency, are insufficient to achieve the scale of decarbonisation required. What does this paper add? Healthcare thought leaders surveyed in the present study suggested that we also consider other, non-traditional ways to achieve environmental sustainability. In this paper we discuss their ideas about adopting an anticipatory approach to healthcare using predictive analytics, and using the size and influence of the health sector to effect wider health and environmental benefits. What are the implications for practitioners? Achieving an environmentally sustainable healthcare system is likely to require broad and fundamental (i.e. transformational) change to the current service model. Health practitioners throughout the sector must be closely engaged in this process.</t>
  </si>
  <si>
    <t>J592</t>
  </si>
  <si>
    <t>Innovation as a value in healthcare priority-setting: the UK experience</t>
  </si>
  <si>
    <t>All healthcare systems operate with limited resources and therefore need to set priorities for allocating resources across a population. Trade-offs between maximising health and promoting health equity are inevitable in this process. In this paper, we use the UK's National Institute for Health and Care Excellence (NICE) as an example to examine how efforts to promote healthcare innovation in the priority-setting process can complicate these trade-offs. Drawing on NICE guidance, health technology assessment reports and relevant policy documents, we analyse under what conditions NICE recommends the National Health Service fund technologies of an innovative nature", even when these technologies do not satisfy NICE's cost-effectiveness criteria. Our findings fail to assuage pre-existing concerns that NICE's approach to appraising innovative technologies curtails its goals to promote health and health equity. They also reveal a lack of transparency and accountability regarding NICE's treatment of innovative technologies, as well as raising additional concerns about equity. We conclude that further research needs to evaluate how NICE can promote health and health equity alongside healthcare innovation and draw some general lessons for healthcare priority-setting bodies like NICE."</t>
  </si>
  <si>
    <t>J593</t>
  </si>
  <si>
    <t>Gallstone pancreatitis: Implication of an education programme</t>
  </si>
  <si>
    <t>Background: Current British guidelines state that all patients with pancreatitis should undergo definitive management of gall stones on their index admission, unless a clear plan for definitive management within the next two weeks has been made. Aim(s): Our primary aim is to assess compliance with current British Society of Gastroenterology guidelines. Our secondary aim is to assess current practice for choledocholithiasis management. Method(s): A retrospective observation study in a single district general hospital was conducted over a six month period admitted with gallstone pancreatitis. A database was created looking at investigations, definitive management and outcome. Result(s): A total of 60 patient were included, 25 men and 35 women. 7 patients (12%) had a cholecystectomy during their index admission. 2 patients (3%) had a cholecystectomy within two weeks of discharge. Mortality was 3%. Following this project a teaching programme has been introduced amongst the junior, radiology and endoscopy staff and several study education sessions have been started. A hospital BSG steering group to target education and resource allocation has been started and the project is currently under re-audit. Conclusion(s): Gall stone pancreatitis is becoming more common and should be preferably managed on the index admission. Our centre is currently under improvement in order to comply with guidelines.</t>
  </si>
  <si>
    <t>J594</t>
  </si>
  <si>
    <t>Cost-effectiveness of ventricular tachycardia catheter ablation: Limitations in the current trial evidence base</t>
  </si>
  <si>
    <t>Introduction Comparative effectiveness research has emerged as a main area of focus in order to highlight and develop more cost-effective evidence based treatments. Within cardiovascular medicine, randomised clinical trials (RCTs) have suffered from criticisms including a lack of generalisability as well as a lack of analysis of the cost-effectiveness of the different interventions being studied. Such analyses are used by organisations including the National institute for Health and Care excellence (NICE) to inform system-level decisions regarding which treatments the NHS should fund. In cardiology, treatments often involve expensive technologies, with the potential for a growing chasm to exist between what is the latest and greatest innovation and what can be afforded on the frontline. Aim To evaluate the cost-effectiveness of ventricular tachycardia (VT) catheter ablation versus anti-arrhythmic drug (AAD) therapy in ischemic heart disease. Methods A decision-analytic Markov model was used to calculate the costs and health outcomes of catheter ablation or AAD treatment of VT for a hypothetical cohort of patients with ischaemic cardiomyopathy and an implantable cardioverter defibrillator (ICD). Model inputs where informed using RCT-level evidence [table 1] wherever possible and health states were selected according to evidence of pragmatically measurable differences between each state [figure 1]. Health states that did not have any patientreported HRQL data supporting the calculation of a QALY value were excluded. Costs were calculated from a UK perspective. Results Catheter ablation versus AAD therapy had an incremental cost-effectiveness ratio (ICER) of 144,150 (161,448) per quality adjusted life year (QALY) gained, over a five-year time horizon [table 2]. The ICER for a tenyear time horizon was 75,074 (84,083) and 69,986 (e78,384) over the cohort's lifetime. Using probabilistic sensitivity analyses to account for model parameter uncertainty, the likelihood of catheter ablation being cost-effective was only 11%, assuming a willingness to pay threshold of 30,000 used by the NICE [figure 2]. One-way sensitivity analyses suggested that cost-effectiveness inferences were robust to a wide range of departures from base-case assumptions, including changes in baseline mortality, procedural mortality and readmission rate. Conclusion Catheter ablation of VT is unlikely to be costeffective compared with AAD therapy alone in patients with ischaemic cardiomyopathy implanted with an ICD based on pooled trial evidence. However, better designed studies incorporating detailed and more frequent quality of life assessment are needed to advise health policy in this field and to provide more informed cost-effectiveness analyses. (Figure Presented) .</t>
  </si>
  <si>
    <t>J595</t>
  </si>
  <si>
    <t>Peer support for people with schizophrenia or other serious mental illness</t>
  </si>
  <si>
    <t>- Background Peer support provides the opportunity for peers with experiential knowledge of a mental illness to give emotional, appraisal and informational assistance to current service users, and is becoming an important recovery‐oriented approach in healthcare for people with mental illness. Objectives To assess the effects of peer‐support interventions for people with schizophrenia or other serious mental disorders, compared to standard care or other supportive or psychosocial interventions not from peers. Search methods We searched the Cochrane Schizophrenia Group's Study‐Based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low‐quality evidence) or all‐cause death in the long term (RR 1.52, 95% CI 0.43 to 5.31; participants = 555; studies = 1, very low‐quality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high‐quality evidence from relevant randomised clinical trials (studies where people are randomly put into one of two or more treatment groups) so we could assess the effects of peer‐support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clinician‐led support (where a health professional provided support). However, there were no useable data for this comparison reported for the main outcomes. Conclusions We have little confidence in the above findings. Currently, there is no high‐quality evidence available to either support or refute the effectiveness of peer‐support interventions for people with schizophrenia or other serious mental illnesses.</t>
  </si>
  <si>
    <t>J596</t>
  </si>
  <si>
    <t>Effectiveness and safety of a herbal medication, HH368, for clinical symptoms of idiopathic Parkinson's disease: A randomized controlled, pilot trial protocol</t>
  </si>
  <si>
    <t>Objective: This study aims to assess feasibility of a herbal medication, HH368 for idiopathic Parkinson's disease (PD) patients who are in Hoehn &amp; Yahr stage 2 to 3 grades and have been taking levodopa agents for more than 5 years. Background(s): PD is a chronic neurodegenerative disease which requires long-term management strategy. Dopaminergic agents have been shown prominent clinical improvement but dyskinesia, wearing-off phenomena, psychosis are well-known symptoms related to long-term usage of these agents [1]. As alternative and complementary treatment options, various herbal medications have been used in East-Asian society, but clinical evidence was not established well [2]. Method(s): Forty participants will be assigned into one of two groups, herbal medicine and acupuncture treatment group or single acupuncture treatment group. In the treatment group, 4 g of HH368 (Eoggansangahubagjisil 4g) will be administered twice a day (8 g) for a total of 42 days, and acupuncture and physician consultation will be offered twice a week. In the control group, acupuncture treatment and physician consultation will be offered twice a week without herbal medication. All the study participants need to continue their dopaminergic medication during the participation. Movement disorder society-unified Parkinson's disease rating scale (MDS-UPDRS), Berg balance test, Schwab &amp; England ADL score, Parkinson's Disease Questionnaire (PDQ-39), doses of levodopa agent consumption, EuroQol(EQ-5D)-5D-5L and safety will be assessed up to 12 weeks of participation period [3-10]. Along with this clinical trial, cost-effectiveness analysis will be conducted for evaluating economic impact of this herbal medication. Result(s): The study protocol of this study was approved by institutional review board (IRB) of Kyunghee University Korean Medicine Hospital (IRB approval number: KOMCIRB-17-717-HR-021) and by Ministry of Food and Drug Safety of Republic of Korea (Approval number: 31858). The study protocol was registered at Clinical Research Information Service (registration number: KCT0003444). Currently study participants are recruited, and clinical trial is ongoing in Kyunghee University Korean Medicine Hospital. Conclusion(s): This study results will present basic data for assessing feasibility and designing future confirmative clinical trial.</t>
  </si>
  <si>
    <t>J597</t>
  </si>
  <si>
    <t>Larviciding to prevent malaria transmission</t>
  </si>
  <si>
    <t>- Background Larviciding refers to the regular application of chemical or microbial insecticides to water bodies or water containers to kill the aquatic immature forms of the mosquito (the larvae and pupae). Objectives To summarize research evidence evaluating whether larviciding with chemical or microbial insecticides prevents malaria transmission. Search methods We searched the Cochrane Infectious Diseases Group Specialized Register; the Cochrane Central Register of Controlled Trials (CENTRAL), published in the Cochrane Library; MEDLINE; Embase; CAB Abstracts; LILACS; the World Health Organization International Clinical Trials Registry Platform (WHO ICTRP); ClinicalTrials.gov; and the ISRCTN registry up to 6 June 2019. Selection criteria We included cluster‐randomized controlled trials (cRCTs), interrupted time series (ITS), randomized cross‐over studies, non‐randomized cross‐over studies, and controlled before‐and‐after studies (CBAs) that compared larviciding with no larviciding. Data collection and analysis We independently assessed trials for eligibility and risk of bias, and extracted data. We assessed the certainty of evidence using the GRADE approach. Main results Four studies (one cRCT, two CBAs, and one non‐randomized cross‐over design) met the inclusion criteria. All used ground application of larvicides (people hand‐delivering larvicides); one evaluated chemical and three evaluated microbial agents. Studies were carried out in The Gambia, Tanzania, Kenya, and Sri Lanka. Three studies were conducted in areas where mosquito aquatic habitats were less extensive (&lt; 1 km²), and one where habitats were more extensive (&gt; 1 km²; a cross‐over study from The Gambia). For aquatic habitats of less than 1 km², one cRCT randomized eight villages in Sri Lanka to evaluate chemical larviciding using insect growth regulator; and two CBA studies undertaken in Kenya and Tanzania evaluated microbial larvicides. In the cRCT, larviciding across all villages was associated with lower malaria incidence (rate ratio 0.24, 4649 participants, low‐certainty evidence) and parasite prevalence (risk ratio (RR) 0.26, 5897 participants, low‐certainty evidence) compared to no larviciding. The two CBA studies reported lower malaria prevalence during the intervention period (parasite prevalence RR 0.79, 95% confidence interval (CI) 0.71 to 0.89; 70,902 participants; low‐certainty evidence). The Kenyan study also reported a reduction in the incidence of new malaria cases (RR 0.62, 95% CI 0.38 to 1.01; 720 participants; very low‐certainty evidence). For aquatic habitats of more than 1 km², the non‐randomized cross‐over trial using microbial larvicides did not detect an effect for malaria incidence (RR 1.58, 95% CI 0.94 to 2.65; 4226 participants), or parasite prevalence (RR 1.15, 95% CI 0.41 to 3.20; 3547 participants); both were very low‐certainty evidence. The Gambia trial also reported the mean haemoglobin level, and there was no difference across the four comparisons (mean difference –0.13, 95% CI –0.40 to 0.13; 3586 participants). We were unable to summarize or pool entomological outcomes due to unreported and missing data. Authors' conclusions Most controlled studies on larviciding have been performed with microbial agents. Ground larviciding for non‐extensive larval habitats may have an effect on malaria transmission, and we do not know if there is an effect in large‐scale aquatic habitats. We found no studies using larviciding application techniques that could cover large aquatic habitats, such as aerial spraying using aircraft. 16 September 2019 Up to date All studies incorporated from most recent search All published trials found in the last search (6 Jun, 2019) were included, and we did not identify any ongoing trials. Plain language summary Larviciding to control malaria What was the aim of this review? Larviciding is the regular application of microbial or chemical insecticides to water bodies or water containers. The aim of larviciding is to reduce the adult population of osquitoes by killing the aquatic immature forms, so that fewer will develop into adults. This should reduce the number of mosquitoes that bite and infect humans with malaria. Key messages All four studies included in this review distributed larvicides manually. Hand larviciding of small mosquito habitats may be effective in preventing malaria. Only one study was conducted in an area where larval habitats spanned a large area and this study found no effect of larviciding. What was studied in the review? We searched for trials that evaluated the impact of larviciding, using a microbial agent or chemical insecticide on malaria transmission. We considered effects on both human health outcomes and on mosquito populations. What were the main results of the review? Evidence from three studies shows that larviciding may decrease at least one malaria disease outcome in some studies, and this was in areas where the mosquito aquatic habitats were less than 1 km 2 (low‐certainty evidence). We do not know if larviciding in large water bodies shows an impact on malaria based on results from one study in The Gambia (very low‐certainty evidence). How up to date is the review? We searched for relevant trials up to 6 June 2019.</t>
  </si>
  <si>
    <t>J598</t>
  </si>
  <si>
    <t>A modelling study of the budget impact of improved glycaemic control in adults with Type 1 diabetes in the UK</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</si>
  <si>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 2019 Diabetes UK</t>
  </si>
  <si>
    <t>J599</t>
  </si>
  <si>
    <t>Interventions for hand eczema</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</si>
  <si>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 and investigator‐rated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follow‐up period. Clinical heterogeneity in treatments and outcome measures was evident. Few studies performed head‐to‐head comparisons of different interventions. Risk of bias varied considerably, with only five studies at low risk in all domains. Twenty‐two studies were industry‐funded.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participant‐rated control of symptoms compared to vehicle (risk ratio (RR) 2.32, 95% confidence interval (CI) 1.38 to 3.91; number needed to treat for an additional beneficial outcome (NNTB) 3, 95% CI 2 to 8; 1 study, 125 participants); the effect of clobetasol compared to vehicle for investigator‐rated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investigator‐rated symptom control compared to twice weekly (RR 1.23, 95% CI 0.94 to 1.61; 1 study, 72 participants) after remission is reached. Participant‐rated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investigator‐rated symptom control when compared to local narrow‐band UVB after 12 weeks of treatment (RR 0.50, 95% CI 0.22 to 1.16; 1 study, 60 participants). However, the 95% CI indicates that PUVA might make little or no difference. Participant‐rated symptoms were not measured. Adverse events (mainly erythema) were reported by 9/30 participants in the narrow‐band UVB group versus none in the PUVA group. This evidence was rated as moderate certainty. Topical calcineurin inhibitors: tacrolimus 0.1% over two weeks probably improves investigator‐rated symptom control measured after three weeks compared to vehicle (14/14 tacrolimus versus 0/14 vehicle; 1 study). Participant‐rated symptoms were not measured. Four of 14 people in the tacroli us group versus zero in the vehicle group had well‐tolerated application site burning/itching. A within‐participant study in 16 participants compared 0.1% tacrolimus to 0.1% mometasone furoate but did not measure investigator‐ or participant‐rated symptoms. Both treatments were well tolerated when assessed at two weeks during four weeks of treatment. Evidence from these studies was rated as moderate certainty. Oral interventions: oral cyclosporin 3 mg/kg/d probably slightly improves investigator‐rated (RR 1.88, 95% CI 0.88 to 3.99; 1 study, 34 participants) or participant‐rated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moderate‐certainty evidence), but the risk of headache increased with alitretinoin 30 mg (RR 3.43, 95% CI 2.45 to 4.81; 2 studies, n = 1210; high‐certainty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Well‐designed and well‐reported, long‐term (more than three months), head‐to‐head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participant‐rated good/excellent control of hand eczema when compared to vehicle (516 versus 222 per 1000), but the difference between groups was less clear for investigator‐rated control, and more adverse events were reported with clobetasol propionate (178 versus 79 per 1000) (all based on moderate‐certainty evidence). Mometasone furoate cream used thrice weekly may slightly improve investigator‐rated good/excellent control compared to twice weekly treatment, and participant‐rated control was not measured. Mild skin thinning occurred in both groups, but cases were few (all based on low‐certainty evidence). Irradiation with UV light: various types of irradiation (i.e. exposure to radiation) were compared. Local PUVA may improve investigator‐rated good/excellent control compared to narrow‐band UVB (400 versus 200 per 1000); however, we are uncertain of this finding because results also show that local PUVA may make little or no difference. Participant‐rated symptoms were not measured. Nine out of 30 participants in the narrow‐band UVB group reported adverse events (mainly redness) compared to none in the PUVA group (all based on moderate‐certainty evidence). Topical calcineurin inhibitors: people receiving tacrolimus are probably more likely to achieve improved investigator‐rated good/excellent symptom control compared to those given vehicle (14/14 participants with tacrolimus compared to none with vehicle), but participant‐rated control of symptoms was not measured. Four of 14 people in the tacrolimus group versus zero in the vehicle group had well‐tolerated application site burning/itching. One small study compared tacrolimus to mometasone furoate, which were both well tolerated, but did not measure investigator‐ or participant‐rated control (all based on moderate‐certainty evidence). Oral interventions: oral immunosuppressant (a drug that hinders the immune response) cyclosporin probably slightly improves investigator‐ or participant‐rated control of good/excellent symptoms compared to topical betamethasone cream (a corticosteroid). The risk of adverse events such as dizziness was similar between groups (all based on moderate‐certainty evidence). The oral vitamin A derivative (retinoid) alitretinoin (10 mg) achieved investigator‐rated good/excellent symptom control in 307 compared to 194 participants per 1000 with placebo, and alitretinoin 30 mg achieved investigator‐rated control in 432 compared to 157 participants per 1000 with placebo. Similar results were shown for participant‐rated control (high‐certainty evidence). When the dosage of alitretinoin was increased to 30 mg, risk of headache was higher compared to placebo (74 versus 251 per 1000; high‐certainty evidence), but this probably does not differ between alitretinoin 10 mg and placebo (based on moderate‐certainty evidence). Quality of the evidence The quality of evidence was mainly moderate, with most analyses based on single studies that had small sample sizes; therefore, some results should be interpreted with care.</t>
  </si>
  <si>
    <t>J2830</t>
  </si>
  <si>
    <t>P-284 Exploratory magnetic resonance imaging histogram biomarkers for response prediction to neoadjuvant treatment in oesophageal/gastro-oesophageal cancer</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</si>
  <si>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 2021 European Society for Medical Oncology</t>
  </si>
  <si>
    <t>J2831</t>
  </si>
  <si>
    <t>Vitamin C supplementation for prevention and treatment of pneumonia</t>
  </si>
  <si>
    <t>- Background According to the Global Burden of Disease Study 2015, lower respiratory tract infection is the leading cause of infectious disease death, and the fifth most common cause of death overall. Vitamin C has a role in modulating resistance to infectious agents, therefore vitamin C supplementation may be important in preventing and treating pneumonia. Objectives To assess the impact of vitamin C supplementation to prevent and treat pneumonia in children and adults. Search methods We searched CENTRAL, MEDLINE, Embase, PubMed, CINAHL, LILACS, Web of Science, and two trials registers to 4 March 2020. We also checked references to identify additional studies. We did not apply any publication status or language filters. Selection criteria We included randomised controlled trials (RCTs) and quasi‐RCTs (studies using allocation methods that are not random, e.g. date of birth, medical record number) assessing the role of vitamin C supplementation in the prevention and treatment of pneumonia in children and adults compared to control or placebo. Data collection and analysis We used standard methodological procedures expected by Cochrane. Main results We included five studies in the review and identified two ongoing studies. The five included studies involved a total of 2655 participants; two studies were RCTs and three were quasi‐RCTs. The included studies were conducted in one high‐income country (USA) and three lower‐middle‐income countries (Bangladesh and Pakistan). Three studies were conducted in hospital inpatient settings, one in school, and one in a military training centre. Three studies included children under five years of age, one study included school‐aged children, and one study included adult participants. Two studies assessed the effect of vitamin C supplementation for pneumonia prevention; and three studies assessed the effect of vitamin C supplementation as an adjunct to pneumonia treatment. For pneumonia prevention, the included studies provided supplementation in doses of 1 g daily for 14 weeks, 2 g daily for 8 weeks, and 2 g daily for 14 weeks. For pneumonia treatment, the included studies provided vitamin C supplementation in doses of 125 mg daily and 200 mg daily until the symptoms resolved or discharge, as an adjunct to the pneumonia treatment. Overall, the included studies were judged to be at either high or unclear risk of bias for random sequence generation, allocation concealment, and blinding; and the evidence certainty was very low. Two studies assessed the effect of vitamin C supplementation for pneumonia prevention; we judged the certainty of the evidence as very low. We are uncertain about the effect of vitamin C supplementation on pneumonia incidence and adverse events (urticaria). None of the included studies reported other primary outcomes (pneumonia prevalence and mortality) or any of the secondary outcomes. Three studies assessed the effect of vitamin C supplementation as an adjunct to pneumonia treatment; we judged the certainty of the evidence as very low. We are uncertain of the effect of vitamin C supplementation on duration of illness and hospitalisation. None of the included studies reported other primary or secondary outcomes. Authors' conclusions Due to the small number of included studies and very low certainty of the existing evidence, we are uncertain of the effect of vitamin C supplementation for the prevention and treatment of pneumonia. Further good‐quality studies are required to assess the role of vitamin C supplementation in the prevention and treatment of pneumonia. Plain language summary Vitamin C supplementation for prevention and treatment of pneumonia Review question What is the role of vitamin C supplementation in the prevention and treatment of pneumonia in adults and children compared to no supplementation? Background Pneumonia is a chest infection caused by virus, bacteria, and fungi. Vitamin C has a role in the immune system, therefore supplementation could be important in preventing and treating pneumonia amongst children and adul s. We assessed the role of vitamin C for the prevention and treatment of pneumonia. Search date We searched for evidence up to 4 March 2020. Study characteristics We included five studies and two ongoing studies. The five included studies involved a total of 2655 participants and were conducted in one high‐income country (USA) and two lower‐middle‐income countries (Bangladesh and Pakistan). Three studies were conducted in hospital settings, one in schools, and one at a military training centre. Three studies included children under five years of age, one school‐aged children, and one adult participants. Two studies assessed the effect of vitamin C supplementation for pneumonia prevention; and three studies assessed the effect of vitamin C supplementation in pneumonia treatment. The doses of vitamin C supplementation used were 125 mg, 200 mg, 1 g and 2 g. Study funding sources Two studies were funded by pharmaceutical companies. Three studies did not report funding sources. Key results We assessed the rate of pneumonia (incidence), how common pneumonia is (prevalence), numbers of deaths from pneumonia (mortality), and unintended and harmful outcomes (adverse effects) associated with vitamin C for preventing pneumonia. Only one study (674 participants) reported incidence, and one study reported one adverse effect (hives) associated with vitamin C for preventing pneumonia. No study reported on prevalence or mortality. Evidence was insufficient to determine the effect of vitamin C for preventing pneumonia. We also assessed how long people were ill (duration of illness), how many people were cured, mortality, and adverse effects associated with the use of vitamin C as a treatment for pneumonia. Only one study reported duration of illness. No studies reported cure rates or adverse effects. Evidence was insufficient to determine the effect of vitamin C for treating pneumonia. Certainty of the evidence We judged the included studies to be at overall high or unclear risk of bias. The evidence certainty was very low due to study limitations, variations amongst the studies, small sample sizes and uncertainty of estimates.</t>
  </si>
  <si>
    <t>J2832</t>
  </si>
  <si>
    <t>Implementation of podiatry telephone appointments for people with rheumatic and musculoskeletal diseases</t>
  </si>
  <si>
    <t>BACKGROUND: Foot health problems are common in the general population, and particularly so in people with rheumatic and musculoskeletal disorders (RMD). Several clinical guidelines state that people with RMDs should have access to foot health services, although service capacity is often limited. The current COVID-19 pandemic has increased the need for alternative ways to provide patient care. The aim of this clinical audit was to review a newly implemented telephone follow-up appointment service conducted within the Rheumatology Podiatry Department in Leeds, UK. METHOD(S): Fifty-eight patients attending the Rheumatology Podiatry Department at Leeds Teaching Hospitals NHS Trust were contacted by telephone approximately 6-8 weeks following initial intervention. During the telephone consultation, all patients were asked pre-defined questions relating to their symptoms, intervention efficacy, the need for further appointments and their preference for the type of consultation. To assess the cost of the telephone consultation the number of attempts needed in order to make successful contact, the duration of the call and the number of telephone follow-up appointments completed in a working day were also recorded. RESULT(S): Twenty-five patients (43%) were successfully contacted within the 6-8 weeks stipulated time frame and were included in the analysis. Of the 25 contacted, twelve (48%) patients were successfully contacted on the first attempt. Ten (40%) were successfully contacted on the second attempt. The remaining three patients (12%) required 3 or more attempts to make successful contact. Telephone consultations were estimated not to last longer than 10 min, including notes screening and documentation. Eleven patients (44%) reported an improvement in their symptoms, thirteen (52%) reported no change and one patient (4%) reported their symptoms to be worse. CONCLUSION(S): Telephone follow-up consultations may be a potentially cost-effective alternative to face-to-face appointments when implemented in a Rheumatology Podiatry Department, and provide an alternative way of providing care, especially when capacity for face-to-face contact is limited. The potential cost saving and efficiency benefits of this service are likely to be enhanced when telephone consultations are pre-arranged with patients.</t>
  </si>
  <si>
    <t>J2833</t>
  </si>
  <si>
    <t>Mobile phone‐based interventions for improving adherence to medication prescribed for the primary prevention of cardiovascular disease in adults</t>
  </si>
  <si>
    <t>- Background Cardiovascular disease (CVD) is a major cause of disability and mortality globally. Premature fatal and non‐fatal CVD is considered to be largely preventable through the control of risk factors by lifestyle modifications and preventive medication. Lipid‐lowering and antihypertensive drug therapies for primary prevention are cost‐effective in reducing CVD morbidity and mortality among high‐risk people and are recommended by international guidelines. However, adherence to medication prescribed for the prevention of CVD can be poor. Approximately 9% of CVD cases in the EU are attributed to poor adherence to vascular medications. Low‐cost,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one‐year follow‐up in order that the outcome measures related to longer‐term, sustained medication adherence behaviours and outcomes. Eligible comparators were usual care or control groups receiving no mobile phone‐delivered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community‐based primary and tertiary care or outpatient clinics. The interventions varied widely from those delivered solely through short messaging service (SMS) to those involving a combination of modes of delivery, such as SMS in addition to healthcare worker training, face‐to‐face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meta‐analyses. The body of evidence for the effect of mobile phone‐based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low‐density lipoprotein cholesterol (LDL‐C), two studies found evidence for a small beneficial intervention effect on reducing LDL‐C (−5.30 mg/dL, 95% confidence interval (CI) −8.30 to −2.30; and −9.20 mg/dL, 95% CI −17.70 to −0.70). The other three studies found results varying from a small reduction (−7.7 mg/dL) to a small increase in LDL‐C (0.77 mg/dL). All of which had wide confidence intervals that included no effect. Across 13 studies (25,166 participants) measuring systolic blood pressure, effect estimates ranged from a large reduction (MD −12.45 mmHg, 95% CI −15.02 to −9.88) to a small increase (MD 2.80 mmHg, 95% CI 0.30 to 5.30). We found a similar range of effect estimates for diastolic BP, ranging from −12.23 mmHg (95% CI −14.03 to −10.43) to 1.64 mmHg (95% CI −0.55 to 3.83) (11 trials, 19,716 participants). Four trials showed intervention benefits for systolic and diastolic BP with confidence intervals excluding no effect, and among these were all three of the trials evaluating self‐monitoring of blood pressure with mobile phone‐based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−1.55 mmHg, 95% CI −3.36 to 0.25; I 2 = 0%) and small increases in controlled BP (OR 1.32, 95% CI 1.06 to 1.65; I 2 = 0%). Based on four studies (12,439 participants), there was very low‐certainty evidence (downgraded twice for imprecision and once for risk of bias) relating to the intervention effect on combined (fatal and non‐fatal) CVD events. Two studies (2535 participants) provided low‐certainty evidence for the effect of the intervention on cognitive outcomes, with little or no difference between trial arms for perceived quality of care and satisfaction with treatment. There was moderate‐certainty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intervention‐related adverse events. One study stated that potential side effects were similar between groups. One study reported a similar number of deaths in each arm, but did not provide further information relating to potential adverse events. Authors' conclusions There is low‐certainty evidence on the effects of mobile phone‐delivered interventions to increase adherence to medication prescribed for the primary prevention of CVD. Trials of BP self‐monitoring with mobile‐phone telemedicine support reported modest benefits. One trial at low risk of bias reported modest reductions in LDL cholesterol but no benefits for BP. There is moderate‐certainty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</si>
  <si>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J2834</t>
  </si>
  <si>
    <t>Mobile applications in clinical and perioperative care for anesthesia: Narrative review</t>
  </si>
  <si>
    <t>Background: The increasing use of smartphones by providers and patients alike demonstrates that digital health utilizing mobile applications has the potential to transform perioperative care and education in anesthesia.
Objective: This literature review describes the current scope of the use of mobile applications in anesthesiology.
Methods: Literature was searched using PubMed, Scopus, and clinicaltrials.gov for articles published from January 1, 2010, through April 1, 2020. Only English language studies were included. Articles were included if they examined the use of a mobile health application in the setting of anesthesia or the perioperative (immediate preoperative, intraoperative, and postoperative) period. Studies were excluded if they explored video interventions or did not examine the feasibility or efficacy of the mobile app.
Results: We included 29 articles, and three areas of clinical functionality were identified: patient-centered care (preoperative, intraoperative, and postoperative), systems-based improvement, and medical education. Several studies demonstrate the feasibility and reliability of mobile apps in these areas, but many are only tested for efficacy in simulated environments or with small patient samples.
Conclusions: Mobile health applications show promise in improving communication between anesthesiologists, improving workflow efficiency, enhancing medical education, and reducing hospital costs. However, there is a need for validation and improvement before full implementation by the provider, patients, and hospital systems. Future studies are needed to demonstrate meaningful health outcomes to create guidelines and recommendations specific to the application of mobile technology to health care.</t>
  </si>
  <si>
    <t>J2835</t>
  </si>
  <si>
    <t>Anticholinergics combined with alpha‐blockers for treating lower urinary tract symptoms related to benign prostatic obstruction</t>
  </si>
  <si>
    <t>- Background Lower urinary tract symptoms (LUTS) due to benign prostatic obstruction (BPO) represent one of the most common clinical complaints in men. Alpha‐blockers are widely used as first‐line therapy for men with LUTS secondary to BPO, but up to one third of men report no improvement in their LUTS after taking alpha‐blockers. Anticholinergics used in addition to alpha‐blockers may help improve symptoms but it is uncertain how effective they are. Objectives To assess the effects of combination therapy with anticholinergics and alpha‐blockers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alpha‐blockers monotherapy, and combination therapy versus anticholinergics monotherapy. Data collection and analysis Two review authors independently screened the literature, extracted data, and assessed risk of bias. We performed statistical analyses using a random‐effects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single‐center setting, while 11 used a multi‐center setting. We only found short‐term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–2.73, 95% confidence interval (CI) –5.55 to 0.08; low‐certainty evidence). We are very uncertain about the effect of combination therapy on quality of life (QoL) (MD –0.97, 95% CI –2.11 to 0.16; very low‐certainty evidence). Combination therapy likely increases adverse events (risk ratio (RR) 1.24, 95% CI 1.04 to 1.47; moderate‐certainty evidence); based on 252 adverse events per 1000 participants in the placebo group, this corresponds to 61 more adverse events (95% CI 10 more to 119 more) per 1000 participants treated with combination therapy. Combination therapy versus alpha‐blockers alone: based on 22 studies with 4904 randomized participants, we are very uncertain about the effect of combination therapy on urologic symptom scores (MD –2.04, 95% CI –3.56 to –0.52; very low‐certainty evidence) and QoL (MD –0.71, 95% CI –1.03 to –0.38; very low‐certainty evidence). Combination therapy may result in little or no difference in adverse events rate (RR 1.10, 95% CI 0.90 to 1.34; low‐certainty evidence); based on 228 adverse events per 1000 participants in the alpha‐blocker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–3.71, 95% CI –9.41 to 1.98; very low‐certainty evidence). Combination therapy may result in an improvement in QoL (MD –1.49, 95% CI –1.88 to –1.11; lo ‐certainty evidence). Combination therapy likely results in little to no difference in adverse events (RR 1.26, 95% CI 0.81 to 1.95; moderate‐certainty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alpha‐blockers are associated with little or uncertain effects on urologic symptom scores compared to placebo, alpha‐blockers, or anticholinergics monotherapy. However, combination therapy may result in an improvement in quality of life compared to anticholinergics monotherapy, but an uncertain effect compared to placebo, or alpha‐blockers. Combination therapy likely increases adverse events compared to placebo, but not compared to alpha‐blockers or anticholinergics monotherapy. The findings of this review were limited by study limitations, inconsistency, and imprecision. We were unable to conduct any of the predefined subgroup analyses. Plain language summary Anticholinergics combined with alpha‐blockers for treating lower urinary tract symptoms related to benign prostatic obstruction Review question Is combination therapy with anticholinergics, a type of medicine that can relieve abnormal bladder contraction (where a man cannot control when he urinates), and alpha‐blockers,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alpha‐blockers have been used to relieve the urinary symptoms, up to one third of men get no benefit. Combination therapy with alpha‐blockers and anticholinergics provides a treatment option for men with urinary symptoms. Study characteristics The search is up‐to‐date to 7 August 2020. We identified 23 studies involving 6285 men. Five studies compared combination therapy with anticholinergics and alpha‐blockers versus placebo (a pill with no therapeutic effects). A total of 22 studies compared combination therapy with anticholinergics and alpha‐blockers versus alpha‐blockers alone. Three studies compared combination therapy with anticholinergics and alpha‐blockers versus anticholinergics alone. The follow‐up period in the studies ranged from 12 weeks to one year. Key results Combination therapy versus placebo: combination therapy with anticholinergics and alpha‐blockers was associated with little effect in urinary symptoms and uncertain improvement on quality of life, but combination therapy may increase unwanted side effects. Combination therapy versus alpha‐blockers: combination therapy with anticholinergics and alpha‐blockers may have uncertain effects on improvement of urinary symptoms and quality of life compared to alpha‐blockers alone. Combination therapy may not increase unwanted side effects. Combination therapy compared to anticholinergics: combination therapy with anticholinergics and alpha‐blockers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</si>
  <si>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J2836</t>
  </si>
  <si>
    <t>Initial Assessment Structure in a Specialist Outpatient Clinic for Acquired Brain Injury in Adults</t>
  </si>
  <si>
    <t>Consistent with the NHS quality agenda, Dept. of Health, 20111 there has been a drive to routinely incorporate outcome and performance measurement data in clinical practice. An absolute requirement within NHS services2 are Patient- Rated Outcome Measures (PROMS) which are used by some Royal College of Psychiatry faculties to quantify outcomes, improve accountability, performance management and service. They can also be used to screen for common health problems and ensure the comprehensive assessment of complex Acquired Brain Injury (ABI) Patients who typically present with various neurological and psychiatric comorbidities. The North Bristol NHS Trust Outpatient Clinic at The Frenchay Brain Injury Rehabilitation Centre and The Rosa Burden, Southmead Hospital, conducts new assessments and regular patient reviews for referrals from South West England. As part of a quality improvement initiative a semistructured process of assessment was trialled, to improve patient experience by providing a comprehensive initial assessment, improving treatment productivity and reducing over-running clinics. Method Referrals were audited and common reasons for referrals identified. Questionnaires and tools used in the clinic were reviewed and those most frequently used were compiled. The evidence for questionnaires utilized for different psychiatric comorbidities and applicability in ABI was examined in the literature. The finalized patient questionnaires booklet section and their sequence was decided based on expert peer recommendations and patient feedback. The collateral section was similarly developed with some questionnaires modified for operational reasons. SECTION ONE: SELF RATED PRE-ASSESSMENT QUESTIONNAIRE Rivermead Post Concussion Symptoms Questionnaire, Patient Health Questionnaire (15): Somatic Screen, Patient Health Questionnaire-9: Depression screen, General Anxiety Disorder 7: Anxiety screen, Mood Disorder Questionnaire: Bipolar Affective Disorder screen and the Civilian Version PTSD Checklist. SECTION TWO: CARER/FAMILY PRE-ASSESSMENT QUESTIONNAIRE Modified Overt Aggression Scale screen for aggression, Neuropsychiatry Inventory Questionnaire: assesses psychiatric symptoms in patients with neurological disorders Outcome The final booklet was divided into three sections: Patient-Rated, ObserverRated and Clinician Section. Consultation efficiency was improved with the Patient and Observer rated sections completed prior to the initial assessment. The checklist is used for all initial assessments with good uptake and allowed for standardization of clinical information gathering. PROMs for mood are collected at each clinic appointment with other domains repeated if abnormal at initial clinic assessment or clinically relevant.</t>
  </si>
  <si>
    <t>J2837</t>
  </si>
  <si>
    <t>Cost-effectiveness analysis of a model of first-trimester prediction and prevention of preterm pre-eclampsia compared with usual care</t>
  </si>
  <si>
    <t>OBJECTIVES: Pre-eclampsia (PE) causes substantial maternal and neonatal mortality and morbidity. In addition to the personal impact on women, children and their families, PE has a significant economic impact on our society. Recent research suggests that a first-trimester multivariate model is highly predictive of preterm (&lt; 37 weeks' gestation) PE and can be combined successfully with targeted prophylaxis (low-dose aspirin), resulting in an 80% reduction in prevalence of disease. The aim of this study was to examine the potential health outcomes and cost implications following introduction of first-trimester prediction and prevention of preterm PE within a public healthcare setting, compared with usual care, and to conduct a cost-effectiveness analysis to inform health-service decisions regarding implementation of such a program. METHOD(S): A decision-analytic model was used to compare usual care with the proposed first-trimester screening intervention within the obstetric population (n = 6822) attending two public hospitals within a metropolitan district health service in New South Wales, Australia, between January 2015 and December 2016. The model, applied from early pregnancy, included exposure to a variety of healthcare professionals and addressed type of risk assessment (usual care or first-trimester screening) and use of (compliance with) low-dose aspirin prescribed prophylactically for prevention of PE. All pathways culminated in six possible health outcomes, ranging from no PE to maternal death. Results were presented as the number of cases of PE gained/avoided and the incremental increase/decrease in economic costs arising from the intervention compared with usual care. Significant assumptions were tested in sensitivity/uncertainty analyses. RESULT(S): The intervention produced, across all gestational ages, 31 fewer cases of PE and reduced aggregate economic health-service costs by 1 431 186 Australian dollars over the 2-year period. None of the tested iterations of uncertainty analyses reported additional cases of PE or higher economic costs. The new intervention based on first-trimester screening dominated usual care. CONCLUSION(S): This cost-effectiveness analysis demonstrated a reduction in prevalence of preterm PE and substantial cost savings associated with a population-based program of first-trimester prediction and prevention of PE, and supports implementation of such a policy. © 2020 International Society of Ultrasound in Obstetrics and Gynecology.</t>
  </si>
  <si>
    <t>J2838</t>
  </si>
  <si>
    <t>There are ways ... drug companies will get into DTC decisions": How Australian drug and therapeutics committees address pharmaceutical industry influence"</t>
  </si>
  <si>
    <t>Aims: One tool for protecting quality use of medicines in hospitals is a drug and therapeutics committee (DTC) that oversees medicines availability. Pharmaceutical industry marketing to prescribers is associated with less appropriate prescribing and increased costs. There is little data on decision-making practices of DTCs so it is unknown whether or how they might be vulnerable to pharmaceutical industry influence. This project explores DTC decision-making with a focus on how pharmaceutical industry influence on access and use of medicines is identified and managed. Method(s): We used a qualitative methodology with individual interviews of 29 participants who were current or recent members of public hospital DTCs across New South Wales, Australia. Participants included medical, pharmacy and nursing staff and 1 citizen. Committees were linked to specific hospitals or regions, and some were affiliated with paediatric, neonatal, rural or mental health services. Result(s): Drug committee processes for oversight of medicines in public hospitals are vulnerable to pharmaceutical industry influence at several points. Applications for formulary additions are sometimes initiated and completed by company representatives. Conflict of interest disclosures among applicants and committee members may be incomplete. In some institutions, medicines are available from pharmaceutical companies without committee review, including through free samples and industry-supported medicines access programmes. Participants noticed the presence and impact of pharmaceutical company marketing activities to local clinicians, resulting in increased prescriber demand for products. Conclusion(s): Improved DTC practices and review of hospital policies concerning pharmaceutical marketing activities might preserve the independence of evidence-based decision-making for safe, cost-effective prescribing. Copyright © 2020 British Pharmacological Society</t>
  </si>
  <si>
    <t>J2839</t>
  </si>
  <si>
    <t>Design, development and implementation of the virtual, coordination, access, referral and escalation service in western New South Wales</t>
  </si>
  <si>
    <t>PROBLEM: People in rural and remote New South Wales experience avoidable admissions, limited access to skilled clinicians and commonly travel &gt;400 km to access specialist services within the district and &gt;700 km for tertiary services outside. DESIGN: Iterative use of New South Wales Health redesign methodology in the period 2015-2020. SETTING: Western New South Wales Local Health District is geographically the largest Health District within New South Wales and includes disadvantaged communities. Virtual Coordination Access Referral Escalation is an audio-visually enabled transport, patient flow and clinical advice unit established in 2006 to support patients and clinicians at 35 small, rural and remote hospitals. KEY MEASURES FOR IMPROVEMENT: Right care, right place and right time by the right team the first time. Care delivery close to home and 'on country'. Safe and cost-effective transport. Performance measures to support quality, safety and clinical outcomes. Improving the human experience. STRATEGIES FOR CHANGE: Cycles of strategic planning, innovation, productive partnerships, change management and human systems development. EFFECTS OF CHANGE: Virtual Coordination Access Referral Escalation critical care telehealth more effectively supports rural and remote health care across large distances. LESSONS LEARNT: Improvements include expanded/redefined management and nursing roles, integration of dedicated critical care emergency medicine specialists within the service, delegated authority to accept transfers, upgraded technology, 24-hour service provision and a central 'Virtual Support' proactive outreach model. Copyright © 2021 National Rural Health Alliance Ltd.</t>
  </si>
  <si>
    <t>J2840</t>
  </si>
  <si>
    <t>Parent-delivered interventions used at home to improve eating, drinking and swallowing in children with neurodisability: The feeds mixed-methods study</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</si>
  <si>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 Queen's Printer and Controller of HMSO 2021.</t>
  </si>
  <si>
    <t>J2841</t>
  </si>
  <si>
    <t>Withdrawal or continuation of cholinesterase inhibitors or memantine or both, in people with dementia</t>
  </si>
  <si>
    <t>- Background Dementia is a progressive syndrome characterised by deterioration in memory, thinking and behaviour, and by impaired ability to perform daily activities. Two classes of drug ‐ cholinesterase inhibitors (donepezil, galantamine and rivastigmine) and memantine ‐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carer‐related outcomes. Search methods We searched the Cochrane Dementia and Cognitive Improvement Group’s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full‐text articles for inclusion, extracted data from included trials and assessed risk of bias using the Cochrane risk of bias tool. Where trials were sufficiently similar, we pooled data for outcomes in the short term (up to 2 months after randomisation), medium term (3‐11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‐0.42, 95% confidence interval (CI) ‐0.64 to ‐0.21; 4 studies; low certainty), but the effect in the medium term is very uncertain (SMD ‐0.40, 95% CI ‐0.87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‐0.62; 95% CI ‐0.94 to ‐0.31). Data from one longer‐term study suggest that discontinuing a cholinesterase inhibitor is probably associated with worse cognitive function at 12 months (mean difference (MD) ‐2.09 Standardised Mini‐Mental State Examination (SMMSE) points, 95% CI ‐3.43 to ‐0.75; moderate certainty). Discontinuation may make little or no difference to functional status in the short term (SM ‐0.25, 95% CI ‐0.54 to 0.04; 2 studies; low certainty), and its effect in the medium term is uncertain (SMD ‐0.38, 95% CI ‐0.74 to ‐0.01; 2 studies; very low certainty). After 12 months, discontinuing a cholinesterase inhibitor probably results in greater functional impairment than continuing treatment (MD ‐3.38 Bristol Activities of Daily Living Scale (BADLS) points, 95% CI ‐6.67 to ‐0.10; one study; moderate certainty). Discontinuation may be associated with a worsening of neuropsychiatric symptoms over the short term and medium term, although we cannot exclude a minimal effect (SMD ‐ 0.48, 95% CI ‐0.82 to ‐0.13; 2 studies; low certainty; and SMD ‐0.27, 95% CI ‐0.47 to ‐0.08; 3 studies; low certainty, respectively). Data from one study suggest that discontinuing a cholinesterase inhibitor may result in little to no change in neuropsychiatric status at 12 months (MD ‐0.87 Neuropsychiatric Inventory (NPI) points; 95% CI ‐8.42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anti‐dementia drugs in patients with dementia Background Dementia is the term used to describe a group of illnesses, usually developing in late life, in which there is a deterioration in a person’s ability to think, remember, communicate and manage daily activities independently. It can be caused by several different brain diseases, but the most common form is dementia due to Alzheimer’s disease. At the moment, there are no medical treatments which can prevent dementia or stop it from progressing, but there are two classes of drugs – the cholinesterase inhibitors (donepezil, rivastigmine and galantamine) and memantine ‐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patient’s preferences, are also important.</t>
  </si>
  <si>
    <t>J2842</t>
  </si>
  <si>
    <t>A case management occupational health model to facilitate earlier return to work of NHS staff with common mental health disorders: A feasibility study</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</si>
  <si>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 Queen's Printer and Controller of HMSO 2021.</t>
  </si>
  <si>
    <t>J2843</t>
  </si>
  <si>
    <t>Organising Support for Carers of Stroke Survivors (OSCARSS): a cluster randomised controlled trial with economic evaluation</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</si>
  <si>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 Author(s) (or their employer(s)) 2020. Re-use permitted under CC BY-NC. No commercial re-use. See rights and permissions. Published by BMJ.</t>
  </si>
  <si>
    <t>J2844</t>
  </si>
  <si>
    <t>1-year cost-utility analysis of prostate artery embolization (PAE) versus transurethral resection of the prostate (TURP) in benign prostatic hyperplasia (BPH)</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</si>
  <si>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 Authors 2021</t>
  </si>
  <si>
    <t>J2845</t>
  </si>
  <si>
    <t>A risk-adjusted and anatomically stratified cohort comparison study of open surgery, endovascular techniques and medical management for juxtarenal aortic aneurysms - The UK COMPlex AneurySm Study (UK-COMPASS): A study protocol</t>
  </si>
  <si>
    <t>Introduction In one-third of all abdominal aortic aneurysms (AAAs), the aneurysm neck is short (juxtarenal) or shows other adverse anatomical features rendering operations more complex, hazardous and expensive. Surgical options include open surgical repair and endovascular aneurysm repair (EVAR) techniques including fenestrated EVAR, EVAR with adjuncts (chimneys/endoanchors) and off-label standard EVAR. The aim of the UK COMPlex AneurySm Study (UK-COMPASS) is to answer the research question identified by the National Institute for Health Research Health Technology Assessment (NIHR HTA) Programme: What is the clinical and cost-effectiveness of strategies for the management of juxtarenal AAA, including fenestrated endovascular repair?' Methods and analysis UK-COMPASS is a cohort study comparing clinical and cost-effectiveness of different strategies used to manage complex AAAs with stratification of physiological fitness and anatomical complexity, with statistical correction for baseline risk and indication biases. There are two data streams. First, a stream of routinely collected data from Hospital Episode Statistics and National Vascular Registry (NVR). Preoperative CT scans of all patients who underwent elective AAA repair in England between 1 November 2017 and 31 October 2019 are subjected to Corelab analysis to accurately identify and include every complex aneurysm treated. Second, a site-reported data stream regarding quality of life and treatment costs from prospectively recruited patients across England. Site recruitment also includes patients with complex aneurysms larger than 55 mm diameter in whom an operation is deferred (medical management). The primary outcome measure is perioperative all-cause mortality. Follow-up will be to a median of 5 years. Ethics and dissemination The study has received full regulatory approvals from a Research Ethics Committee, the Confidentiality Advisory Group and the Health Research Authority. Data sharing agreements are in place with National Health Service Digital and the NVR. Dissemination will be via NIHR HTA reporting, peer-reviewed journals and conferences. Trial registration number ISRCTN85731188. Copyright © Author(s) (or their employer(s)) 2021. Re-use permitted under CC BY. Published by BMJ.</t>
  </si>
  <si>
    <t>J2846</t>
  </si>
  <si>
    <t>Estimating the Prevalence of Pseudomyxoma Peritonei in Europe Using a Novel Statistical Method</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</si>
  <si>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 2020, The Author(s).</t>
  </si>
  <si>
    <t>J2847</t>
  </si>
  <si>
    <t>Understanding the acceptability of delivering a Fibromyalgia Self-Management Programme in the community (FALCON): Qualitative findings</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</si>
  <si>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 2021</t>
  </si>
  <si>
    <t>J2848</t>
  </si>
  <si>
    <t>Cost Effectiveness of Ranibizumab vs Aflibercept vs Bevacizumab for the Treatment of Macular Oedema Due to Central Retinal Vein Occlusion: The LEAVO Study</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</si>
  <si>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 2021, The Author(s).</t>
  </si>
  <si>
    <t>J2849</t>
  </si>
  <si>
    <t>Systematic review and meta-analysis of the clinical utility of enhanced recovery after surgery pathways in adult spine surgery</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</si>
  <si>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 AANS 2021.</t>
  </si>
  <si>
    <t>J2850</t>
  </si>
  <si>
    <t>Long-term monitoring in primary care for chronic kidney disease and chronic heart failure: a multi-method research programme</t>
  </si>
  <si>
    <t>&lt;b&gt;BACKGROUND&lt;/b&gt;: Long-term monitoring is important in chronic condition management. Despite considerable costs of monitoring, there is no or poor evidence on how, what and when to monitor. The aim of this study was to improve understanding, methods, evidence base and practice of clinical monitoring in primary care, focusing on two areas: chronic kidney disease and chronic heart failure._x000D_
&lt;b&gt;OBJECTIVES&lt;/b&gt;: The research questions were as follows: does the choice of test affect better care while being affordable to the NHS? Can the number of tests used to manage individuals with early-stage kidney disease, and hence the costs, be reduced? Is it possible to monitor heart failure using a simple blood test? Can this be done using a rapid test in a general practitioner consultation? Would changes in the management of these conditions be acceptable to patients and carers?_x000D_
&lt;b&gt;DESIGN&lt;/b&gt;: Various study designs were employed, including cohort, feasibility study, Clinical Practice Research Datalink analysis, seven systematic reviews, two qualitative studies, one cost-effectiveness analysis and one cost recommendation._x000D_
&lt;b&gt;SETTING&lt;/b&gt;: This study was set in UK primary care._x000D_
&lt;b&gt;DATA SOURCES&lt;/b&gt;: Data were collected from study participants and sourced from UK general practice and hospital electronic health records, and worldwide literature._x000D_
&lt;b&gt;PARTICIPANTS&lt;/b&gt;: The participants were NHS patients (Clinical Practice Research Datalink: 4.5 million patients), chronic kidney disease and chronic heart failure patients managed in primary care (including 750 participants in the cohort study) and primary care health professionals._x000D_
&lt;b&gt;INTERVENTIONS&lt;/b&gt;: The interventions were monitoring with blood and urine tests (for chronic kidney disease) and monitoring with blood tests and weight measurement (for chronic heart failure)._x000D_
&lt;b&gt;MAIN OUTCOME MEASURES&lt;/b&gt;: The main outcomes were the frequency, accuracy, utility, acceptability, costs and cost-effectiveness of monitoring._x000D_
&lt;b&gt;RESULTS&lt;/b&gt;: Chronic kidney disease: serum creatinine testing has increased steadily since 1997, with most results being normal (83% in 2013). Increases in tests of creatinine and proteinuria correspond to their introduction as indicators in the Quality and Outcomes Framework. The Chronic Kidney Disease Epidemiology Collaboration equation had 2.7% greater accuracy (95% confidence interval 1.6% to 3.8%) than the Modification of Diet in Renal Disease equation for estimating glomerular filtration rate. Estimated annual transition rates to the next chronic kidney disease stage are = 2% for people with normal urine albumin, 3-5% for people with microalbuminuria (3-30 mg/mmol) and 3-12% for people with macroalbuminuria (&gt; 30 mg/mmol). Variability in estimated glomerular filtration rate-creatinine leads to misclassification of chronic kidney disease stage in 12-15% of tests in primary care. Glycaemic-control and lipid-modifying drugs are associated with a 6% (95% confidence interval 2% to 10%) and 4% (95% confidence interval 0% to 8%) improvement in renal function, respectively. Neither estimated glomerular filtration rate-creatinine nor estimated glomerular filtration rate-Cystatin C have utility in predicting rate of kidney function change. Patients viewed phrases such as 'kidney damage' or 'kidney failure' as frightening, and the term 'chronic' was misinterpreted as serious. Diagnosis of asymptomatic conditions (chronic kidney disease) was difficult to understand, and primary care professionals often did not use 'chronic kidney disease' when managing patients at early stages. General practitioners relied on Clinical Commissioning Group or Quality and Outcomes Framework alerts rather than National Institute for Health and Care Excellence guidance for information. Cost-effectiveness modelling did not demonstrate a tangible benefit of monitoring kidney function to guide preventative treatments, except for individuals with an estimated glomerular filtration rate of 60-90 ml/minute/1.73 m&lt;sup&gt;2&lt;/sup&gt;, aged &lt; 70 years and without cardiovascular disease, where monitoring every 3-4 years to guide cardiovascular prevention may be cost-effective. Chronic heart failure: natriuretic peptide-guided treatment could reduce all-cause mortality by 13% and heart failure admission by 20%. Implementing natriuretic peptide-guided treatment is likely to require predefined protocols, stringent natriuretic peptide targets, relative targets and being located in a specialist heart failure setting. Remote monitoring can reduce all-cause mortality and heart failure hospitalisation, and could improve quality of life. Diagnostic accuracy of point-of-care N-terminal prohormone of B-type natriuretic peptide (sensitivity, 0.99; specificity, 0.60) was better than point-of-care B-type natriuretic peptide (sensitivity, 0.95; specificity, 0.57). Within-person variation estimates for B-type natriuretic peptide and weight were as follows: coefficient of variation, 46% and coefficient of variation, 1.2%, respectively. Point-of-care N-terminal prohormone of B-type natriuretic peptide within-person variability over 12 months was 881 pg/ml (95% confidence interval 380 to 1382 pg/ml), whereas between-person variability was 1972 pg/ml (95% confidence interval 1525 to 2791 pg/ml). For individuals, monitoring provided reassurance; future changes, such as increased testing, would be acceptable. Point-of-care testing in general practice surgeries was perceived positively, reducing waiting time and anxiety. Community heart failure nurses had greater knowledge of National Institute for Health and Care Excellence guidance than general practitioners and practice nurses. Health-care professionals believed that the cost of natriuretic peptide tests in routine monitoring would outweigh potential benefits. The review of cost-effectiveness studies suggests that natriuretic peptide-guided treatment is cost-effective in specialist settings, but with no evidence for its value in primary care settings._x000D_
&lt;b&gt;LIMITATIONS&lt;/b&gt;: No randomised controlled trial evidence was generated. The pathways to the benefit of monitoring chronic kidney disease were unclear._x000D_
&lt;b&gt;CONCLUSIONS&lt;/b&gt;: It is difficult to ascribe quantifiable benefits to monitoring chronic kidney disease, because monitoring is unlikely to change treatment, especially in chronic kidney disease stages G3 and G4. New approaches to monitoring chronic heart failure, such as point-of-care natriuretic peptide tests in general practice, show promise if high within-test variability can be overcome._x000D_
&lt;b&gt;FUTURE WORK&lt;/b&gt;: The following future work is recommended: improve general practitioner-patient communication of early-stage renal function decline, and identify strategies to reduce the variability of natriuretic peptide._x000D_
&lt;b&gt;STUDY REGISTRATION&lt;/b&gt;: This study is registered as PROSPERO CRD42015017501, CRD42019134922 and CRD42016046902._x000D_
&lt;b&gt;FUNDING&lt;/b&gt;: This project was funded by the National Institute for Health Research (NIHR) Programme Grants for Applied Research programme and will be published in full in Programme Grants for Applied Research; Vol. 9, No. 10. See the NIHR Journals Library website for further project information.</t>
  </si>
  <si>
    <t>J2851</t>
  </si>
  <si>
    <t>Adrenaline to improve survival in out-of-hospital cardiac arrest: the PARAMEDIC2 RCT</t>
  </si>
  <si>
    <t>&lt;b&gt;BACKGROUND&lt;/b&gt;: Adrenaline has been used as a treatment for cardiac arrest for many years, despite uncertainty about its effects on long-term outcomes and concerns that it may cause worse neurological outcomes.</t>
  </si>
  <si>
    <t>J2852</t>
  </si>
  <si>
    <t>Adrenaline to improve survival in out-of-hospital cardiac arrest: The PARAMEDIC2 RCT</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</si>
  <si>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 2021 Perkins et al.</t>
  </si>
  <si>
    <t>J2853</t>
  </si>
  <si>
    <t>Rehabilitation following surgery for flexor tendon injuries of the hand</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</si>
  <si>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low‐certainty evidence of no clinically important difference between the two groups in patient‐rated function or active finger range of motion at 6 or 12 months follow‐up. There is very low‐certainty evidence of little between‐group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self‐rated function, on range of movement during three to six months or numbers of participants experiencing adverse events. The very low‐certainty evidence for poor (under one‐quarter that of normal) range of finger movement at one to three years follow‐up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low‐certainty evidence of no difference in self‐rated function using the Disability of the Arm, Shoulder and Hand (DASH) functional assessment between the two groups at six months (one trial) or at 12 months (one trial). There is very low‐certainty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low‐certainty. Authors' conclusions There is a lack of evidence from RCTs on most of the rehabilitation interventions used following surgery for flexor tendon injuries of the hand. The limited and very low‐certainty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 for example, because of a deep cut from broken glass –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 which approaches are most effect ve in restoring finger motion and function; and ‐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 no treatment; ‐ a placebo (dummy) treatment (in which, for example, someone thinks they may be receiving laser therapy but the machine is switched off); or ‐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three‐quarters of them were male. Ten studies evaluated one each of eight different hand exercise programmes. The other seven studies evaluated a variety of other rehabilitation approaches, such as: ‐ laser therapy, in which light is directed at the tendons to encourage healing; ‐ ultrasound, in which sound waves are directed at the tendons to encourage healing; and ‐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 one study (84 people) that compared finger exercises against immobilisation; ‐ one study (53 people) that evaluated the effects of adding regular finger exercises (20 to 30 times every waking hour for four weeks from the first day after surgery) to ‘passive’ exercises (in which people regularly folded the fingers in the injured hand using the uninjured hand); and ‐ three studies (190 people) that evaluated the effects of adding ‘place and hold’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 and patients’ choice of rehabilitation after surgery for flexor tendon injuries. How up‐to‐date is this review? The evidence in this Cochrane Review is current to August 2020.</t>
  </si>
  <si>
    <t>J2854</t>
  </si>
  <si>
    <t>The Role of the Pharmacist in Inhaler Selection and Education in Chronic Obstructive Pulmonary Disease</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</si>
  <si>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 The Author(s) 2020."</t>
  </si>
  <si>
    <t>J2855</t>
  </si>
  <si>
    <t>Carbapenemase-producing organism (CPO) colonisation at a district general hospital: universal screening may help reduce transmission</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</si>
  <si>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 2021 The Authors</t>
  </si>
  <si>
    <t>J2856</t>
  </si>
  <si>
    <t>Results of the avoiding late diagnosis of ovarian cancer (ALDO) project; A pilot national surveillance program for brca mutationcarriers</t>
  </si>
  <si>
    <t>Introduction/Background * Ovarian cancer (OC) in BRCA mutation-carriers is typically diagnosed clinically at &gt;=stage 3c, with consequent poor prognosis. Risk-reducing salpingooophorectomy (RRSO) is recommended for BRCA mutationcarriers as the only proven method of OC prevention. Women who defer RRSO to permit child-bearing/prevent premature menopause would benefit from surveillance which can downstage OC occurring prior to RRSO. We wanted to establish the 'real world' performance of OC surveillance which we have previously shown downstages OC in clinical trials. Methodology 875 female BRCA mutation-carriers were recruited at 13 UK centres and via a media campaign and underwent 4-monthly surveillance with the Risk of Ovarian Cancer Algorithm (ROCA) blood test. They had a 6 week repeat test if their ROCA score was &gt;1 in 1000, and a transvaginal scan (TVS) in addition, if their risk was &gt; 1 in 500. Women with a score &gt;1 in 33 or those with concerning TVS were referred to a rapid access clinic to rule out OC. RRSO was encouraged throughout the program. Participants were followed via questionnaires, notification by centres/GPs and direct contact. Surveillance performance was calculated after censoring 4 months after prior screen, with modelling of occult cancers detected at RRSO. Incremental cost-effectiveness was calculated using a Markov population cohort simulation. Result(s)* 8 OCs occurred during 1277 women screen years; 2 occult OCs at RRSO (both stage 1a), 6 screen-detected OCs (3 prevalent; stage 2a, 3aii and 3c, 3 incident; stage 1a, 3b and 4b). 4 of 6 (67%) screen-detected OCs were diagnosed at stages &lt;3c. 7 of 8 (87.5%) screen-detected cancers were completely cytoreduced. There were no interval cancers. Modelled sensitivity, specificity, PPV and NPV for OC were 87.5% (CI, 47.3-99.7), 99.9%(99.9-100), 75%(34.9-96.8) and 99.9% (99.9-100) respectively. Economic modelling indicated that surveillance would be cost-saving within the UK National Health Service. Conclusion* OC surveillance for women declining RRSO in a 'real-word' setting is feasible and equally effective as in research trials, resulting in successful downstaging with likely clinical benefit and healthcare cost savings. Whilst RRSO remains the recommended management for BRCA-carriers, ROCA-based surveillance is a viable interim option for those who defer such surgery.</t>
  </si>
  <si>
    <t>J2857</t>
  </si>
  <si>
    <t>Antiemetics for adults for prevention of nausea and vomiting caused by moderately or highly emetogenic chemotherapy: a network meta‐analysis</t>
  </si>
  <si>
    <t>- Background About 70% to 80% of adults with cancer experience chemotherapy‐induced nausea and vomiting (CINV). CINV remains one of the most distressing symptoms associated with cancer therapy and is associated with decreased adherence to chemotherapy. Combining 5‐hydroxytryptamine‐3 (5‐HT₃) receptor antagonists with corticosteroids or additionally with neurokinin‐1 (NK₁) receptor antagonists is effective in preventing CINV among adults receiving highly emetogenic chemotherapy (HEC) or moderately emetogenic chemotherapy (MEC). Various treatment options are available, but direct head‐to‐head comparisons do not allow comparison of all treatments versus another. Objectives • In adults with solid cancer or haematological malignancy receiving HEC ‐ To compare the effects of antiemetic treatment combinations including NK₁ receptor antagonists, 5‐HT₃ receptor antagonists, and corticosteroids on prevention of acute phase (Day 1), delayed phase (Days 2 to 5), and overall (Days 1 to 5) chemotherapy‐induced nausea and vomiting in network meta‐analysis (NMA) ‐ To generate a clinically meaningful treatment ranking according to treatment safety and efficacy • In adults with solid cancer or haematological malignancy receiving MEC ‐ To compare whether antiemetic treatment combinations including NK₁ receptor antagonists, 5‐HT₃ receptor antagonists, and corticosteroids are superior for prevention of acute phase (Day 1), delayed phase (Days 2 to 5), and overall (Days 1 to 5) chemotherapy‐induced nausea and vomiting to treatment combinations including 5‐HT₃ receptor antagonists and corticosteroids solely, in network meta‐analysis ‐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NK₁ and 5‐HT₃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NK₁ and 5‐HT₃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NK₁ and 5‐HT₃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low‐certainty), aprepitant + ramosetron (753 of 1000; RR 1.07, 95% CI 0.95 to 1.21; low certainty), and fosaprepitant + palonosetron (746 of 1000; RR 1.06, 95% CI 0.96 to .19; low certainty). Netupitant + palonosetron (704 of 1000; RR 1.00, 95% CI 0.93 to 1.08; high‐certainty) and fosaprepitant + granisetron (697 of 1000; RR 0.99, 95% CI 0.93 to 1.06; high‐certainty)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NK₁ and 5‐HT₃ inhibitors, or 5‐HT₃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chemotherapy‐induced nausea and vomiting. For people receiving MEC, synthesised evidence does not suggest superiority for treatments including both NK₁ and 5‐HT₃ inhibitors when compared to treatments including 5‐HT₃ inhibitors only. Rather, the results of our NMA suggest that the choice of 5‐HT₃ inhibitor may have an impact on treatment efficacy in preventing CINV. When interpreting the results of this systematic review, it is important for the reader to understand that NMAs are no substitute for direct head‐to‐head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meta‐analysis, we aimed to compare the benefits and harms of different drug combinations for prevention of CINV among people receiving HEC or MEC, and to identify treatment ranking. A network meta‐analysis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multiple‐comparison analyses are no substitute for head‐to‐head comparisons, and that the results do not necessarily rule out differences that could be clinically relevant for some individuals. How up‐to‐date is this evidence? Evidence is up‐to‐date to 2 February 2021.</t>
  </si>
  <si>
    <t>J2858</t>
  </si>
  <si>
    <t>Secondary prevention of variceal bleeding in adults with previous oesophageal variceal bleeding due to decompensated liver cirrhosis: a network meta‐analysis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</si>
  <si>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of Health and Care Excellence Decision Support Unit guidance. Main results We included a total of 48 randomised clinical trials (3526 participants) in the review. Forty‐six trials (3442 participants) were included in one or more comparisons. The trials that provided the information included people with cirrhosis due to varied aetiologies. The follow‐up ranged from two months to 61 months. All the trials were at high risk of bias. A total of 12 interventions were compared in these trials (sclerotherapy, beta‐blockers, variceal band ligation, beta‐blockers plus sclerotherapy, no active intervention, TIPS (transjugular intrahepatic portosystemic shunt), beta‐blockers plus nitrates, portocaval shunt, sclerotherapy plus variceal band ligation, beta‐blockers plus nitrates plus variceal band ligation, beta‐blockers plus variceal band ligation, sclerotherapy plus nitrates). Overall, 22.5% of the trial participants who received the reference treatment (chosen because this was the commonest treatment compared in the trials) of sclerotherapy died during the follow‐up period ranging from two months to 61 months. There was considerable uncertainty in the effects of interventions on mortality. Accordingly, none of the interventions showed superiority over another. None of the trials reported health‐related quality of life. Based on low‐certainty evidence, variceal band ligation may result in fewer serious adverse events (number of people) than sclerotherapy (OR 0.19; 95% CrI 0.06 to 0.54; 1 trial; 100 participants). Based on low or very low‐certainty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low‐certainty evidence, TIPS may result in large decrease in symptomatic rebleed than variceal band ligation (HR 0.12; 95% CrI 0.03 to 0.41; 1 trial; 58 participants). Based on moderate‐certainty evidence, any variceal rebleed was probably lower in sclerotherapy than in no active intervention (HR 0.62; 95% CrI 0.35 to 0.99, direct comparison HR 0.66; 95% CrI 0.11 to 3.13; 3 trials; 296 participants), beta‐blockers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low‐certainty evidence, beta‐blockers alone and TIPS might result in more, other compensation, events than sclerotherapy (rate ratio 2.37; 95% CrI 1.35 to 4.67; 1 trial; 65 participants and rate ratio 2.30; 95% CrI 1.20 to 4.65; 2 trials; 109 participants; low‐certainty evidence). The evidence indicates considerable uncertainty about the effect of the interventions including those related to beta‐blockers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Beta‐blockers plus sclerotherapy and TIPS probably result in fewer 'any' variceal rebleeding than sclerotherapy. Beta‐blockers alone and TIPS might result in more other compensation events than sclerotherapy. The evidence indicates considerable uncertainty about the effect of the interventions in the remaining comparisons. Accordingly, high‐quality randomised comparative clinical trials are needed. Plain language summary Prevention of rebleeding from enlarged veins in the food pipe (oesophagus) resulting from advanced liver disease What is the aim of this Cochrane Review?  To find out the best available preventive treatment for repeated bleeding from oesophageal varices (enlarged veins in the food pipe) in people with advanced liver disease (liver cirrhosis, or late‐stage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meta‐analysis'). Date of literature search  December 2019 Key messages  None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beta‐blockers (drugs that slow the heart and decrease the force of heart pumping resulting in decrease pressure in the blood vessels), and TIPS (transjugular intrahepatic portosystemic shunt; an artificial channel that connects the different blood vessels that carry oxygen‐depleted blood (venous system)) within the liver to reduce the pressure built‐up in the portal venous system, one of the two venous systems draining the liver), portocaval shunt (performing surgery to create the artificial channel described for TIPS) among others. The review authors wanted to gather and analyse data on death, quality of life, serious and non‐serious adverse events, recurrence of bleeding, and development of other complications of advanced liver disease.   What were the main results of the review?  The 48 studies included a small number of participants (3526 participants). Study data were sparse. Forty‐six studies with 3442 participants provided data for analyses. The follow‐up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following. ‐ The evidence indicates considerable uncertainty about the effect of the interventions on the risk of death ‐ Variceal band ligation might result in fewer serious adverse events than sclerotherapy ‐ The evidence indicates considerable uncertainty about the effect of the interventions on serious and non‐serious adverse events ‐ Sclerotherapy probably results in decrease in further bleeding than no treatment ‐ Beta‐blockers plus sclerotherapy and TIPS probably result in a decrease in further bleeding than sclerotherapy alone ‐ Portocaval shunt may result in a decrease in further bleeding than sclerotherapy ‐ The evidence indicates considerable uncertainty about the effect of the interventions in the remaining comparisons ‐ None of the trials reported health‐related quality of life ‐ Future well‐designed trials are needed to find out the best treatment for people with cirrhosis and previous bleeding from oesophageal varices.</t>
  </si>
  <si>
    <t>J2859</t>
  </si>
  <si>
    <t>Quantifying Missed Opportunities for Recruitment to Home Dialysis Therapies</t>
  </si>
  <si>
    <t>Background: Despite the recognized benefits of home therapies for patients and the health care system, most individuals with kidney failure in Canada continue to be initiated on in-center hemodialysis. To optimize recruitment to home therapies, there is a need for programs to better understand the extent to which potential candidates are not successfully initiated on these therapies. Objective(s): We aimed to quantify missed opportunities to recruit patients to home therapies and explore where in the modality selection process this occurs. Design(s): Retrospective observational study. Setting(s): British Columbia, Canada. Patient(s): All patients aged &gt;18 years who started chronic dialysis in British Columbia between January 01, 2015, and December 31, 2017. The sample was further restricted to include patients who received at least 3 months of predialysis care. All patients were followed for a minimum of 12 months from the start of dialysis to capture any transition to home therapies. Method(s): Cases were defined as a missed opportunity" if a patient had chosen a home therapy, or remained undecided about their preferred modality, and ultimately received in-center hemodialysis as their destination therapy. These cases were assessed for: (1) documentation of a contraindication to home therapies; and (2) the type of dialysis education received. Differences in characteristics among patients classified as an appropriate outcome or a missed opportunity were examined using Wilcoxon rank-sum test or chi&lt;sup&gt;2&lt;/sup&gt; test, as appropriate. Result(s): Of the 1845 patients who started chronic dialysis during the study period, 635 (34%) were initiated on a home therapy. A total of 320 (17.3%) missed opportunities were identified, with 165 (8.9%) having initially chosen a home therapy and 155 (8.4%) being undecided about their preferred modality. Compared with patients who chose and initiated or transitioned to a home therapy, those identified as a missed opportunity tended to be older with a higher prevalence of cardiovascular disease. A contraindication to both peritoneal dialysis and home hemodialysis was documented in 8 "missed opportunity" patients. General modality orientation was provided to most (71%) patients who had initially chosen a home therapy but who ultimately received in-center hemodialysis. These patients received less home therapy-specific education compared with patients who chose and subsequently started a home therapy (20% vs 35%, P &lt;.001). Limitation(s): Contraindications to home therapies were potentially under-ascertained, and the nature of contraindications was not systematically captured. Conclusion(s): Even within a mature home therapy program, we discovered a substantial number of missed opportunities to recruit patients to home therapies. Better characterization of modality contraindications and enhanced education that is specific to home therapies may be of benefit. Mapping the recruitment pathway in this way can define the magnitude of missed opportunities and identify areas that could be optimized. This is to be encouraged, as even small incremental improvements in the uptake of home therapies could lead to better patient outcomes and contribute to significant cost savings for the health care system. Trial Registration: Not applicable as this was a qualitative study. Copyright © The Author(s) 2021."</t>
  </si>
  <si>
    <t>J2860</t>
  </si>
  <si>
    <t>Perceptions of Multidisciplinary Renal Team Members toward Home Dialysis Therapies</t>
  </si>
  <si>
    <t>Background: Patients with ESKD are encouraged to pursue home dialysis therapy with the aims of improving quality of life, increasing patient autonomy, and reducing cost to health care systems. In a multidisciplinary team setting, patients interact with nephrologists, nurses, and allied health staff, all of whom may influence a patient's modality choice. Our objective was to evaluate the perceptions of all renal team members toward home dialysis therapies. Method(s): We performed a cross-sectional survey of multidisciplinary renal team members across five renal programs in British Columbia, Canada. The survey contained questions regarding primary work area, modality preference, patient and system factors that may influence modality candidacy, perceived knowledge of home therapies, and need for further education. Result(s): A total of 334 respondents (22 nephrologists, 172 hemodialysis nurses, 49 home nurses, 20 predialysis nurses, and 71 allied health staff) were included (48% response rate). All respondents felt that home dialysis was beneficial for patients who work or study, improved patients' quality of life, and provided cost savings to the system. Compared with in-center hemodialysis nurses, home therapies nurses were between five and nine times more likely to favor a home therapy for patients of older age, lower socioeconomic status, lower educational level, higher burden of comorbidities, and those lacking social supports. Nephrologists and patients were felt to have the most influence on modality choice, whereas dialysis nurses were seen as having the least effect on modality choice. Most respondents felt the need for further education in home therapies. Conclusion(s): The majority of multidisciplinary team members, including allied health staff, acknowledged the benefits of home therapies. There were significant discrepancies among team members regarding patient-/system-level factors that may affect the candidacy of home therapies. Structured, focused, and repeated education sessions for all renal team members may help to address misperceptions around factors that influence modality candidacy. Copyright © 2021 by the American Society of Nephrology.</t>
  </si>
  <si>
    <t>J2861</t>
  </si>
  <si>
    <t>Integrated disease management interventions for patients with chronic obstructive pulmonary disease</t>
  </si>
  <si>
    <t>- Background People with chronic obstructive pulmonary disease (COPD) show considerable variation in symptoms, limitations, and well‐being; this often complicates medical care. A multi‐disciplinary and multi‐component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health‐related quality of life (QoL), exercise tolerance, and exacerbation‐related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multi‐disciplinary (two or more healthcare providers) and multi‐treatment (two or more components) IDM programmes of at least three months' duration. Data collection and analysis Two review authors independently assessed trial quality and extracted data. If required, we contacted study authors to request additional data. We performed meta‐analyses using random‐effects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meta‐analysis. Follow‐up periods ranged between 3 and 48 months and were classified as short‐term (up to 6 months), medium‐term (6 to 15 months), and long‐term (longer than 15 months) follow‐up.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health‐related QoL as measured by St. George's Respiratory Questionnaire (SGRQ) total score at medium‐term follow‐up (mean difference (MD) ‐3.89, 95% confidence interval (CI) ‐6.16 to ‐1.63; 18 RCTs, 4321 participants; moderate‐certainty evidence). A comparable effect was observed at short‐term follow‐up (MD ‐3.78, 95% CI ‐6.29 to ‐1.28; 16 RCTs, 1788 participants). However, the common effect did not exceed the minimum clinically important difference (MCID) of 4 points. There was no significant difference between IDM and control for long‐term follow‐up and for generic QoL. IDM probably also leads to a large improvement in maximum and functional exercise capacity, as measured by six‐minute walking distance (6MWD), at medium‐term follow‐up (MD 44.69, 95% CI 24.01 to 65.37; 13 studies, 2071 participants; moderate‐certainty evidence). The effect exceeded the MCID of 35 metres and was even greater at short‐term (MD 52.26, 95% CI 32.39 to 72.74; 17 RCTs, 1390 participants) and long‐term (MD 48.83, 95% CI 16.37 to 80.49; 6 RCTs, 7288 participants) follow‐up. The number of participants with respiratory‐related admissions was reduced from 324 per 1000 participants in the control group to 235 per 1000 participants in the IDM group (odds ratio (OR) 0.64, 95% CI 0.50 to 0.81; 15 RCTs, median follow‐up 12 months, 4207 participants; high‐certainty evidence). Likewise, IDM probably results in a reduction in emergency department (ED) visits (OR 0.69, 95%CI 0.50 to 0.93; 9 RCTs, median follow‐up 12 months, 8791 participants; moderate‐certainty evidence), a slight reduction in all‐cause hospital admissions (OR 0.75, 95%CI 0.57 to 0.98; 10 RCT , median follow‐up 12 months, 9030 participants; moderate‐certainty evidence), and fewer hospital days per person admitted (MD ‐2.27, 95% CI ‐3.98 to ‐0.56; 14 RCTs, median follow‐up 12 months, 3563 participants; moderate‐certainty evidence). Statistically significant improvement was noted on the Medical Research Council (MRC) Dyspnoea Scale at short‐ and medium‐term follow‐up but not at long‐term follow‐up. No differences between groups were reported for mortality, courses of antibiotics/prednisolone, dyspnoea, and depression and anxiety scores. Subgroup analysis of dominant intervention components and regions of study suggested context‐ and intervention‐specific effects. However, some subgroup analyses were marked by considerable heterogeneity or included few studies. These results should therefore be interpreted with caution. Authors' conclusions This review shows that IDM probably results in improvement in disease‐specific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process‐related outcomes, long‐term follow‐up, and cost‐effectiveness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up‐to‐date as of February 2021.</t>
  </si>
  <si>
    <t>J2862</t>
  </si>
  <si>
    <t>Period of purple crying program for the prevention of abusive head trauma/shaken baby syndrome</t>
  </si>
  <si>
    <t>To review instances of abusive head trauma in Ireland and the United Kingdom To discuss the benefits of the Period of Purple Crying program To begin the pathways to implement the Period of Purple Crying program in Ireland. Research published since the beginning of the COVID-19 pandemic has shown a marked increase in the instances of abusive head trauma in the United Kingdom. While there are many contributing factors to abusive head trauma, in these cases one of the main precipitants was the enforced isolation during the pandemic. An educational program is needed now more than ever to highlight the drastic consequences of abusive head trauma in infants and educate parents on what level of crying is to be expected from infants. Areas that have implemented the Period of Purple Crying program have seen a reduction in the numbers of abusive head traumas. Other benefits of the program included an increased awareness among parents of what to do when a baby is crying. Cost-of-illness analysis also shows that the implementation of a program can have massive cost-saving benefits. Ireland does not currently have a preventative program for shaken baby syndrome. The National Healthy Childhood Programme includes child health screen and developmental surveillance and would be an ideal means by which to introduce the Period of Purple Crying program. This service provides for parent contact with healthcare professionals at least twenty-five times beginning in pregnancy and ending at the child's third birthday. More research is also needed regarding exact numbers of abusive head trauma in Ireland.</t>
  </si>
  <si>
    <t>J2863</t>
  </si>
  <si>
    <t>Unicompartmental compared with total knee replacement for patients with multimorbidities: a cohort study using propensity score stratification and inverse probability weighting</t>
  </si>
  <si>
    <t>&lt;b&gt;BACKGROUND&lt;/b&gt;: Although routine NHS data potentially include all patients, confounding limits their use for causal inference. Methods to minimise confounding in observational studies of implantable devices are required to enable the evaluation of patients with severe systemic morbidity who are excluded from many randomised controlled trials._x000D_
&lt;b&gt;OBJECTIVES&lt;/b&gt;: Stage 1 - replicate the Total or Partial Knee Arthroplasty Trial (TOPKAT), a surgical randomised controlled trial comparing unicompartmental knee replacement with total knee replacement using propensity score and instrumental variable methods. Stage 2 - compare the risk benefits and cost-effectiveness of unicompartmental knee replacement with total knee replacement surgery in patients with severe systemic morbidity who would have been ineligible for TOPKAT using the validated methods from stage 1._x000D_
&lt;b&gt;DESIGN&lt;/b&gt;: This was a cohort study._x000D_
&lt;b&gt;SETTING&lt;/b&gt;: Data were obtained from the National Joint Registry database and linked to hospital inpatient (Hospital Episode Statistics) and patient-reported outcome data._x000D_
&lt;b&gt;PARTICIPANTS&lt;/b&gt;: Stage 1 - people undergoing unicompartmental knee replacement surgery or total knee replacement surgery who met the TOPKAT eligibility criteria. Stage 2 - participants with an American Society of Anesthesiologists grade of &gt;= 3._x000D_
&lt;b&gt;INTERVENTION&lt;/b&gt;: The patients were exposed to either unicompartmental knee replacement surgery or total knee replacement surgery._x000D_
&lt;b&gt;MAIN OUTCOME MEASURES&lt;/b&gt;: The primary outcome measure was the postoperative Oxford Knee Score. The secondary outcome measures were 90-day postoperative complications (venous thromboembolism, myocardial infarction and prosthetic joint infection) and 5-year revision risk and mortality. The main outcome measures for the health economic analysis were health-related quality of life (EuroQol-5 Dimensions) and NHS hospital costs._x000D_
&lt;b&gt;RESULTS&lt;/b&gt;: In stage 1, propensity score stratification and inverse probability weighting replicated the results of TOPKAT. Propensity score adjustment, propensity score matching and instrumental variables did not. Stage 2 included 2256 unicompartmental knee replacement patients and 57,682 total knee replacement patients who had severe comorbidities, of whom 145 and 23,344 had linked Oxford Knee Scores, respectively. A statistically significant but clinically irrelevant difference favouring unicompartmental knee replacement was observed, with a mean postoperative Oxford Knee Score difference of &lt; 2 points using propensity score stratification; no significant difference was observed using inverse probability weighting. Unicompartmental knee replacement more than halved the risk of venous thromboembolism [relative risk 0.33 (95% confidence interval 0.15 to 0.74) using propensity score stratification; relative risk 0.39 (95% confidence interval 0.16 to 0.96) using inverse probability weighting]. Unicompartmental knee replacement was not associated with myocardial infarction or prosthetic joint infection using either method. In the long term, unicompartmental knee replacement had double the revision risk of total knee replacement [hazard ratio 2.70 (95% confidence interval 2.15 to 3.38) using propensity score stratification; hazard ratio 2.60 (95% confidence interval 1.94 to 3.47) using inverse probability weighting], but half of the mortality [hazard ratio 0.52 (95% confidence interval 0.36 to 0.74) using propensity score stratification; insignificant effect using inverse probability weighting]. Unicompartmental knee replacement had lower costs and higher quality-adjusted life-year gains than total knee replacement for stage 2 participants._x000D_
&lt;b&gt;LIMITATIONS&lt;/b&gt;: Although some propensity score methods successfully replicated TOPKAT, unresolved confounding may have affected stage 2. Missing Oxford Knee Scores may have led to information bias._x000D_
&lt;b&gt;CONCLUSIONS&lt;/b&gt;: Propensity score stratification and inverse probability weighting successfully replicated TOPKAT, implying that some (but not all) propensity score methods can be used to evaluate surgical innovations and implantable medical devices using routine NHS data. Unicompartmental knee replacement was safer and more cost-effective than total knee replacement for patients with severe comorbidity and should be considered the first option for suitable patients._x000D_
&lt;b&gt;FUTURE WORK&lt;/b&gt;: Further research is required to understand the performance of propensity score methods for evaluating surgical innovations and implantable devices._x000D_
&lt;b&gt;TRIAL REGISTRATION&lt;/b&gt;: This trial is registered as EUPAS17435._x000D_
&lt;b&gt;FUNDING&lt;/b&gt;: This project was funded by the National Institute for Health Research (NIHR) Health Technology Assessment programme and will be published in full in Health Technology Assessment; Vol. 25, No. 66. See the NIHR Journals Library website for further project information.</t>
  </si>
  <si>
    <t>J2864</t>
  </si>
  <si>
    <t>Home-based Extended Rehabilitation for Older people (HERO): study protocol for an individually randomised controlled multi-centre trial to determine the clinical and cost-effectiveness of a home-based exercise intervention for older people with frailty as extended rehabilitation following acute illness or injury, including embedded process evaluation</t>
  </si>
  <si>
    <t>Background: The majority of older people (&gt; 65 years) in hospital have frailty and are at increased risk of readmission or death following discharge home. In the UK, following acute hospitalisation, around one third of older people with frailty are referred on for rehabilitation, termed 'intermediate care' services. Although this rehabilitation can reduce early readmission to hospital (&lt; 30 days), recipients often do not feel ready to leave the service on discharge, suggesting possible incomplete recovery. Limited evidence suggests extended rehabilitation is of benefit in several conditions and there is preliminary evidence that progressive physical exercise can improve mobility and function for older people with frailty, and slow progression to disability. Our aim is to evaluate the effectiveness of the Home-based Older People's Exercise (HOPE) programme as extended rehabilitation for older people with frailty discharged home from hospital or intermediate care services after acute illness or injury. Method(s): A multi-centre individually randomised controlled trial, to evaluate the clinical and cost-effectiveness of the HOPE programme. This individualised, graded and progressive 24-week exercise programme is delivered by NHS physiotherapy teams to people aged 65 and older with frailty, identified using the Clinical Frailty Scale, following discharge from acute hospitalisation and linked intermediate care rehabilitation pathways. The primary outcome is physical health-related quality of life, measured using the physical component summary score of the modified Short Form 36- item health questionnaire (SF36) at 12 months. Secondary outcomes include self-reported physical and mental health, functional independence, death, hospitalisations, care home admissions. Plans include health economic analyses and an embedded process evaluation. Discussion(s): This trial seeks to determine if extended rehabilitation, via the HOPE programme, can improve physical health-related quality of life for older people with frailty following acute hospitalisation. Results will improve awareness of the rehabilitation needs of older people with frailty, and provide evidence on the clinical and cost-effectiveness of the targeted exercise intervention. There is potential for considerable benefit for health and social care services through widespread implementation of trial findings if clinical and cost-effectiveness is demonstrated. Trial registration: ISRCTN 13927531. Registered on April 19, 2017. Copyright © 2021, The Author(s).</t>
  </si>
  <si>
    <t>J2865</t>
  </si>
  <si>
    <t>Intermittent catheter techniques, strategies and designs for managing long‐term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</si>
  <si>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cost‐effectiveness. This is an update of a Cochrane Review first published in 2007. Objectives To assess the clinical and cost‐effectiveness of different catheterisation techniques, strategies and catheter designs, and their impact, on UTI and other complications, and measures of satisfaction/quality of life among adults and children whose long‐term bladder condition is managed by intermittent catheterisation. Search methods We searched the Cochrane Incontinence Specialised Register, which contains trials identified from the Cochrane Central Register of Controlled Trials (CENTRAL), MEDLINE, MEDLINE In‐Process,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cross‐over trials. Most were small (fewer than 60 participants completed), although three trials had more than 100 participants. Length of follow‐up ranged from one month to 12 months and there was considerable variation in definitions of UTI. Most of the data from cross‐over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Single‐use (sterile) catheter versus multiple‐use (clean) We are uncertain if there is any difference between single‐use and multiple‐use catheters in terms of the risk of symptomatic UTI because the certainty of evidence is low and the 95% CI is consistent with possible benefit and possible harm (RR 0.98, 95% CI 0.55, 1.74; two studies; 97 participants). One study comparing single‐use catheters to multiple‐use catheters reported zero adverse events in either group; no other adverse event data were reported for this comparison. We identified no data for participant satisfaction or preference. Hydrophilic‐coated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hydrophilic‐coated catheters (RR 1.37, 95% CI 1.01 to 1.87; moderate‐certainty evidence). The evidence is uncertain if hydrophilic‐coated catheters compared with uncoated catheters has any effect on participant satisfaction measured on a 0‐10 scale (MD 0.7 higher, 95% CI 0.19 to 1.21; very low‐certainty evidence; one study; 114 participants). Due to the paucity of data, we could not assess the certainty of evidence relating to participant preference (one cross‐over trial of 29 participants reported greater preference for a hydrophilic‐coated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multiple‐use (clean) catheters, coated or uncoated catheters or different catheter lengths. The current research evidence is uncertain and design and reporting issues are significant. More well‐designed trials are needed. Such trials should include analysis of cost‐effectiveness because there are likely to be substantial differences associated with the use of different catheterisation techniques and strategies, and catheter designs. Plain language summary Intermittent catheter techniques, strategies and catheter designs for managing long‐term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‘aseptic technique’ is used in healthcare settings, with specially packaged sterile equipment (gloves, lubricant and catheter) and a technique that avoids the catheter coming into contact with anything non‐sterile (including hands, equipment and surfaces) before it is inserted. People inserting their own catheters use a ‘clean’ technique, where the environment is kept as clean as possible and a sterile or clean (multiple‐use) catheter is used without the need for gloves. Strategies: Single‐use versus multiple‐use There are two types of catheter use: single‐use and multiple‐use. Re‐use of catheters means that the catheter is cleaned and re‐used a varying number of times (e.g. for up to 24 hours or for one week/month). Design: Uncoated versus hydrophilic‐coated Uncoated catheters are typically clear PVC and packed individually in sterile packaging. They may be supplied pre‐lubricated, or used with a separate lubricant or water to aid insertion Hydrophilic‐coated catheters have a slippery coating and either are supplied ready to use, or require the addition of water. Design: Shorter versus standard length Catheters come in varying sizes and lengths to suit men, women and children, and people's different needs. How up‐to‐date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Single‐use (sterile) catheter versus multiple‐use (clean) We are uncertain if there is any difference between single‐use and multiple‐use catheters in the risk of symptomatic UTI because the certainty of evidence is low. One study comparing these interventions reported zero adverse events in either group and no other adverse event data were reported. Hydrophilic‐coated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well‐designed trials are needed. Such trials should include analysis of cost‐effectiveness because there are likely to be substantial differences associated with the use of different catheter designs, catheterisation techniques and strategies.</t>
  </si>
  <si>
    <t>J2866</t>
  </si>
  <si>
    <t>Use of capillary blood ketone meters to improve ambulance service care of hyperglycaemic patients: Protocol for a stepped-wedge, controlled feasibility study (KARMA2)</t>
  </si>
  <si>
    <t>Background Diabetic ketoacidosis (DKA) is a potentially lifethreatening condition associated with diabetes (Type 1 and Type 2), certain medications (i.e. SGLT2 inhibitors), and other health conditions. Hospital-based guidelines advocate immediate start of intravenous fluid therapy upon DKA diagnosis, which does not reliably happen in the pre-hospital setting. Ambulance clinicians do not routinely have access to ketone meters to determine presence of ketones; they rely on nonspecific clinical signs and symptoms for care strategies. The aims of this feasibility study are to determine whether ambulance clinicians can reliably and safely identify patients with DKA using capillary blood ketone meters, commence fluid therapy, and gather necessary study data. Methods During an 8-month period (4-month control: 4- month intervention), 120 ambulance clinicians from one UK ambulance service will receive training to determine presence of ketones using capillary blood testing from 800 consenting patients with hyperglycaemia and unwell patients with diabetes. Subsequent patient care will depend on the ketone value obtained: high-risk DKA patients will receive fluid therapy. Twenty ambulance and hospital clinicians will be invited to an interview to share their views of DKA care and the impact of capillary blood ketone meters. Results Information collated will include completion of study training, patient recruitment, intervention adherence, service call activity, and ambulance and hospital patient clinical data. Prevalence and severity of hyperglycaemia, incidence of DKA and ability of paramedics to commence fluid therapy for DKA will be explored. Quantitative findings will be analysed using descriptive statistics, whilst the qualitative study interviews will be thematically analysed. Conclusions Study findings will be used to inform the need and feasibility to proceed to a full stepped-wedge, controlled trial. If warranted, we will develop a research funding proposal evaluating the clinical and cost-effectiveness of ambulance ketone meters and further explore meter provision for improved ambulance patient care.</t>
  </si>
  <si>
    <t>J2867</t>
  </si>
  <si>
    <t>Environmental enrichment for stroke and other non‐progressive brain injury</t>
  </si>
  <si>
    <t>- Background Rehabilitation is effective for recovery after stroke and other non‐progressive brain injuries but it is unclear if the rehabilitation environment itself, outside of limited therapy hours, is maximally conducive to recovery. Environmental enrichment is a relatively new concept within rehabilitation for humans. In this review, this is defined as an intervention designed to facilitate physical (motor and sensory), cognitive and social activity by the provision of equipment and organisation of a structured, stimulating environment. The environment should be designed to encourage (but not force) activities without additional specialised rehabilitation input. Objectives To assess the effects of environmental enrichment on well‐being, functional recovery, activity levels and quality of life in people who have stroke or non‐progressive brain injury. Search methods We conducted the search on 26 October 2020. We searched the Cochrane Central Register of Controlled Trials (CENTRAL)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planned to include randomised controlled trials (RCTs) that compared environmental enrichment with standard services. Data collection and analysis Two review authors independently assessed eligible studies, extracted data, and assessed study quality. Any disagreements were resolved through discussion with a third review author. We determined the risk of bias for the included study and performed a 'best evidence' synthesis using the GRADE approach. Main results We identified one RCT, involving 53 participants with stroke, comparing environmental enrichment (which included physical, cognitive and social activities such as reading material, board and card games, gaming technology, music, artwork, and computer with Internet) with standard services in an inpatient rehabilitation setting. We excluded five studies, found two studies awaiting classification and one ongoing study which described environmental enrichment in their interventions. Of the excluded studies, three were non‐RCTs and two described co‐interventions with a significant component of rehabilitation. Based on the single small included RCT at high risk of bias, data are insufficient to provide any reliable indication of benefit or risk to guide clinical practice in terms of the provision of environmental enrichment. Authors' conclusions The gap in current research should not, however, be interpreted as proof that environmental enrichment is ineffective. Further research is needed with robust study designs, such as cluster RCTs, and consistent outcome measurement evaluating the effectiveness of environmental enrichment in different settings (inpatient versus outpatient), the relative effectiveness of various components of environmental enrichment, cost‐effectiveness, and safety of the intervention in people following stroke or other non‐progressive brain injuries. It should be noted, however, that it is challenging to randomise or double‐blind trials of environmental enrichment given the nature of the intervention. Plain language summary Treatment using environmental enrichment for supporting rehabilitation following stroke and other brain injuries which do not get worse over time (non‐progressive brain injury) Background Rehabilitation helps with recovery after stroke and other non‐progressive brain injuries through therapy. However, outside of therapy hours, people may have very little to keep them stimulated. Environmental enrichment is a relatively new concept in rehabilitation where the environment itself is designed to be engaging and to include physical, thinking, and social activities like exercises and games. For example, a nursery for babies may be interesting and stimulating but a hospital environment for adults is generally not. The design of the environment alone should encourage (but not force) activities without additional specialised rehabilitation. Review question  We wanted to find out whether treatment with environmental enrichment is better or worse than alternatives. Search date  The evidence is current to 26 October 2020. Study characteristics  Population: we planned to include studies in which participants were adults who had had a stroke or a non‐progressive brain injury (such as traumatic brain injury but not dementia, Alzheimer's diease, or multiple sclerosis). Intervention: environmental enrichment interventions will usually include multiple activities, such as computers plus gaming technology plus music and reading. Comparison: we planned to compare environmental interventions with usual care (regular physiotherapy, speech therapy, occupational therapy) or alternative treatment. Outcomes: we divided outcomes into primary and secondary outcomes. Primary outcomes focused on psychological well‐being (anxiety, depression, stress) and coping. Secondary outcomes focused on quality of life, physical function, communication and cognitive function, and activity levels. We also planned to report adverse events. Key results  We found one trial that compared environmental intervention alone with usual care or alternative treatment. The trial included 53 participants who had had a stroke and was based in a hospital rehabilitation ward. The trial compared environmental enrichment (which included physical, cognitive and social activities such as reading material, board and card games, gaming technology, music, artwork, and computer with Internet) with standard services. The main outcomes related to psychological well‐being and coping. We were uncertain of the results because the trial was very small and highly prone to bias. Conclusion  The gap in current research does not mean that environmental enrichment is ineffective. Further research is needed with strong study designs and consistent outcome measurement evaluating the effectiveness of environmental enrichment in different settings (in hospital versus out of hospital), which components of environmental enrichment are effective, whether environmental enrichment is cost‐effective, and if it is safe for people following stroke or other non‐progressive brain injuries.</t>
  </si>
  <si>
    <t>J2868</t>
  </si>
  <si>
    <t>Strategies for screening for familial hypercholesterolaemia in primary care and other community settings</t>
  </si>
  <si>
    <t>- Background Familial hypercholesterolaemia is a common inherited condition that is associated with premature cardiovascular disease. The increased cardiovascular morbidity and mortality, resulting from high levels of cholesterol since birth, can be prevented by starting lipid‐lowering therapy. However, the majority of patients in the UK and worldwide remain undiagnosed. Established diagnostic criteria in current clinical practice are the Simon‐Broome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cluster‐RCTs and non‐randomised studies of interventions (NRSI). Eligible NRSI were non‐randomised controlled trials, prospective cohort studies, controlled before‐and‐after studies, and interrupted‐time‐series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before‐and‐after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 Plain language summary 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cholesterol‐lowering tablets markedly reduces this risk. As well as raised cholesterol in the blood, family history of heart disease and the presence of fatty lumps under the skin could indicate familial hypercholesterolaemia. It is important that community‐based health professionals, such as general practitioners and community pharmacists, can 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2021.   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Better‐designed studies, with diagnosis of definite familial hypercholesterolaemia confirmed by genetic tests, are needed to clearly answer this question.</t>
  </si>
  <si>
    <t>J2869</t>
  </si>
  <si>
    <t>A cost utility analysis of robotic versus open mitral valve repair in mitral valve regurgitation</t>
  </si>
  <si>
    <t>Objectives: For the first time this study carried out a cost-utility analysis comparing open surgical repair versus robotic minimally invasive surgical repair for Mitral Regurgitation. The respective benefits and costs of each treatment option gained from data in published literature have been analysed and subsequent suggestions for the allocation of resources and treatment recommendation will be offered. Method(s): The analysis was performed by including intraoperative and post-operative costs of the interventions and costs of the most prevalent complications associated with each operation. Thus, the Quality Adjusted Life Years (QALYs) calculated will guide the decision of resource allocation by assessing whether the added cost of robotic surgery is justified given the NICE (National institute of Clinical Excellence) threshold of 30,000/QALY. The choice of perspective taken is through the lens of the British National Healthcare System. Result(s): The Incremental cost-effectiveness ratio (ICER) calculated was 4781.44/QALY. This ICER shows that if robotic surgery was to become gold standard, the NHS would be paying 4781.44/QALY gained per patient. Considering robotic surgery is associated with fewer complications for patients but also has a cost per QALY below the NICE threshold of 30,000/QALY, it seems that this is a fitting alternative to open heart mitral valve repair. After a sensitivity analysis accounting for the initial robotic capital investment the ICER resulted to 22,379.94/QALY, still below NICE's threshold. Conclusion(s): Our results have shown that robotic assisted minimally invasive repair of the mitral valve is a cost-effective option and can be implemented in the British national healthcare setting.</t>
  </si>
  <si>
    <t>J2870</t>
  </si>
  <si>
    <t>Double versus single intrauterine insemination (IUI) in stimulated cycles for subfertile couples</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</si>
  <si>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</si>
  <si>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J2871</t>
  </si>
  <si>
    <t>The Impact of Diagnostic Criteria for Gestational Diabetes Mellitus on Adverse Maternal Outcomes: A Systematic Review and Meta-Analysis</t>
  </si>
  <si>
    <t>This systematic review and meta-analysis aimed to examine the impact of different gestational-diabetes (GDM) diagnostic-criteria on the risk of adverse-maternal-outcomes. The search process encompassed PubMed (Medline), Scopus, and Web of Science databases to retrieve original, population-based studies with the universal GDM screening approach, published in English language and with a focus on adverse-maternal-outcomes up to January 2020. According to GDM diagnostic criteria, the studies were classified into seven groups. A total of 49 population-based studies consisting of 1409018 pregnant women with GDM and 7,667,546 non-GDM counterparts were selected for data analysis and knowledge synthesis. Accordingly, the risk of adverse-maternal-outcomes including primary-cesarean, induction of labor, maternal-hemorrhage, and pregnancy-related-hypertension, overall, regardless of GDM diagnostic-criteria and in all diagnostic-criteria subgroups were significantly higher than non-GDM counterparts. However, in meta-regression, the increased risk was not influenced by the GDM diagnostic-classification and the magnitude of the risks among patients, using the IADPSG criteria-classification as the most strict-criteria, was similar to other criteria. In conclusion, a reduction in the diagnostic-threshold increased the prevalence of GDM, but the risk of adverse-maternal-outcome was not different among those women who were diagnosed through more or less intensive strategies. Our review findings can empower health-care-providers to select the most cost-effective approach for the screening of GDM among pregnant women.</t>
  </si>
  <si>
    <t>J2872</t>
  </si>
  <si>
    <t>Randomised controlled trial to evaluate the effectiveness of using the RD-1-based C-Tb skin test as a replacement for blood-based interferon-gammarelease assay for detection of, and initiation of preventive treatment for, tuberculosis infection: RID-TB:Dx study protocol</t>
  </si>
  <si>
    <t>Introduction The predictive utility for incident tuberculosis (TB) of the purified protein derivative tuberculin skin test and region of difference 1 (RD1)-based interferon-gamma release assays (IGRA) is comparable; and either is recommended to test for latent TB infection (LTBI). Despite associated high costs of IGRA, sites participating in LTBI screening in many high-income settings pragmatically favour IGRA due to its higher specificity and simpler logistics. A new RD1-based skin test, C-Tb, could offer an acceptable and as accurate, cheaper alternative to IGRA. Evaluating the impact of C-Tb on process and patient-related outcomes would provide important information to help guide its use in LTBI testing strategies. Methods and analysis This is a pragmatic multicentre, open-label, non-inferiority, randomised controlled trial. The trial will assess the initiation of LTBI treatment following a positive result of the randomised test as the primary outcome. Participants will be randomised to receive the C-Tb test (intervention) or IGRA (usual care, control) for initiation of treatment. We will enrol 1530 participants in England aged&gt;=16 years who are eligible for LTBI testing and treatment according to UK guidance. In the C-Tb arm, skin induration will be assessed 2-3 days after intradermal injection and measured in millimetres of induration. Results of IGRA will be obtained in line with standard practice. Behavioural studies will explore people's experiences, perspectives and preferences of LTBI testing and treatment. Economic analysis will estimate cost-effectiveness of changes to the diagnostic algorithm for LTBI. The protocol was developed with Patient and Public Involvement (PPI), which will continue throughout the trial. Ethics and dissemination Ethics approval has been obtained from The NHS Health Research Authority (269485). We will share results of the trial in peer-reviewed journals and conferences. Trial registration number EudraCT 2019-002592-34; ISRCTN17936038. Copyright ©</t>
  </si>
  <si>
    <t>J2873</t>
  </si>
  <si>
    <t>An external pilot cluster randomised controlled trial of a theory-based intervention to improve appropriate polypharmacy in older people in primary care (PolyPrime): study protocol</t>
  </si>
  <si>
    <t>Background</t>
  </si>
  <si>
    <t>J2874</t>
  </si>
  <si>
    <t>Protocol for a process evaluation of an external pilot cluster randomised controlled trial of a theory-based intervention to improve appropriate polypharmacy in older people in primary care: the PolyPrime study</t>
  </si>
  <si>
    <t>Background: The PolyPrime intervention is a theory-based intervention aimed at improving appropriate polypharmacy in older people (aged &gt;=65 years) in primary care. The intervention consists of an online video which demonstrates how general practitioners (GPs) can prescribe appropriate polypharmacy during a consultation with an older patient and a patient recall process, whereby patients are invited to scheduled medication review consultations with GPs. The aim of the process evaluation is to further examine the implementation of the PolyPrime intervention in primary care. This will involve investigating whether the PolyPrime intervention can be delivered as intended across two healthcare systems, how acceptable the intervention is to GPs, practice staff and patients, and to identify the intervention's likely mechanisms of action. Method(s): The PolyPrime study is an external pilot cluster randomised controlled trial (cRCT) which aims to recruit 12 GP practices across Northern Ireland [NI] (n=6) and the six counties in the Republic of Ireland (ROI) that border NI (n=6). Practices have been randomised to intervention or usual care. An embedded process evaluation will assess intervention fidelity (i.e. was the intervention delivered as intended), acceptability of the intervention to GPs, practice staff and patients and potential mechanisms of action (i.e. what components of the intervention were perceived to be effective). Quantitative data will be collected from data collection forms completed by GPs and practice staff and a feedback questionnaire completed by patients from intervention arm practices, which will be analysed using descriptive statistics. Qualitative data will be collected through semi-structured interviews with GPs and practice staff and audio-recordings of medication review appointments from the intervention arm practices which will be transcribed and analysed using the framework method. Quantitative and qualitative data will be triangulated to provide an overall assessment of intervention fidelity, intervention acceptability, and mechanisms of action. Discussion(s): This process evaluation will add to feasibility data from the pilot cRCT by providing evidence on the fidelity of implementing the intervention package across two healthcare systems, the acceptability of the intervention and potential mechanisms of action. Trial registration: ClinicalTrials.govISRCTN41009897. Registered on 19 November 2019. ClinicalTrials.govNCT04181879. Registered 02 December 2019. Copyright © 2021, The Author(s).</t>
  </si>
  <si>
    <t>J2875</t>
  </si>
  <si>
    <t>Prophylactic antibiotics for preventing pneumococcal infection in children with sickle cell disease</t>
  </si>
  <si>
    <t>- Background Sickle cell disease (SCD) is a group of inherited disorders that result in haemoglobin abnormalities and other complications. Injury to the spleen, among other factors, contribute to persons with SCD being particularly susceptible to infection. Infants and very young children are especially vulnerable. The 'Co‐operative Study of Sickle Cell Disease' observed an incidence rate for pneumococcal septicaemia of 10 per 100 person‐years in children under the age of three years. Vaccines, including customary pneumococcal vaccines, may be of limited use in this age group. Therefore, prophylactic penicillin regimens may be advisable for this population. This is an update of a Cochrane Review which was first published in 2002, and previously updated, most recently in 2017. Objectives To compare the effects of antibiotic prophylaxis against pneumococcus in children with SCD receiving antibiotic prophylaxis compared to those without in relation to: 1. incidence of Streptococcus pneumoniae infection; 2. mortality (as reported in the included studies); 3. drug‐related adverse events (as reported in the included studies) to the individual and the community; 4. the impact of discontinuing at various ages on incidence of infection and mortality. Search methods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(not in 2020 given access issues relating to Covid‐19 pandemic). Additionally, we carried out hand searching of relevant journals and abstract books of conference proceedings. Date of the most recent search: 25 January 2021. Selection criteria All randomised or quasi‐randomised controlled trials comparing prophylactic antibiotics to prevent pneumococcal infection in children with SCD with placebo, no treatment or a comparator drug. Data collection and analysis The standard methodological procedures expected by Cochrane were used. Both authors independently extracted data and assessed trial quality. The authors used the GRADE criteria to assess the certainty of the evidence. Main results Six trials were identified by the searches, of which three trials were eligible for inclusion. A total of 880 children, who were between three months to five years of age at randomization were included. The included studies were conducted in centres in the USA and in Kingston, Jamaica. In trials that investigated initiation of penicillin on risk of pneumococcal infection, the odds ratio was 0.37 (95% confidence interval 0.16 to 0.86) (two trials, 457 children) (low‐certainty evidence), while for withdrawal the odds ratio was 0.49 (95% confidence interval 0.09 to 2.71) (one trial, 400 children) (low‐certainty evidence). Adverse drug effects were rare and minor. Rates of pneumococcal infection were found to be relatively low in children over the age of five years. Overall, the certainty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Authors' conclusions The evidence examined was determined to be of low certainty and suggests that prophylactic penicillin significantly reduces risk of pneumococcal infection in children with homozygous SCD, and is associated with minimal adverse reactions. Further research may help to determine the ideal age to safely withdraw penicillin. Plain language summary Regular antibiotics for preventing pneumococcal infection in young children with sickle cell disease Review question We reviewed the evidence about the effects o prophylactic antibiotic regimens for preventing pneumococcal infection in children with sickle cell disease (SCD). This is an updated version of a previously published Cochrane Review. Background People living with SCD are especially prone to respiratory and blood infections. These infections are often caused by a germ (bacteria) known as Streptococcus pneumoniae, otherwise known as pneumococcus, which can cause many types of serious illnesses. Individuals with SCD can acquire infections more easily than unaffected persons because their spleen (an organ in the body that filters blood and is vital for the proper functioning of the immune system) does not work correctly, and also because damaged tissue and bone resulting from SCD can harbour bacteria. Infection prevention is therefore one of the major ways to improve the health of persons living with SCD and reduce the risk of death. The highest risk of infection occurs in children under three years of age, but the special vaccines that help to prevent illnesses with S pneumoniae are of limited use in this young population. Therefore, regular antibiotics in addition to these special vaccines are needed to prevent infection. As risk of infection decreases with age, there might be a time when preventative antibiotic treatment can be discontinued. The aim of the review was to determine the effects of antibiotic prophylaxis against pneumococcus in children with SCD. Search date The evidence is current to 25 January 2021. Study characteristics We gathered evidence for this Cochrane Review by examining three clinical trials with over 800 children included. Key results and quality of the evidence All three clinical trials showed a reduced rate of pneumococcal infection in children with SCD receiving penicillin preventatively. Two of these trials looked at whether treatment was effective. The third trial followed on from one of the early trials and looked at when it was safe to stop treatment. Adverse drug effects were rare and minor. However, there were problems with children keeping to the treatment schedule and with the development of antibiotic resistance. The quality of the evidence for both primary and secondary outcomes (end result) was judged to be low. We conclude that penicillin given to preventatively reduces the rate of pneumococcal infections in children with SCD under five years of age. The risk of infection in older children is lower, and the follow‐on trial did not show a significant increase in risk when regular penicillin was halted at five years old. Further research is needed to look at how commonly bacteria develop that are resistant to treatment and how clinically important this is.</t>
  </si>
  <si>
    <t>J2876</t>
  </si>
  <si>
    <t>An economic evaluation of vagus nerve stimulation as an adjunctive treatment to anti-seizure medications for the treatment of drug-resistant epilepsy in England</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</si>
  <si>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 2021 The Author(s). Published by Informa UK Limited, trading as Taylor &amp; Francis Group.</t>
  </si>
  <si>
    <t>J2877</t>
  </si>
  <si>
    <t>Exploring the role of dedicated services for barrett's oesophagus care in UK NHS hospitals</t>
  </si>
  <si>
    <t>Introduction Barrett’s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</si>
  <si>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J2878</t>
  </si>
  <si>
    <t>Chronic non‐invasive ventilation for chronic obstructive pulmonary disease</t>
  </si>
  <si>
    <t>- Background Chronic non‐invasive ventilation (NIV) is increasingly being used to treat people with COPD who have respiratory failure, but the evidence supporting this treatment has been conflicting. Objectives To assess the effects of chronic non‐invasive ventilation at home via a facial mask in people with COPD, using a pooled analysis of IPD and meta‐analysis.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health‐related quality of life (HRQL), exercise capacity (stable COPD) and admission‐free survival (post‐exacerbation COPD). Secondary outcomes for both populations were: lung function, COPD exacerbations and admissions, and all‐cause mortality. For stable COPD, we also reported respiratory muscle strength, dyspnoea and sleep efficiency. Data collection and analysis We used standard methodological procedures expected by Cochrane. After inclusion of a study, we requested the IPD. We analysed continuous and time‐to‐event data using linear‐ and cox‐regression mixed‐effect models with a random effect on study level. We analysed dichotomous IPD using generalised estimating equations. We adjusted all models for age and sex. We assessed changes in outcomes after three and 12 months. We also conducted a meta‐analysis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moderate‐certainty evidence), but there was little to no benefit at 12 months (AMD 0.09 kPa, 95% CI ‐0.23 to 0.42; 3 studies, 171 participants; low‐certainty evidence). The arterial partial pressure of carbon dioxide (PaCO 2 ) was reduced in participants allocated to NIV after three months (AMD ‐0.61 kPa, 95% CI ‐0.77 to ‐0.45; 11 studies, 475 participants; high‐certainty evidence) and persisted up to 12 months (AMD ‐0.42 kPa, 95% CI ‐0.68 to ‐0.16; 4 studies, 232 participants; high‐certainty evidence). Exercise capacity was measured with the 6‐minute walking distance (minimal clinical important difference: 26 m). There was no clinically relevant effect of NIV on exercise capacity ( 3 months: AMD 15.5 m, 95% CI ‐0.8 to 31.7; 8 studies, 330 participants; low‐certainty evidence; 12 months: AMD 26.4 m, 95% CI ‐7.6 to 60.5; 3 studies, 134 participants; very low‐certainty evidence). HRQL was measured with the Severe Respiratory I sufficiency and the St. Georges's Respiratory Questionnaire and may be improved by NIV, but only after three months ( 3 months: standardised mean difference (SMD) 0.39, 95% CI 0.15 to 0.62; 5 studies, 259 participants; very low‐certainty evidence; 12 months: SMD 0.15, 95% CI ‐0.13 to 0.43; 4 studies, 200 participants; very low‐certainty evidence). Lastly, the risk for all‐cause mortality is likely reduced by NIV (adjusted hazard ratio (AHR) 0.75, 95% CI 0.58 to 0.97; 3 studies, 405 participants; moderate‐certainty evidence). In the post‐exacerbation COPD group, there was little to no benefit on the PaO 2 after three months, but there may be a slight decrease after 12 months ( 3 months: AMD ‐0.10 kPa, 95% CI ‐0.65 to 0.45; 3 studies, 234 participants; low‐certainty evidence; 12 months: ‐0.27 kPa, 95% CI ‐0.86 to 0.32, 3 studies; 170 participants; low‐certainty evidence). The PaCO 2 was reduced by NIV at both three months (AMD ‐0.40 kPa, 95% CI ‐0.70 to ‐0.09; 3 studies, 241 participants; moderate‐certainty evidence) and 12 months (AMD ‐0.52 kPa, 95% CI ‐0.87 to ‐0.18; 3 studies, 175 participants; high‐certainty evidence). NIV may have little to no benefit on HRQL ( 3 months: SMD 0.25, 95% CI ‐0.01 to 0.51; 2 studies, 219 participants; very low‐certainty evidence; 12 months: SMD 0.25, 95% ‐0.06 to 0.55; 2 studies, 164 participants; very low‐certainty evidence). Admission‐free survival seems improved with NIV (AHR 0.71, 95% CI 0.54 to 0.94; 2 studies, 317 participants; low‐certainty evidence), but the risk for all‐cause mortality does not seem to improve (AHR 0.97, 95% CI 0.74 to 1.28; 2 studies, 317 participants; low‐certainty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Non‐invasive ventilation (ventilators) used at night by people with chronic obstructive pulmonary disease (COPD) Background: Non‐invasive ventilation (NIV) is a method to assist or replace spontaneous breathing (or normal breathing) with the aid of a machine called a ventilator, using a mask fitted over the nose or both the nose and mouth. NIV can be used chronically (long‐term)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(post‐exacerbation COPD). All studies included men and women. For our analyses, we used data from 778 people with stable COPD and 364 people with post‐exacerbation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</si>
  <si>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J2879</t>
  </si>
  <si>
    <t>Value for money in genitourinary oncology</t>
  </si>
  <si>
    <t>Background: Innovation in the treatment of genitourinary (GU) malignancies is accelerating, however, many of these new treatments are often not available for patients. We sought to investigate patient access, cost and value of new systemic anti-cancer compounds (SACTs) in GU oncology. We compared the US and Europe with a focus on the United Kingdom (UK) and the Republic of Ireland (IRL). Method(s): Data on licensing and reimbursement decisions was collected on SACTs approved for GU oncology between 01/01/2010 to 09/01/2020. Overall survival (OS) benefit, progression free survival (PFS) benefit and cost of therapy were included in our analysis. Result(s): There were 29 regimens/indications approved by the Federal Drug Agency (FDA) for GU malignancies between 2010 and 2020. The majority of these (21/29, 72%) were also approved by the European Medicines Agency (EMA). Nearly all regimens/indications were approved by the FDA prior to the EMA (27/29, 93%), with a median time to EMA approval of 4 months (SD = 6, range -6 to 17). Only a minority of these regimens/indications are reimbursed by the public health systems in the UK (12/29, 41%) and IRL (6/29, 21%). Following EMA approval, public reimbursement of these regimens in the UK and IRL is often delayed with a median time of 8 months (+/- 6.3, range 4 - 21) and 11.5 months (+/- 12.5, range 0 - 33) respectively. Approximately half (15/29, 52%) of all reimbursed regimens/indications have demonstrated an overall survival benefit for patients. Androgen signalling inhibitors (ASIs) are more likely to have a proven OS benefit and had a lower mean cost than non- ASI regimens (See Table). A significant minority of regimens/indications (6/29, 21%) have demonstrated neither an OS or PFS benefit. The median price per month (USA list price) was $15,086 +/- $7,019. Regimens with a proven OS benefit were not more expensive than those without ($14,229 +/- $6,466 versus $16,004 +/- $7,704). There was no significant correlation between the length of OS benefit and the cost of regimens (Pearson's Correlation Coefficient = -2.72, p = 0.445). Conclusion(s): Patients in the UK and IRL experience clinically significant delays in accessing FDA approved regimens in GU oncology. Only 52% of these regimens have a proven OS benefit. In our study, ASI regimens are cheaper and more effective than non-ASI regimens. There is no association between overall survival benefit and list prices in the USA. We need to radically overhaul licensing and funding of SACTs in GU oncology to ensure continued access for patients to effective medicines.</t>
  </si>
  <si>
    <t>J2880</t>
  </si>
  <si>
    <t>Status of primary and secondary mental healthcare of people with severe mental illness: An epidemiological study from the UK PARTNERS2 programme</t>
  </si>
  <si>
    <t>J2881</t>
  </si>
  <si>
    <t>Using electronic patient records to assess the effect of a complex antenatal intervention in a cluster randomised controlled trial-data management experience from the DESiGN Trial team</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</si>
  <si>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 2021, The Author(s).</t>
  </si>
  <si>
    <t>J2882</t>
  </si>
  <si>
    <t>Rituximab for eradicating inhibitors in people with acquired haemophilia A</t>
  </si>
  <si>
    <t>- 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lower‐quality sources of evidence. In a future update of this review, we plan to appraise and incorporate eligible randomised controlled trials, as well as other high‐quality, non‐randomised studies. Plain language summary 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better‐conducted observational studies. This is an update of a previously published Cochrane Review.</t>
  </si>
  <si>
    <t>J2883</t>
  </si>
  <si>
    <t>Local versus general anaesthesia for carotid endarterectomy</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</si>
  <si>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low‐quality evidence). The rate of ipsilateral stroke under both types of anaesthesia was 3.1% (Peto OR 1.03, 95% CI 0.71 to 1.48; P = 0.89; 2 studies, 3733 participants; low‐quality evidence). The incidence of stroke or death in the local anaesthesia group was 3.5%, while stroke or death incidence was 4.1% in the general anaesthesia group (Peto OR 0.85, 95% CI 0.62 to 1.16; P = 0.31; 11 studies, 4391 participants; low‐quality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high‐quality studies are still needed as the evidence is of limited reliability. Plain language summary Is local or general anaesthesia better during surgery to widen the main blood vessel to the brain when it becomes narrowed (carotid endarterectomy)? Key messages ‐ Current evidence does not show any clear difference between local anaesthesia (where the patient remains awake) and general anaesthesia for the risk of stroke, death, or other unwanted effects for people having surgery to widen a narrowed carotid artery (carotid endarterectomy). ‐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 carotid endarterectomy –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 lowers the risk of stroke and death around the time of the operation; ‐ lowers the rate of other unwanted effects; and ‐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</si>
  <si>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J2884</t>
  </si>
  <si>
    <t>Current perspectives on the attainment of lipid modification goals relating to the use of statins and ezetimibe for the prevention of cardiovascular disease in the united kingdom</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</si>
  <si>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 2021 Reynolds et al.</t>
  </si>
  <si>
    <t>J2885</t>
  </si>
  <si>
    <t>Fluid prescribing and administration: Arewe following NHS Fife IV fluid guidance?</t>
  </si>
  <si>
    <t>Background: A programme in NHS Fife, aiming toimprove intravenous (IV) fluid prescription and fluid balance charting, began in 2009 with audits examining fluidprescribing in the Queen Margaret Hospital, Dunfermline.It was led by a consultant anaesthetist, renal physician,ortho-geriatrician, general surgeon and pharmacist, whowere joined in 2014 by the first Fluid Management Nursein NHS Scotland. This is now a permanent post in Fife.The group developed the NHS Fife Guidance for IV Fluidand Electrolyte Prescription in Adults in 2012 and a newcombined fluid prescription and balance chart in 2014which incorporates the main points of the guidance atthe point of care. The guidance follows the NICEGuidelines for IV Fluid Therapy in Adults in Hospital(CG174). The guidance led to a significant reduction inthe use of 0.9% sodium chloride and associated acidosis,an overall reduction in fluid use, standardisation of fluidsstocked within ward areas and a significant cost saving.The focus has been on patient safety, avoiding harmfrom poor fluid prescribing, and a change in culturearound fluids with recognition of their importance inpatient care. NHS Fife's changes are now being spreadacross NHS Scotland in the National IV FluidImprovement Programme.Aims and objectives: These were to establish if theNHS Fife IV Fluid Guidance is being followed by all prescribers, to identify any areas where improvements maybe made and to provide evidence of progress to NHS Fifeand to the national fluid programme. Method(s): An audit tool was devised to capture detailedinformation on fluid prescribing: the reason for the prescription, prescribed rate in ml/hr or 'x hourly', fluid used,use of volumetric pumps, type of giving set used, use ofhourly infusion monitoring charts, recording of weight onthe prescription chart and whether giving sets wereflushed after drug administration.The data were collected over three separate days inAugust 2019 in the medical and surgical wards of theVictoria Hospital. Result(s): A total of 78 infusions were in progress in thewards; 40 were drug infusions and 38 IV fluid infusions.97% of prescriptions followed the guidelines for recommended fluid use and 92% had prescriptions in ml/h asrecommended (essential as both 500 ml and 1000 mlbags are now used).Other findings were that there are too many differentgiving sets in use and that a guide is needed to ensure thecorrect set is used and available, with potential cost savings. There were two outdated versions of the infusionmonitoring chart in use (since updated). Patient weightwas not universally recorded and some drug infusionswere not always adequately flushed through, resulting inunder-dosing of antibiotics in some cases, one byalmost half. Summary: Intravenous fluids were overwhelmingly prescribed according to the guidance, suggesting that it isfirmly embedded into practice in Fife. Continuing education aims to ensure that new prescribers are taught thisapproach and the national programme will gradually leadto a consistent approach to prescribing across Scotland,reducing variability and patient harm, caused by poor fluidmanagement. Any fluid improvement programme mustalso address nursing practice with regard to fluid balanceand administration, and look at practical issues aroundstock control and storage of IV fluids.</t>
  </si>
  <si>
    <t>J2886</t>
  </si>
  <si>
    <t>Run for Your Life: A Systematic Review of Exercise to Reduce Post Treatment Fatigue and Increase Quality of Life in Childhood Cancer Survivors</t>
  </si>
  <si>
    <t>Background and Aims: Fatigue and poor quality of life is increasingly recognised in survivors of childhood cancer. Exercise is encouraged to decrease symptoms and increase quality of life. However the literature regarding this approach is slim. We wanted to provide a robust, evidence based platform to guide health care professionals, childhood cancer survivors and their families, when trying to minimise distressing symptomatology and to generate suggestions for future studies Methods: A systematic review of MedLine, EMBASE, PubMed and SPORTdiscus identifying prospective studies, that employed validated tools, measuring the effect of exercise interventions on fatigue and Quality of Life in survivors of childhood cancer, aged under eighteen at diagnosis. Result(s): Five hundred and fifty five papers were identified, two hundred and fourteen of which were screened following duplicate removal. Forty nine full text articles generated twelve studies of sufficient quality. Five randomised controlled trails were identified, the remainder were prospective observational studies. The largest had two hundred and twenty two participants, the smallest sixty eight. There were a total of six hundred and sixteen subjects and two hundred and sixty eight controls. Age range for intervention: 5-24 years. Statistically significant outcomes for fatigue and/or QoL and an overall positive outcome was seen in five studies. Statistically significant results but overall equivocal outcomes were seen in six studies. A negative outcome was seen in one study. No studies reported a cost/benefit analysis. Conclusion(s): Poor study design, a lack of standardised interventions and poor measurement of outcomes hampers research and the ability to give clear messages to childhood cancer survivors. A mixed methodology approach, employing recognised biomarkers, would define what interventions work well for children at different stages of development. COVID 19 has spurred interest in scientific evaluation of exercise intervention (UK Recovery Trial) and expertise and infrastructure from similar interventions worldwide should be harnessed for childhood cancer survivors.</t>
  </si>
  <si>
    <t>J2887</t>
  </si>
  <si>
    <t>Intravenous thrombolytic treatment and endovascular thrombectomy for ischaemic wake‐up stroke</t>
  </si>
  <si>
    <t>- Background About one in five strokes occur during sleep (wake‐up stroke). People with wake‐up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follow‐up was observed in 66% of participants randomised to thrombolytic treatment and 58% of participants randomised to control (risk ratio (RR) 1.13, 95% confidence interval (CI) 1.01 to 1.26; P = 0.03; 763 participants, 5 RCTs; high‐certainty evidence). Seven per cent of participants randomised to intravenous thrombolytic treatment and 10% of participants randomised to control had died at 90 days follow‐up (RR 0.68, 95% CI 0.43 to 1.07; P = 0.09; 763 participants, 5 RCTs; high‐certainty evidence). Symptomatic intracranial haemorrhage occurred in 3% of participants randomised to intravenous thrombolytic treatment and 1% of participants randomised to control (RR 3.47, 95% CI 0.98 to 12.26; P = 0.05; 754 participants, 4 RCTs; high‐certainty evidence). For endovascular thrombectomy of large vessel occlusion, good functional outcome at 90 days follow‐up was observed in 46% of participants randomised to endovascular thrombectomy and 9% of participants randomised to control (RR 5.12, 95% CI 2.57 to 10.17; P &lt; 0.001; 205 participants, 2 RCTs; high‐certainty evidence). Twenty‐two per cent of participants randomised to endovascular thrombectomy and 33% of participants randomised to control had died at 90 days follow‐up (RR 0.68, 95% CI 0.43 to 1.07; P = 0.10; 205 participants, 2 RCTs; high‐certainty evidence). Authors' conclusions In selected patients with acute ischaemic wake‐up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clot‐dissolving drugs (thrombolysis) or mechanical devices to remove blood clots (thrombectomy) may improve recovery after ischaemic stroke if blood flow is rapidly restored. About one in five strokes occur during sleep (wake‐up stroke). People with wake‐up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wake‐up stroke participants were randomised to intravenous thrombolytic treatment or to control (either placebo (dummy treatment) or standard medical treatment alone). Two trials with 205 wake‐up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</si>
  <si>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J2888</t>
  </si>
  <si>
    <t>Treatment for bleeding oesophageal varices in people with decompensated liver cirrhosis: a network meta‐analysis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</si>
  <si>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meta‐analysis with OpenBUGS software, using Bayesian methods, and calculated the differences in treatments using odds ratios (OR) and rate ratios with 95% credible intervals (CrI) based on an available‐case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follow‐up periods, which ranged from three days to six weeks. Based on moderate‐certainty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health‐related quality of life. Based on low‐certainty evidence, a higher proportion of people receiving balloon tamponade plus sclerotherapy had more serious adverse events than those receiving only sclerotherapy (OR 4.23, 95% CrI 1.22 to 17.80; direct estimate; 1 RCT; 60 participants). Based on moderate‐certainty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moderate‐certainty evidence, somatostatin analogues alone and vasopressin analogues alone (with supportive therapy) probably result in increased mortality, compared to endoscopic sclerotherapy. Based on moderate‐certainty evidence, vasopressin analogues alone and band ligation alone probably result in fewer adverse events compared to endoscopic sclerotherapy. Based on low‐certainty evidence, balloon tamponade plus sclerotherapy may result in large increases in serious adverse events compared to sclerotherapy. Based on low‐certainty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 To find out the best available treatment for bleeding from oesophageal varices (enlarged veins in the oesophagus) in people with advanced scarring of the liver (liver cirrhosis, or late‐stage scarring of the liver with complications). Bleeding from oesophageal varices in people with cirrhosis is a life‐threatening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meta‐analysis'). Date of literature search  17 December 2019 What was studied in the review?  This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non‐serious adverse events (i.e. serious and non‐serious complications), recurrence of bleeding, and development of other complications of advanced liver disease. What were the main results of the review?  The 52 trials included a small number of participants (4580 participants). Forty‐eight trials with 4042 participants provided data for analyses. The follow‐up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 None of the studies were conducted without flaws, and because of this, there is moderate to very high uncertainty in the findings. ‐ Approximately one in six people with cirrhosis and bleeding oesophageal varices who received the standard treatment of sclerotherapy died within six weeks. ‐ Somatostatin analogues alone and vasopressin analogues alone probably result in increased mortality, compared to sclerotherapy. ‐ Vasopressin analogues alone and band ligation alone probably result in fewer adverse events (complications), compared to sclerotherapy. ‐ Balloon tamponade plus sclerotherapy may result in large increase in serious adverse events compared to sclerotherapy. ‐ Sclerotherapy plus somatostatin analogues may result in large decrease in symptomatic rebleed compared to sclerotherapy. ‐ The evidence indicates considerable uncertainty about the effect of the interventions in the remaining comparisons. ‐ None of the trials reported health‐related quality of life. ‐ Future well‐designed randomised clinical trials are needed to find out the best treatment for people with cirrhosis and bleeding oesophageal varices.</t>
  </si>
  <si>
    <t>J2889</t>
  </si>
  <si>
    <t>Tranexamic acid to reduce head injury death in people with traumatic brain injury: The CRASH-3 international RCT</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</si>
  <si>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 2021 Roberts et al.</t>
  </si>
  <si>
    <t>J2890</t>
  </si>
  <si>
    <t>A high-dose 24-hour tranexamic acid infusion for the treatment of significant gastrointestinal bleeding: HALT-IT RCT</t>
  </si>
  <si>
    <t>&lt;b&gt;BACKGROUND&lt;/b&gt;: Tranexamic acid reduces blood loss in surgery and the risk of death in trauma patients. Meta-analyses of small trials suggest that tranexamic acid decreases the number of deaths from gastrointestinal bleeding, but these meta-analyses are prone to selection bias._x000D_
&lt;b&gt;OBJECTIVE&lt;/b&gt;: The trial provides reliable evidence of the effect of tranexamic acid on mortality, rebleeding and complications in significant acute gastrointestinal bleeding._x000D_
&lt;b&gt;DESIGN&lt;/b&gt;: A multicentre, randomised, placebo-controlled trial and economic analysis. Patients were assigned by selecting one treatment pack from a box of eight, which were identical apart from the pack number. Patients, caregivers and outcome assessors were masked to allocation. The main analyses were by intention to treat._x000D_
&lt;b&gt;SETTING&lt;/b&gt;: The setting was 164 hospitals in 15 countries, co-ordinated from the London School of Hygiene &amp; Tropical Medicine._x000D_
&lt;b&gt;PARTICIPANTS&lt;/b&gt;: Adults with significant upper or lower gastrointestinal bleeding (n = 12,009) were eligible if the responsible clinician was substantially uncertain about whether or not to use tranexamic acid. The clinical diagnosis of significant bleeding implied a risk of bleeding to death, including hypotension, tachycardia or signs of shock, or urgent transfusion, endoscopy or surgery._x000D_
&lt;b&gt;INTERVENTION&lt;/b&gt;: Tranexamic acid (a 1-g loading dose over 10 minutes, then a 3-g maintenance dose over 24 hours) or matching placebo._x000D_
&lt;b&gt;MAIN OUTCOME MEASURES&lt;/b&gt;: The primary outcome was death due to bleeding within 5 days of randomisation. Secondary outcomes were all-cause and cause-specific mortality; rebleeding; need for endoscopy, surgery or radiological intervention; blood product transfusion; complications; disability; and days spent in intensive care or a high-dependency unit._x000D_
&lt;b&gt;RESULTS&lt;/b&gt;: A total of 12,009 patients were allocated to receive tranexamic acid (n = 5994, 49.9%) or the matching placebo (n = 6015, 50.1%), of whom 11,952 (99.5%) received the first dose. Death due to bleeding within 5 days of randomisation occurred in 222 (3.7%) patients in the tranexamic acid group and in 226 (3.8%) patients in the placebo group (risk ratio 0.99, 95% confidence interval 0.82 to 1.18). Thromboembolic events occurred in 86 (1.4%) patients in the tranexamic acid group and 72 (1.2%) patients in the placebo group (risk ratio 1.20, 95% confidence interval 0.88 to 1.64). The risk of arterial thromboembolic events (myocardial infarction or stroke) was similar in both groups (0.7% in the tranexamic acid group vs. 0.8% in the placebo group; risk ratio 0.92, 95% confidence interval 0.60 to 1.39), but the risk of venous thromboembolic events (deep-vein thrombosis or pulmonary embolism) was higher in tranexamic acid-treated patients than in placebo-treated patients (0.8% vs. 0.4%; risk ratio 1.85, 95% confidence interval 1.15 to 2.98). Seizures occurred in 38 patients who received tranexamic acid and in 22 patients who received placebo (0.6% vs. 0.4%, respectively; risk ratio 1.73, 95% confidence interval 1.03 to 2.93). In the base-case economic analysis, tranexamic acid was not cost-effective and resulted in slightly poorer health outcomes than no tranexamic acid._x000D_
&lt;b&gt;CONCLUSIONS&lt;/b&gt;: Tranexamic acid did not reduce death from gastrointestinal bleeding and, although inexpensive, it is not cost-effective in adults with acute gastrointestinal bleeding._x000D_
&lt;b&gt;FUTURE WORK&lt;/b&gt;: These results caution against a uniform approach to the management of patients with major haemorrhage and highlight the need for randomised trials targeted at specific pathophysiological processes._x000D_
&lt;b&gt;LIMITATIONS&lt;/b&gt;: Although this is one of the largest randomised trials in gastrointestinal bleeding, we cannot rule out a modest increase or decrease in death due to bleeding with tranexamic acid._x000D_
&lt;b&gt;TRIAL REGISTRATION&lt;/b&gt;: Current Controlled Trials ISRCTN11225767, ClinicalTrials.gov NCT01658124 and EudraCT 2012-003192-19._x000D_
&lt;b&gt;FUNDING&lt;/b&gt;: This project was funded by the National Institute for Health Research (NIHR) Health Technology Assessment programme and will be published in full in Health Technology Assessment; Vol. 25, No. 58. See the NIHR Journals Library website for further project information.</t>
  </si>
  <si>
    <t>J2891</t>
  </si>
  <si>
    <t>Best-BRA (Is subpectoral or prepectoral implant placement best in immediate breast reconstruction?): A protocol for a pilot randomised controlled trial of subpectoral versus prepectoral immediate implant-based breast reconstruction in women following mastectomy</t>
  </si>
  <si>
    <t>Background Implant-based breast reconstruction (IBBR) is the most commonly performed reconstructive procedure following mastectomy. IBBR techniques are evolving rapidly, with mesh-assisted subpectoral reconstruction becoming the standard of care and more recently, prepectoral techniques being introduced. These muscle-sparing techniques may reduce postoperative pain, avoid implant animation and improve cosmetic outcomes and have been widely adopted into practice. Although small observational studies have failed to demonstrate any differences in the clinical or patient-reported outcomes of prepectoral or subpectoral reconstruction, high-quality comparative evidence of clinical or cost-effectiveness is lacking. A well-designed, adequately powered randomised controlled trial (RCT) is needed to compare the techniques, but breast reconstruction RCTs are challenging. We, therefore, aim to undertake an external pilot RCT (Best-BRA) with an embedded QuinteT Recruitment Intervention (QRI) to determine the feasibility of undertaking a trial comparing prepectoral and subpectoral techniques. Methods and analysis Best-BRA is a pragmatic, two-arm, external pilot RCT with an embedded QRI and economic scoping for resource use. Women who require a mastectomy for either breast cancer or risk reduction, elect to have an IBBR and are considered suitable for both prepectoral and subpectoral reconstruction will be recruited and randomised 1:1 between the techniques. The QRI will be implemented in two phases: phase 1, in which sources of recruitment difficulties are rapidly investigated to inform the delivery in phase 2 of tailored interventions to optimise recruitment of patients. Primary outcomes will be (1) recruitment of patients, (2) adherence to trial allocation and (3) outcome completion rates. Outcomes will be reviewed at 12 months to determine the feasibility of a definitive trial. Ethics and dissemination The study has been approved by the National Health Service (NHS) Wales REC 6 (20/WA/0338). Findings will be presented at conferences and in peer-reviewed journals. Trial registration number ISRCTN10081873. Copyright © Author(s) (or their employer(s)) 2021. Re-use permitted under CC BY. Published by BMJ.</t>
  </si>
  <si>
    <t>J2892</t>
  </si>
  <si>
    <t>Video games for people with schizophrenia</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</si>
  <si>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 being both engaging and relatively inexpensive ‐ could provide a much more cost‐effective add‐on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schizophrenia‐like illnesses. Search methods We searched the Cochrane Schizophrenia Group's Study‐Based Register of Trials (March 2017, August 2018, August 2019). Selection criteria Randomised controlled trials focusing on video games for people with schizophrenia or schizophrenia‐like illnesses. Data collection and analysis Review authors extracted data independently. For binary outcomes we calculated risk ratio (RR) with its 95% confidence interval (CI) on an intention‐to‐treat basis. For continuous data we calculated the mean difference (MD) between groups and its CI. We employed a fixed‐effect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effects.  We found no clear difference between non‐exergames and cognitive remediation in general functioning scores (Strauss Carpenter Outcome Scale) (MD 0.42, 95% CI −0.62 to 1.46; participants = 86; studies = 1, very low‐ quality evidence ) or social functioning scores (Specific Levels of Functioning Scale) (MD −3.13, 95% CI ‐40.17 to 33.91; participants = 53; studies = 1, very low‐ quality evidence ). There was a clear difference favouring cognitive remediation for cognitive functioning (improved on at least one domain of MATRICS Consensus Cognitive Battery Test) (RR 0.58, 95% CI 0.34 to 0.99; participants = 42; studies = 1, low‐ quality evidence ). For mental state, Positive and Negative Syndrome Scale (PANSS) overall scores showed no clear difference between treatment groups (MD 0.20, 95% CI −3.89 to 4.28; participants = 269; studies = 4, low‐ quality evidence ). Quality of life ratings (Quality of Life Scale) similarly showed no clear intergroup difference (MD 0.01, 95% CI −0.40 to 0.42; participants = 87; studies = 1, very low‐ quality evidence) . Adverse effects were not reported; we chose leaving the study early as a proxy measure. The attrition rate by end of treatment was similar between treatment groups (RR 0.96, 95% CI 0.87 to 1.06; participants = 395; studies = 5, low‐ quality evidence ).  One small trial compared exergames with standard care, but few outcomes were reported . No clear difference between interventions was seen for cognitive functioning (measured by MATRICS Consensus Cognitive Battery Test) (MD 2.90, 95% CI ‐1.27 to 7.07; participants = 33; studies = 1, low‐ quality evidence) , however a benefit in favour of exergames was found for average change in physical fitness (aerobic fitness) (MD 3.82, 95% CI 1.75 to 5.89; participants = 33; studies = 1, low‐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non‐exergames. Only one of our main outcomes was reported ‐ physical fitness, which was measured by average time taken to walk 3 metres. No clear intergroup difference was identified at six‐week follow‐up (MD −0.50, 95% CI −1.17 to 0.17; participants = 28; studies = 1, very low‐ quality evidence) . No trials reported adverse effects. We chose leaving the study early as a proxy outcome. Authors' conclusions Our results suggest that non‐exergames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 or harm ‐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high‐quality evidence is available. There are ongoing studies that may provide helpful data in the near future. Plain language summary Video games for schizophrenia Review question Are video games an effective treatment (on their own or as an add‐on) for improving the well‐being and functioning of people with schizophrenia or schizoaffective disorder? Background Schizophrenia is a severe mental illness that affects people worldwide. People with schizophrenia often have a distorted view of reality ‐ perceiving things that are not present (hallucinations) and believing things that are not true (delusions). People with schizophrenia may struggle to motivate themselves, experience anxiety and depression, and encounter cognitive symptoms, often struggling to stay focused on day‐to‐day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('non‐exergames'). Non‐exergame trials compared the video game intervention to a form of brain‐training" therapy known as cognitive remediation. One trial compared exergames to standard care, and another compared non‐exergames with exergames. All interventions in the included trials were given in addition to standard care. The currently available evidence suggests that non‐exergames may not be as beneficial for cognitive functioning as cognitive remediation, but there were no other clear differences between non‐exergames and cognitive remediation for improving functioning in people with schizophrenia. The more exercise‐orientated video games may have some benefit compared to standard care for improving physical fitness. We cannot draw any firm conclusions regarding the effects of video games until higher‐quality evidence is available."</t>
  </si>
  <si>
    <t>J2893</t>
  </si>
  <si>
    <t>Virtual patient assessment for hand fracture management: A departmental analysis of financial and clinical implications</t>
  </si>
  <si>
    <t>Introduction: The COVID-19 pandemic demanded reduced face-to-face (FTF) contact. Our department integrated virtual assessment into the incoming referral pathway to enable continuation of high-quality care. This study aimed to assess any potential efficiency benefit of this change in service whilst ensuring no compromise to clinical outcomes. Method(s): A prospective analysis was undertaken of all hand fractures referred virtually during a seven-week period starting at the initiation of national lockdown. Cost analysis using NHS reference costs, inflated to 2019/20 prices, was performed. Clinical performance was assessed using the British Society for Surgery for the Hand (BSSH) Standards for Open and Closed Hand Fractures. Result(s): Seventy-six hand fractures were referred; FTF attendance was avoided in 35 cases, with an estimated per-patient cost saving of 179.16. Of the 33 patients who attended FTF, 13 achieved same day non-operative treatment; 20 underwent operative intervention with 95% compliance to BSSH standards. No complications occurred. Conclusion(s): Our pilot model demonstrates potentially significant cost savings of 6270 over a relatively short period, as well as clinical noninferiority. This supports sustained integration of virtual patient assessment in the 'new normal'. Further work across all disciplines is needed to define acceptable limits of telemedicine and new avenues for potential benefit.</t>
  </si>
  <si>
    <t>J2894</t>
  </si>
  <si>
    <t>Effect of testing for cancer on cancer‐ or venous thromboembolism (VTE)‐related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</si>
  <si>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cancer‐related mortality and morbidity. This is the third update of the review first published in 2015. Objectives To determine whether testing for undiagnosed cancer in people with a first episode of unprovoked VTE (DVT of the lower limb or PE) is effective in reducing cancer‐ or VTE‐related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all‐cause mortality, cancer‐related mortality and VTE‐related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cancer‐related mortality (odds ratio (OR) 0.49, 95% confidence interval (CI) 0.15 to 1.67; 396 participants; 2 studies; low‐certainty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low‐certainty evidence). There was no clear difference in detection of advanced stages between extensive tests versus tests at the physician's discretion: one participant in the extensively tested group had stage T3 compared with four participants in the control group</t>
  </si>
  <si>
    <t>J2895</t>
  </si>
  <si>
    <t>How to save a small fortune! Improving the quality, clinical and cost effectiveness of oral nutritional supplement (ONS) prescribing in NHS Scotland</t>
  </si>
  <si>
    <t>Introduction : In 2016 work began to accelerate transformational change for high quality, clinically and cost-effective patient care and oral nutritional supplement (ONS) prescribing in line with the Scottish Government's Quality Ambitions and Once for Scotland vision. Method(s): Sustained development has been enabled through an inter-professional Short Life Working Group (SLWG) and continued collaboration between the Scottish Dietetic Prescribing Support Group, Dietetic Leadership Network and Effective Prescribing &amp; Therapeutics branch (Scottish Government). Result(s): All 14 NHS Boards in Scotland are progressing with implementing the SLWG's 12 key recommendations, published 2018. Key results: 1. Current data (2019) indicates improvement to the appropriateness of ONS prescribing; annual Scottish % variance ONS volume use (+3.8% 2015-16; -4% 2018-19) and cost (16 million 2015-16; 11 million 2018-19). 2. Standardised ONS prescribing data reporting and analysis is now used by all 14 NHS Boards in Scotland to continually drive improvement 3. Formulary variation is being reduced through Scotland wide Best Practice Guidance for Adult ONS Formulary Development 4. Continuous improvement to unwarranted variation in practice and processes has been driven through findings from structured interviews, e-surveys and a focus group. Scotland wide Guidelines for appropriate prescribing of ONS have been published. A Once for Scotland approach is being taken to patient/public information. There are also recommendations for the development of Best Practice Principles for dietitians and pre and post registration dietetic training. 5. New models of care, including the use of Technology Enabled Care, are currently being trialled in several NHS Boards to create transformational change in dietetic practice in line with NHS Scotland priorities Conclusion(s): Inter-professional working and shared learning has unlocked the potential to support improvement to the quality, clinical and cost-effectiveness of patient care and the development of equitable care pathways and health systems across Scotland - and perhaps beyond!.</t>
  </si>
  <si>
    <t>J2896</t>
  </si>
  <si>
    <t>Dietetics and community pharmacy working together; improving nutritional care for patients prescribed oral nutritional supplements (ONS)</t>
  </si>
  <si>
    <t>A pilot to support ‘New Ways of Working’ for</t>
  </si>
  <si>
    <t>J2897</t>
  </si>
  <si>
    <t>Determinants of Human Papillomavirus Vaccine Uptake by Adult Women Attending Cervical Cancer Screening in 9 European Countries</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</si>
  <si>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 2020 American Journal of Preventive Medicine</t>
  </si>
  <si>
    <t>J2898</t>
  </si>
  <si>
    <t>Ondansetron and metoclopramide as second-line antiemetics in women with nausea and vomiting in pregnancy: the EMPOWER pilot factorial RCT</t>
  </si>
  <si>
    <t>&lt;b&gt;BACKGROUND&lt;/b&gt;: Around one-third of pregnant women suffer from moderate to severe nausea and vomiting, causing physical and emotional distress and reducing their quality of life. There is no cure for nausea and vomiting in pregnancy. Management focuses on relieving symptoms and preventing morbidity, and often requires antiemetic therapy. National guidelines make recommendations about first-, second- and third-line antiemetic therapies, although care varies in different hospitals and women report feeling unsupported, dissatisfied and depressed._x000D_
&lt;b&gt;OBJECTIVES&lt;/b&gt;: To determine whether or not, in addition to intravenous rehydration, ondansetron compared with no ondansetron and metoclopramide compared with no metoclopramide reduced the rate of treatment failure up to 10 days after drug initiation; improved symptom severity at 2, 5 and 10 days after drug initiation; improved quality of life at 10 days after drug initiation; and had an acceptable side effect and safety profile. To estimate the incremental cost per treatment failure avoided and the net monetary benefits from the perspectives of the NHS and women._x000D_
&lt;b&gt;DESIGN&lt;/b&gt;: This was a multicentre, double-dummy, randomised, double-blinded, dummy-controlled 2 x 2 factorial trial (with an internal pilot phase), with qualitative and health economic evaluations._x000D_
&lt;b&gt;PARTICIPANTS&lt;/b&gt;: Thirty-three patients (who were &lt; 17 weeks pregnant and who attended hospital with nausea and vomiting after little or no improvement with first-line antiemetic medication) who attended 12 secondary care NHS trusts in England, 22 health-care professionals and 21 women participated in the qualitative evaluation._x000D_
&lt;b&gt;INTERVENTIONS&lt;/b&gt;: Participants were randomly allocated to one of four treatment groups (1 : 1 : 1: 1 ratio): (1) metoclopramide and dummy ondansetron; (2) ondansetron and dummy metoclopramide; (3) metoclopramide and ondansetron; or (4) double dummy. Trial medication was initially given intravenously and then continued orally once women were able to tolerate oral fluids for a maximum of 10 days of treatment._x000D_
&lt;b&gt;MAIN OUTCOME MEASURES&lt;/b&gt;: The primary end point was the number of participants who experienced treatment failure, which was defined as the need for further treatment because symptoms had worsened between 12 hours and 10 days post treatment. The main economic outcomes were incremental cost per additional successful treatment and incremental net benefit._x000D_
&lt;b&gt;RESULTS&lt;/b&gt;: Of the 592 patients screened, 122 were considered eligible and 33 were recruited into the internal pilot (metoclopramide and dummy ondansetron, n = 8; ondansetron and dummy metoclopramide, n = 8; metoclopramide and ondansetron, n = 8; double dummy, n = 9). Owing to slow recruitment, the trial did not progress beyond the pilot. Fifteen out of 30 evaluable participants experienced treatment failure. No statistical analyses were performed. The main reason for ineligibility was prior treatment with trial drugs, reflecting an unpredicted change in prescribing practice at several points along the care pathway. The qualitative evaluation identified the requirements of the study protocol, in relation to guidelines on anti-sickness drugs, and the diversity of pathways to care as key hurdles to recruitment while the role of research staff was a key enabler. No important adverse events or side effects were reported._x000D_
&lt;b&gt;LIMITATIONS&lt;/b&gt;: The pilot trial failed to achieve the recruitment target owing to unforeseen changes in the provision of care._x000D_
&lt;b&gt;CONCLUSIONS&lt;/b&gt;: The trial was unable to provide evidence to support clinician decisions about the best choice of second-line antiemetic for nausea and vomiting in pregnancy._x000D_
&lt;b&gt;TRIAL REGISTRATION&lt;/b&gt;: Current Controlled Trials ISRCTN16924692 and EudraCT 2017-001651-31._x000D_
&lt;b&gt;FUNDING&lt;/b&gt;: This project was funded by the National Institute for Health Research (NIHR) Health Technology Assessment programme and will be published in full in Health Technology Assessment; Vol. 25, No. 63. See the NIHR Journals Library website for further project information.</t>
  </si>
  <si>
    <t>J2899</t>
  </si>
  <si>
    <t>Primary prevention of variceal bleeding in people with oesophageal varices due to liver cirrhosis: a network meta‐analysis</t>
  </si>
  <si>
    <t>- Background Approximately 40% to 95% of people with cirrhosis have oesophageal varices. About 15% to 20% of oesophageal varices bleed in about one to three years. There are several different treatments to prevent bleeding, including: beta‐blockers,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follow‐up in the trials that reported outcomes ranged from 6 months to 60 months. All but one of the trials were at high risk of bias. The interventions compared included beta‐blockers, no active intervention, variceal band ligation, sclerotherapy, beta‐blockers plus variceal band ligation, beta‐blockers plus nitrates, nitrates, beta‐blockers plus sclerotherapy, and portocaval shunt. Overall, 21.2% of participants who received non‐selective beta‐blockers ('beta‐blockers') − the reference treatment (chosen because this was the most common treatment compared in the trials) − died during 8‐month to 60‐month follow‐up. Based on low‐certainty evidence, beta‐blockers, variceal band ligation, sclerotherapy, and beta‐blockers plus nitrates all had lower mortality versus no active intervention (beta‐blockers: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beta‐blockers plus nitrates: HR 0.41, 95% CrI 0.20 to 0.85; no direct comparison). No trials reported health‐related quality of life. Based on low‐certainty evidence, variceal band ligation had a higher number of serious adverse events (number of events) than beta‐blockers (rate ratio 10.49, 95% CrI 2.83 to 60.64; 1 trial, 168 participants). Based on low‐certainty evidence, beta‐blockers plus nitrates had a higher number of 'any adverse events (number of participants)' than beta‐blockers alone (OR 3.4 , 95% CrI 1.11 to 11.28; 1 trial, 57 participants). Based on low‐certainty evidence, adverse events (number of events) were higher in sclerotherapy than in beta‐blockers (rate ratio 2.49, 95% CrI 1.53 to 4.22; direct comparison rate ratio 2.47, 95% CrI 1.27 to 5.06; 2 trials, 90 participants), and in beta‐blockers plus variceal band ligation than in beta‐blockers (direct comparison rate ratio 1.72, 95% CrI 1.08 to 2.76; 1 trial, 140 participants). Based on low‐certainty evidence, any variceal bleed was lower in beta‐blockers plus variceal band ligation than in beta‐blockers (direct comparison HR 0.21, 95% CrI 0.04 to 0.71; 1 trial, 173 participants). Based on low‐certainty evidence, any variceal bleed was higher in nitrates than beta‐blockers (direct comparison HR 6.40, 95% CrI 1.58 to 47.42; 1 trial, 52 participants). The evidence indicates considerable uncertainty about the effect of the interventions in the remaining comparisons. Authors' conclusions Based on low‐certainty evidence, beta‐blockers, variceal band ligation, sclerotherapy, and beta‐blockers plus nitrates may decrease mortality compared to no intervention in people with high‐risk oesophageal varices in people with cirrhosis and no previous history of bleeding. Based on low‐certainty evidence, variceal band ligation may result in a higher number of serious adverse events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'non‐selective beta‐blockers' or simply 'beta‐blockers'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follow‐up), quality of life, serious and non‐serious side effects, percentage of people who developed bleeding, and development of other complications of advanced liver disease.   What were the main results of the review? The 66 studies included a relatively small number of participants (6653 people). Sixty studies with 6212 participants provided data for analyses. The follow‐up of the trial ranged from six months to five years in studies that reported the outcomes that we were interested in. The review found the following: – Approximately one in five people with cirrhosis and oesophageal varices (without previous bleeding) who receive the beta‐blockers died within five years. – Beta‐blockers, variceal band ligation, sclerotherapy, and beta‐blockers plus nitrates all may result in fewer deaths than no treatment. – Variceal band ligation may result in a higher number of serious side effects than beta‐blockers. – Sclerotherapy, beta‐blockers plus nitrates, and beta‐blockers plus variceal band ligation may result in more side effects (when serious and non‐serious adverse events were put together) than beta‐blockers. – Beta‐blockers plus variceal band ligation may result in fewer people who develop bleeding than beta‐blockers alone based on a single small trial. – Nitrates alone may result in more people who develop bleeding than beta‐blockers alone. – The evidence indicates considerable uncertainty about the effect of the interventions in the remaining comparisons. – None of the trials reported health‐related quality of life. What are our conclusions? Beta‐blockers, variceal band ligation, sclerotherapy, and beta‐blockers plus nitrates may decrease the death rate compared to no treatment in people with high‐risk oesophageal varices in people with cirrhosis and no history of bleeding. Variceal band ligation may result in a higher number of serious side effects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</si>
  <si>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J2900</t>
  </si>
  <si>
    <t>Medical abortion offered in pharmacy versus clinic‐based settings</t>
  </si>
  <si>
    <t>- Background Medical abortion is usually offered in a clinic or hospital, but could potentially be offered in other settings such as pharmacies. In many countries, pharmacies are a common first point of access for women seeking reproductive health information and services. Offering medical abortion through pharmacies is a potential strategy to improve access to abortion. Objectives To compare the effectiveness and safety of medical abortion offered in pharmacy settings with clinic‐based medical abortion. Search methods We searched CENTRAL, MEDLINE, Embase, four other databases, two trials registries and grey literature websites in November 2020. We also handsearched key references and contacted authors to locate unpublished studies or studies not identified in the database searches. Selection criteria We identified studies that compared women receiving the same regimen of medical abortion or post‐abortion care in either a clinic or pharmacy setting. Studies published in any language employing the following designs were included: randomized trials and non‐randomized studies including a comparative group. Data collection and analysis Two review authors independently reviewed both retrieved abstracts and full‐text publications. A third author was consulted in case of disagreement. We intended to use the Cochrane risk of bias tool, RoB 2, for randomized studies and used the ROBINS‐I tool (Risk Of Bias In Non‐randomized Studies of Interventions) to assess risk of bias in non‐randomized studies. GRADE methodology was used to assess the certainty of the evidence. The primary outcomes were completion of abortion without additional intervention, need for blood transfusion, and presence of uterine or systemic infection within 30 days of medical abortion. Main results Our search yielded 2030 records. We assessed a total of 89 full‐text articles for eligibility. One prospective cohort study met our inclusion criteria. The included study collected data on outcomes from 605 women who obtained a medical abortion in Nepal from either a clinic or pharmacy setting. Both sites of care were staffed by the same auxiliary nurse midwives. Over all domains, the risk of bias was judged to be low for our primary outcome. During the pre‐intervention period, the study’s investigators identified a priori appropriate confounders, which were clearly measured and adjusted for in the final analysis. For women who received medical abortion in a pharmacy setting, compared to a clinic setting, there may be little or no difference in complete abortion rates (adjusted risk difference (RD)) 1.5, 95% confidence interval (CI) ‐0.8 to 3.8; 1 study, 600 participants; low certainty evidence). The study reported no cases of blood transfusion, and a composite outcome, comprised mainly of infection complications, showed there may be little or no difference between settings (adjusted RD 0.8, 95% CI ‐1.0 to 2.8; 1 study, 600 participants; very low certainty evidence). The study reported no events for hospital admission for an abortion‐related event or need for surgical intervention, and there may be no difference in women reporting being highly satisfied with the facility where they were seen (38% pharmacy versus 34% clinic, P = 0.87; 1 study, 600 participants; low certainty evidence). Authors' conclusions Conclusions about the effectiveness and safety of pharmacy provision of medical abortion are limited by the lack of comparative studies. One study, judged to provide low certainty evidence, suggests that the effectiveness of medical abortion may not be different between the pharmacy and clinic settings. However, evidence for safety is insufficient to draw any conclusions, and more research on factors contributing to potential differences in quality of care is needed. It is important to note that this study included a care model where a clinician provided services in a pharmacy, not direct provision of care by pharmacists or pharmacy staff. Three ongoing studies are potentially eligible for inclusion in review updates. More re earch is needed because pharmacy provision could expand timely access to medical abortion, especially in settings where clinic services may be more difficult to obtain. Evidence is particularly limited on the patient experience and how the care process and quality of services may differ across different types of settings. Plain language summary Medical abortion offered in pharmacy versus clinic‐based settings Why this review is important Medical abortion is offered routinely in clinics and hospitals, but could be offered in other settings such as pharmacies. In many countries, pharmacies are a first and common point of access for women seeking reproductive health information and services, including abortion. Expanding access to medical abortion through pharmacies is a potential strategy to promote safe abortion care. How did we identify and evaluate the evidence? We searched seven medical research databases for randomized controlled trials, and websites for grey literature (i.e. research produced by organizations outside of the traditional commercial and academic publishing and distribution channels). In addition, we handsearched key references and contacted authors to locate unpublished studies or studies not identified in the database searches. We identified studies that compared women receiving the same medication and dosage for medical abortion or post‐abortion care in either a clinic or pharmacy setting. We included studies published in any language, including the following designs: randomized trials and non‐randomized studies that included a comparison group. We read and evaluated all abstracts and full‐text articles, and rated our confidence in the evidence, based on factors such as study methods and sizes. What did we find? We found 2030 records. We screened the retrieved abstracts, and applied exclusion criteria. We assessed a total of 89 full‐text articles for eligibility. One prospective cohort study met our inclusion criteria. In this study, 605 women in Nepal received medical abortions from the same health care providers (auxiliary nurse midwives) in either a clinic or pharmacy‐based setting. There was no difference in complete abortion rates between the two different abortion settings. We also examined rates of blood transfusion and infection within 30 days of medical abortion. These outcomes were rare and the evidence was limited for drawing conclusions about differences by site. Additional secondary outcomes included hospital admission for an abortion‐related event, additional surgical interventions needed (besides uterine aspiration), and measures of quality of care. No hospital admissions or additional surgical procedures occurred within either group, and information about quality of care was limited. What does this mean? A single non‐randomized study provides us with low certainty that the effectiveness of medical abortion probably does not differ between the pharmacy or clinic setting when the care is provided by the same clinicians. Three ongoing studies are potentially eligible for inclusion in an update of this review. Conclusions about the effectiveness, safety and quality of care of pharmacist provision of medical abortion are limited by the lack of comparative studies. More research is needed because pharmacy provision could expand timely access to medical abortion, especially in settings where clinic services may be more difficult to obtain. How up‐to‐date is this review? The evidence in this Cochrane Review is current to November 2020.</t>
  </si>
  <si>
    <t>J2901</t>
  </si>
  <si>
    <t>Assessing the effect of including social costs in economic evaluations of diabetes-related interventions: A systematic review</t>
  </si>
  <si>
    <t>Background: The economic burden of diabetes from a societal perspective is well docu-mented in the cost-of-illness literature. However, the effect of considering social costs in the results and conclusions of economic evaluations of diabetes-related interventions remains unknown. Objective(s): To investigate whether the inclusion of social costs (productivity losses and/or informal care) might change the results and conclusions of economic evaluations of diabetes-related interventions. Method(s): A systematic review was designed and launched on Medline and the Cost-Effectiveness Analysis Registry from the University of Tufts, from the year 2000 until 2018. Included studies had to fulfil the following criteria: i) being an original study published in a scientific journal, ii) being an economic evaluation of an intervention on diabetes, iii) including social costs, iv) being written in English, v) using quality-adjusted life years as outcome, and vi) separating the results according to the perspective applied. Result(s): From the 691 records identified, 47 studies (6.8%) were selected. Productivity losses were included in 45 of the selected articles (73% used the human capital approach) whereas informal care costs in only 13 (when stated, the opportunity cost method was used in seven studies and the replacement cost in one). The 47 studies resulted in 110 economic evaluation estimations. The inclusion of social costs changed the conclusions in 8 estimations (17%), 6 of them switching from not cost-effective from the healthcare perspective to cost-effective or dominant from the societal per-spective. Considering social costs altered the results from cost-effective to dominant in 9 estimations (19%). Conclusion(s): When social costs are considered, the results and conclusions of economic evaluations performed in diabetes-related interventions can alter. Wide methodological variations have been observed, which limit the comparability of studies and advocate for the inclusion of a wider perspective via the consideration of social costs in economic evaluations and methodological guidelines relating to their estimation and valuation. Copyright © 2021 Rodriguez-Sanchez et al.</t>
  </si>
  <si>
    <t>J2902</t>
  </si>
  <si>
    <t>How the United Kingdom Controls Pharmaceutical Prices and Spending: Learning From Its Experience</t>
  </si>
  <si>
    <t>To control costs and improve access, nations can adopt strategies employed in the United Kingdom to control pharmaceutical prices and spending. Current policy evolved from a system created in 1957 that allowed manufacturers to set launch prices, capped manufacturers' rates of return, and later cut list prices. These policies did not effectively control spending and had limited effects on purchase prices. The United Kingdom currently controls pharmaceutical spending in 4 ways. (a) Since 1999, it has typically paid no more than is cost-effective. (b) Since 2017, for medicines that will have a significant budget impact, National Health Service England seeks discounts from cost-effective prices or seeks to limit access for 2 years to patients with the greatest need. (c) Since 2014, statutes and a voluntary scheme have required branded manufacturers to pay the government rebates to recoup the difference between the global pharmaceutical budget and actual spending. (d) For hospitals, generics and some patented drugs are procured through competitive bidding; community pharmacies are reimbursed through a system that provides an incentive to beat average generic market prices. These policies controlled the growth of spending, with the largest effects following budget controls in 2014. Changes since 2008 have reduced savings, first by paying more than is cost-effective for cancer drugs and then by applying higher cost-effectiveness thresholds for some drugs used to treat cancer and certain other drugs.</t>
  </si>
  <si>
    <t>J2903</t>
  </si>
  <si>
    <t>Is it worth it? Cost-effectiveness analysis of a commercial physical activity app</t>
  </si>
  <si>
    <t>J2904</t>
  </si>
  <si>
    <t>Interventions to enable communication for adult patients requiring an artificial airway with or without mechanical ventilator support</t>
  </si>
  <si>
    <t>- Background Inability to communicate in a manner that can be understood causes extreme distress for people requiring an artificial airway and has implications for care quality and patient safety. Options for aided communication include non‐vocal, speech‐generating, and voice‐enabling aids. Objectives To assess effectiveness of communication aids for people requiring an artificial airway (endotracheal or tracheostomy tube), defined as the proportion of people able to: use a non‐vocal communication aid to communicate at least one symptom, need, or preference; or use a voice‐enabling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quasi‐RCTs, cluster‐RCTs, controlled non‐randomised parallel group, and before‐after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non‐vocal communication aids and three voice‐enabling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non‐vocal aid studies reported our primary outcome. We are uncertain of the effects of early use of a voice‐enabling aid compared to routine use on ability to phonate at least one intelligible word (risk ratio (RR) 3.03, 95% confidence interval (CI) 0.18 to 50.08; 2 studies; very low‐certainty evidence). Compared to usual care without aids, we are uncertain about effects of a non‐vocal aid (communication board) on patient satisfaction (standardised mean difference (SMD) 2.92, 95% CI 1.52 to 4.33; 4 studies; very low‐certainty evidence). No studies of non‐vocal aids reported quality of life. Low‐certainty evidence from two studies suggests early use of a voice‐enabling aid may have no effect on quality of life (MD 2.27, 95% CI –7.21 to 11.75). Conceptual differences in measures of psychological distress precluded data pooling; however, intervention arm participants reported less distress suggesting there might be benefit, but our certainty in the evidence is very low. Low‐certainty evidence suggest voice‐enabling aids have little or no effect on ICU length of stay; we were unable to determine effects of non‐vocal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low‐quality evidence. This means further studies are likely to change our understanding of the effects of communication aids. More studies are needed to understand the effects of communication aids, particularly effects on psychological well‐being and people's ability to communicate.</t>
  </si>
  <si>
    <t>J2905</t>
  </si>
  <si>
    <t>Posterior musculofascial reconstruction in robotic‐assisted laparoscopic prostatectomy for the treatment of clinically localized prostate cancer</t>
  </si>
  <si>
    <t>- Background Delayed recovery of urinary continence is a major adverse effect of robotic‐assisted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recurrence‐free survival (BCRFS). We performed statistical analyses using a random‐effects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prostate‐specific antigen level of 8.15 ng/mL. Primary outcomes Posterior reconstruction RALP (PR‐RALP)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robotic‐assisted laparoscopic prostatectomy, or RALP), how does connecting the tissue behind the urethra (so‐called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</si>
  <si>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J2906</t>
  </si>
  <si>
    <t>A review of emergency models of care for cancer patients</t>
  </si>
  <si>
    <t>Introduction Emergency departments (ED) are considered sub-optimal to satisfy the needs of cancer patients. Various international groups have developed strategies to improve the acute attention of cancer patients. This study aims to review the existing evidence on the effectivity of various innovative models of care for cancer emergency attention. Methods Literature review of seven databases during the period 2000-2019, including articles published in English and Spanish. Results A total of 10 articles were included: four descriptive studies, three quasi-experimental studies, two retrospective studies, and a qualitative study. They described new strategies in common ED clinical pathways or the creation of specialized units for the attention of cancer emergencies. The authors report reductions in the number of admissions, length of hospital stay and, furthermore, cost reductions. A previous triage and telephone attention service is considered key to increase the efficiency of the interventions. The authors reflect the importance of multidisciplinary attention, early integration of palliative care, and effective coordination with community services. Conclusions Enhancing the care of cancer patients who require emergency attention is possible through the creation of specific pathways or dedicated units staffed with professionals who are knowledgeable about cancer complications and treatment secondary effects. Specialized emergency cancer units seem to be a feasible and safe alternative to EDs, preventing overcrowding in the ED and avoiding unnecessary hospital admissions.</t>
  </si>
  <si>
    <t>J2907</t>
  </si>
  <si>
    <t>A Decision Analysis Evaluating Screening for Kidney Cancer Using Focused Renal Ultrasound</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</si>
  <si>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 2019 European Association of Urology</t>
  </si>
  <si>
    <t>J2908</t>
  </si>
  <si>
    <t>An algorithm for differentiating food antigen-related gastrointestinal symptoms</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</si>
  <si>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 2021 Research Institute for Gastroenterology and Liver Diseases. All rights reserved.</t>
  </si>
  <si>
    <t>J2909</t>
  </si>
  <si>
    <t>&lt;b&gt;AIM&lt;/b&gt;: The aim of this clinical audit was to assess patient-reported outcomes on the effect of dietary intervention, to enhance our understanding of possible treatment options in irritable bowel syndrome (IBS)._x000D_
&lt;b&gt;BACKGROUND&lt;/b&gt;: A large number of food-related gastro-intestinal disorders have been attributed to IBS for decades._x000D_
&lt;b&gt;METHODS&lt;/b&gt;: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consultations._x000D_
&lt;b&gt;RESULTS&lt;/b&gt;: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months._x000D_
&lt;b&gt;CONCLUSION&lt;/b&gt;: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t>
  </si>
  <si>
    <t>J2910</t>
  </si>
  <si>
    <t>Expanding the provision of Intensive Outpatient Programmes ADD TO PS 5</t>
  </si>
  <si>
    <t>Intensive day-and home-based treatments are designed to support people diagnosed with severe eating disorders, and those for whom traditional outpatient treatment is not appropriate. They provide increased support compared to traditional outpatient treatment. Unlike inpatient treatment, there is no overnight stay and the patient typically returns home for evenings and weekends. The most common form of intensive outpatient treatment are day treatment programmes (DTPs); these also have the largest evidence-base. However, other models, for example home-based treatments also exist. Day-and home-based treatment programmes typically have the same therapeutic goals and components as inpatient treatment. Treatment goals for both inpatient and intensive day-and home-based treatment programmes tend to include medical stabilisation; weight restoration if needed; the cessation of symptoms such as binge eating and vomiting; the normalisation of eating; therapeutic exploration of underlying factors and the development of coping skills; and the initiation of social and vocational rehabilitation. Intensive outpatient treatment programmes are becoming more common in the treatment of eating disorders. However, a Freedom of Information request in April 2019 found that just a third of UK eating disorder services provide an intensive day-or home-based treatment option which offers the levels of intensity indicated by the evidence as necessary to provide optimum outcomes. Whilst inpatient treatment will always be necessary for the most severe and urgent of cases, it appears that it is being used for a large number of patients who could be treated in the community if appropriate options existed. This is despite intensive day-and home-based treatments having benefits over inpatient treatment. Beat's Recommendations: 1. All NHS commissioners should ensure that evidencebased intensive day-and home-based treatment options are available to meet the needs of all patients with an eating disorder. 2. Eating disorder services should be incentivised to develop and test different models of intensive day-and home-based treatment alongside research to evaluate these, so that the models that deliver the best results can be identified and promoted for adoption nationwide. 3. Investment in new intensive day-and home-based treatment services should be resourced prospectively in recognition of the cost savings which will be achieved from the resulting reduction in inpatient care. 4. Financial savings beyond the costs of setting up and running new intensive services should be re-invested in encouraging and enabling people to seek and start eating disorder treatment at the earliest possible stage in their illness. Why should intensive day- or home-based treatments be considered? Equivalent treatment outcomes Intensive day-and home-based treatments have been found to be effective in the treatment of eating disorders, for both adolescents and adults, with research suggesting that DTPs are at least as effective as inpatient treatment. Hay et al. concluded that there was insufficient evidence for any treatment setting to be viewed as superior in the treatment of eating disorders. Greater treatment acceptability Qualitative accounts of intensive outpatient programmes tend to be positive and highlight that although the treatment is challenging, these models of treatment are helpful and acceptable to patients. When compared to inpatient treatment, experiences tend to refer to the benefits of remaining in the community rather than being on an inpatient unit, for example, being a bit more normal, as well as the increased sustainability around this due to being able to apply the skills they learn to their everyday environment immediately. For example, one patient stated: I much preferred it to being in hospital. It helped me more than being in hospital ever did because as soon as s soon as I came out of hospital I just lost all the weight again. Reduced hospital admissions and/ or length of stay In circumstances where inpatient treatment is needed, intensive day-and ome-based programmes can be utilised to provide a step-down from hospitalisation, thus reducing the length of admission period. In England, inpatient providers with step-down services have been found to have a significantly lower average length of stay. Similarly, intensive day-and home-based treatment can also be used as a step-up from standard outpatient treatment and can avoid the need for an inpatient admission. For example, Serrano et al. found that the year following the introduction of a Spanish DTP for adolescents with eating disorders, the average length of stay for those in inpatient treatment was reduced from 30 days to 21 days, and 70% of patients who participated in the DTP avoided an inpatient admission completely. Lower cost In addition to allowing patients to stay at home or return to their home environment quicker, avoiding or reducing inpatient admission time also has the benefit of reducing the overall cost of treatment. South London and Maudsley NHS Trust report that 87,000 can be saved per young person, for admission to an intensive treatment programme rather than an inpatient unit. These savings are due to a difference in average treatment duration, with fewer days in treatment necessary when the young person attends the intensive treatment programme (38 days compared to 196 days in an inpatient unit). Similarly, Munro and colleagues and demonstrated the potential cost-savings of providing an intensive outpatient treatment programme. Following the expansion of their ANITT service in 2011, the total annual cost of caring for patients with severe anorexia nervosa had fallen from 2008 (prior to service expansion) by 391,656. This was attributed to a reduction in the number and duration of admissions. Increased family empowerment Families commonly feel disempowered when the sufferer is admitted to an inpatient unit, often reporting that they should have been able to prevent it. They also report feelings of anxiety about how they will manage once the sufferer returns home. Traditionally parents may be invited to review meetings or to a weekly family therapy session, however the inpatient unit staff will be the decision makers. Therefore, when the sufferer returns home, carers are ill-equipped to offer the best support. Although inpatient units are shifting towards adopting a more familybased approach, supporting the family to help the sufferer in the community is likely to remain more empowering.</t>
  </si>
  <si>
    <t>J6200</t>
  </si>
  <si>
    <t>High-flow nasal cannula therapy versus continuous positive airway pressure for non-invasive respiratory support in paediatric critical care: the FIRST-ABC RCTs</t>
  </si>
  <si>
    <t>&lt;b&gt;Background&lt;/b&gt;: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therapy._x000D_
&lt;b&gt;Objective&lt;/b&gt;: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invasive)._x000D_
&lt;b&gt;Design&lt;/b&gt;: A master protocol comprising two pragmatic, multicentre, parallel-group, non-inferiority randomised controlled trials (step-up and step-down) with shared infrastructure, including internal pilot and integrated health economic evaluation._x000D_
&lt;b&gt;Setting&lt;/b&gt;: Twenty-five National Health Service paediatric critical care units (paediatric intensive care units and/or high-dependency units) across England, Wales and Scotland._x000D_
&lt;b&gt;Participants&lt;/b&gt;: Critically ill children assessed by the treating clinician to require non-invasive respiratory support for (1) acute illness (step-up randomised controlled trial) or (2) within 72 hours of extubation (step-down randomised controlled trial)._x000D_
&lt;b&gt;Interventions&lt;/b&gt;: High-flow nasal cannula delivered at a flow rate based on patient weight (Intervention) compared to continuous positive airway pressure of 7-8 cm H&lt;sub&gt;2&lt;/sub&gt;O pressure (Control)._x000D_
&lt;b&gt;Main outcome measures&lt;/b&gt;: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days._x000D_
&lt;b&gt;Results&lt;/b&gt;: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8.8)]._x000D_
&lt;b&gt;Limitations&lt;/b&gt;: The interventions were unblinded. A heterogeneous cohort of children with a range of diagnoses and severity of illness were included._x000D_
&lt;b&gt;Conclusions&lt;/b&gt;: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demonstrated._x000D_
&lt;b&gt;Future work&lt;/b&gt;: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trial._x000D_
&lt;b&gt;Study registration&lt;/b&gt;: Current Controlled Trials ISRCTN60048867._x000D_
&lt;b&gt;Funding&lt;/b&gt;: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t>
  </si>
  <si>
    <t>J6201</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</si>
  <si>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 2025 Ramnarayan et al.</t>
  </si>
  <si>
    <t>J6202</t>
  </si>
  <si>
    <t>Data Analytics for Informed Healthcare Leadership Decision Making: A Scoping Review</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</si>
  <si>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 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 Conclusion(s):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 Copyright © 2025, Galore Knowledge Publication Pvt. Ltd.. All rights reserved."</t>
  </si>
  <si>
    <t>J6203</t>
  </si>
  <si>
    <t>Multimodal interventions for cachexia management</t>
  </si>
  <si>
    <t>- Background Cachexia (disease‐related wasting) is a complex metabolic syndrome which occurs in people with chronic illnesses, including cancer, HIV/AIDS, kidney disease, heart disease, and chronic obstructive pulmonary disease (COPD). People with cachexia experience unintentional weight loss, muscle loss, fatigue, loss of appetite, and reduced quality of life. Multimodal interventions which work synergistically to treat the syndrome could lead to benefits. Objectives To assess the benefits and harms of multimodal interventions aimed at alleviating or stabilising cachexia in people with a chronic illness. Search methods We searched CENTRAL, MEDLINE, Embase, PsycINFO, and two trials registers in July 2024, together with reference checking, citation searching, and contact with study authors to identify studies. Selection criteria We included randomised controlled trials (RCTs) in adults with or at risk of cachexia, comparing multimodal interventions combining two or more modalities (of pharmacology, nutrition, exercise) to treatment as usual, variation of the intervention, or unimodal intervention. Data collection and analysis Two review authors independently screened potentially eligible studies, extracted data, and assessed risk of bias (RoB 1). Primary outcomes were physical function, strength, and adverse events. Secondary outcomes were body composition and weight, quality of life (QoL), appetite, fatigue, and biochemical markers. We assessed the certainty of evidence with GRADE. Main results We included nine studies with 926 adults (mean age: 63 years). Study sample sizes ranged from 20 to 332 participants. Six studies were conducted in Europe, and one each in Turkey, New Zealand, and the USA. There were six studies in people with cancer, and one each in people with COPD, chronic kidney disease, and HIV/AIDS. We judged four studies to be at an overall high risk of bias, and five at an overall unclear risk. All outcomes in all comparisons had very low‐certainty evidence, downgraded once for risk of bias and/or indirectness and twice for imprecision. Multimodal intervention (pharmacological, nutritional, and/or exercise) compared to treatment as usual One cancer study randomised 46 participants, with 41 included in all analyses except adverse events. The study assessed outcomes immediately after treatment, lasting six weeks. Compared to treatment as usual, there is no clear evidence for an effect of a multimodal intervention on: physical function (mean difference (MD) −16.10 m, 95% confidence interval (CI) −79.06 to 46.86; 41 participants); strength (MD 3.80 kg, 95% CI −3.21 to 10.81; 41 participants); adverse events (risk ratio (RR) 1.36, 95% CI 0.70 to 2.65; 46 participants); body composition (MD 7.89 cm 2 , 95% CI −10.43 to 26.21; 41 participants); weight (MD 5.89 kg, 95% CI −1.45 to 13.23; 41 participants); appetite (MD 0.68 points, 95% CI −0.60 to 1.96; 41 participants); fatigue (MD 0.12, 95% CI −1.05 to 1.29; 41 participants); and biochemical markers (MD 2%, 95% CI 0.99 to 3.01; 41 participants), but the evidence was very uncertain; QoL was not reported. Multimodal intervention compared to variation of the intervention Three cancer studies and one HIV/AIDS study randomised 192 participants. We could not use the available data, nor obtain additional data, from two studies (one in cancer, one in HIV/AIDS). The studies assessed outcomes immediately after treatment, ranging from three to seven months. Compared to a variation of the intervention, there is no clear evidence for an effect of a multimodal intervention on: physical function (MD 10.0 m, 95% CI −36.27 to 56.27; 1 study, 56 participants); strength (MD 0.7 kg, 95% CI −3.75 to 5.15; 1 study, 56 participants); adverse events (RR 0.87, 95% CI 0.38 to 2.02; P = 0.75, I 2 = 0%; 2 studies, 95 participants); body composition (MD −2.67 kg, 95% CI −5.89 to 0.54; P = 0.10, I 2 = 0%; 2 studies, 95 participants); weight (MD −2.47 kg, 95% CI −7.11 to 2.16; P = 0.30, I 2 = 0%; 2 studies, 95 participants); QoL (standardised me n difference (SMD) −0.15, 95% CI −0.55 to 0.26; P = 0.47, I 2 = 0%; 2 studies, 95 participants); appetite (SMD −0.34, 95% CI −1.27 to 0.59; P = 0.48, I 2 = 79%; 2 studies, 95 participants); fatigue (MD 6.40 points, 95% CI −1.10 to 13.90; 1 study, 56 participants); or biochemical markers (MD 9.80 pg/mL, 95% CI −6.25 to 25.85; P = 0.23, I 2 = 73%; 2 studies, 95 participants), but the evidence is very uncertain. Multimodal intervention compared to unimodal intervention We included six studies (802 participants) in this comparison: three cancer studies, and one each in people with COPD, chronic kidney disease, and HIV/AIDS. The studies assessed outcomes immediately after treatment, ranging from three to seven months. We could not use the available data, nor obtain additional data, from the HIV/AIDS study. Compared to a unimodal intervention, there is no clear evidence for an effect of a multimodal intervention on: physical function (SMD 0.02, 95% CI −0.22 to 0.26; P = 0.86, I 2 = 0%; 2 studies, 348 participants); strength (SMD 0.23, 95% CI −0.81 to 1.27; P = 0.66, I 2 = 0%; 2 studies, 348 participants); adverse events (RR 0.87, 95% CI −0.43 to 1.73; P = 0.68, I 2 = 45%; 2 studies, 395 participants); body composition (SMD 0.11, 95% CI −0.28 to 0.50; P = 0.58, I 2 = 74%; 5 studies, 742 participants); body weight (SMD −0.02, 95% CI −0.38 to 0.33; P = 0.90, I 2 = 49%; 4 studies, 431 participants); QoL (SMD 0.22, 95% CI −0.29 to 0.73; P = 0.39, I 2 = 61%; 3 studies, 411 participants); appetite (SMD −0.09, 95% CI −0.58 to 0.40; P = 0.72, I 2 = 58%; 2 studies, 395 participants); fatigue (MD −6.80 points, 95% CI −12.44 to −1.17; 1 study, 244 participants); and biochemical markers (SMD 0.11, 95% CI −0.59 to 0.80; P = 0.76, I 2 = 79%; 3 studies, 411 participants), but the evidence is very uncertain. Authors' conclusions The review found insufficient evidence to support or refute the use of multimodal interventions in managing cachexia. The certainty of the evidence was very low. Methodologically rigorous, well‐powered RCTs with adequate interaction times are needed to assess the effectiveness of multimodal interventions in managing cachexia across chronic illnesses. Plain language summary What are the benefits and risks of using a combination of treatments to manage cachexia (disease‐related wasting)? Key messages: • We do not know if combinations of two or more treatments (of medication, diet, and exercise) benefit people who have or are at risk of developing cachexia (disease‐related wasting). This is because there are currently not enough robust studies in this area. • We need future research to increase our confidence in the evidence by conducting better designed and larger studies. What is cachexia? Cachexia is a complex metabolic syndrome that occurs in people with long‐term illnesses (known as chronic illnesses), such as cancer, HIV/AIDS, chronic kidney disease, heart disease, and chronic obstructive pulmonary disease (COPD). People who have cachexia may: • lose weight unintentionally; • lose muscle; • feel tired, weak, or both;  • lose their appetite. Cachexia affects well‐being and can be life‐threatening. How is cachexia treated? Studies are investigating how to best manage cachexia with different treatments. These treatments can include medications, diet, and exercise, provided in a single (unimodal) or combined (multimodal) treatment. It is thought that due to the complex biology of cachexia, a combination of treatments may work in a complementary way (synergistically) to help improve the symptoms associated with cachexia and people's well‐being, extend life, or both. What did we want to find out? We wanted to find out if combining at least two treatments (out of diet, exercise, and medication) helped to improve: physical function and strength; muscle loss; weight; well‐being; appetite; fatigue; and biological indicators within the blood (biochemical markers). We also wanted to find out if these interventions were associated with any unwante or harmful (adverse) effects. What did we do? We searched for studies that compared treatment combinations of diet, exercise and/or medication (where at least two treatments were used together) to: different combinations of treatments; a single treatment; or treatment as usual (standard care) in adults with cachexia or at risk of developing cachexia. We compared and summarised the results of the included studies. We rated our confidence in the evidence based on factors such as study methods and the number of people included. What did we find? We found nine studies that included a total of 926 adults, with an average age of 63 years. Just over half of participants (57%) were men. Studies took place around the world, including Europe (six studies), Turkey (one study), New Zealand (one study), and the USA (one study). One study included people with HIV/AIDS (average age 43 years; 35 of 50 people in the study were men); one study included people with COPD (average age 72 years; 20 of 28 people in the study were men); and one study included people with chronic kidney disease (average age 70 years; 11 of 21 in the study were men). Six studies included people with cancer (average age 64 years; 461 of 893 people in the studies were men). The studies lasted six weeks to two years. The studies used combinations of treatments which could have included diet, exercise, and/or medication, where at least two treatments were used together, and compared these to: • treatment as usual (1 study, 46 people); • different combinations of treatments (4 studies, 192 people); • a single treatment (6 studies, 802 people). The studies did not provide enough robust evidence to determine if multimodal interventions are associated with benefits or harms in people with or at risk of cachexia. What are the limitations of the evidence? We are not confident in the evidence because not all the studies provided information about everything that we were interested in. Additionally, the studies used different ways of measuring results, and most of the studies included only small numbers of people. Importantly, future studies may change the conclusions of this review. How current is this review? The evidence is current to June 2024.</t>
  </si>
  <si>
    <t>J6204</t>
  </si>
  <si>
    <t>Application of the Analytical Hierarchy Process in the management of private ambulance care systems in three selected European countries: a strategic decision-making framework</t>
  </si>
  <si>
    <t>Private ambulance services play a vital role in healthcare systems across Europe, supplementing public emergency services and providing essential medical transportation. However, managing these services presents significant challenges, including resource allocation, regulatory compliance, service quality, technological integration, workforce management, and financial sustainability. This study employs the Analytical Hierarchy Process (AHP) as a strategic decision-making tool to optimize the management of private ambulance services in Germany, Spain, and the United Kingdom. To achieve this, data were collected from 20 participants across the three countries (Germany: 7, Spain: 6, United Kingdom: 7), comprising ambulance service administrators, emergency medical personnel, and regulatory experts. A purposive sampling method was used to ensure the inclusion of key stakeholders with direct experience in the sector. Participants completed structured questionnaires involving pairwise comparisons of key decision criteria. Results reveal that Regulatory Compliance is the highest priority across all countries (Germany: 0.25, Spain: 0.22, UK: 0.20), followed by Service Quality, which is particularly emphasized in the UK (0.22) and Germany (0.20). Technological Integration is important in Spain (0.20), reflecting the need for advancements in underserved areas. While Workforce Management and Financial Sustainability rank slightly lower, they remain critical for operational efficiency. The study highlights country-specific challenges and regulatory differences and provides actionable recommendations for optimizing resource allocation, improving service quality, and ensuring compliance. Despite limitations such as potential biases and a narrow geographic focus, the findings offer valuable insights for refining management practices and enhancing the sustainability of private ambulance services across Europe.</t>
  </si>
  <si>
    <t>J6205</t>
  </si>
  <si>
    <t>A Systematic Literature Review of Randomized Trials Comparing In-Person and Digital Interventions for Type 2 Diabetes Prevention</t>
  </si>
  <si>
    <t>Background: Digital and in-person lifestyle interventions to prevent type 2 diabetes (T2DM) are being increasingly implemented in some countries, particularly in the United States. However, their comparative effectiveness remains unclear, partly due to variability in intervention designs and limited robust evidence from randomized controlled trials (RCTs). Understanding their relative impacts is critical for informing evidence-based implementation in diverse healthcare settings. Aim(s): To compare the effectiveness of digital versus in-person interventions for preventing T2DM. Method(s): We conducted a systematic literature review, following Cochrane methodology to identify and synthesize evidence from RCTs. Searches were conducted in EMBASE, MEDLINE, and Cochrane CENTRAL from inception to December 2024, including completed and ongoing trials published in English or Spanish. Studies comparing purely digital and in-person interventions were eligible. Meta-analyses were performed where appropriate, and narrative syntheses were provided for remaining outcomes. The GRADE approach was used to assess the certainty of evidence. Result(s): Eight RCTs met the inclusion criteria, including six completed trials with published results and two ongoing trials. The completed trials encompassed a total of 2,450 participants across various healthcare settings. At 12 months, digital interventions were associated with significantly greater weight loss than in-person interventions (mean difference: -1.38 kg [95% CI: -2.34 to -0.43]), with moderate certainty of evidence. At shorter (3 and 6 months) and longer (&gt;12 months) time points, no relevant differences were observed for weight, body mass index, or glycosylated haemoglobin levels between the modalities, with the certainty of evidence rated as low to very low. Evidence about cost-effectiveness was scarce. No trials evaluated key outcomes such as incidence of T2DM or health-related quality. For adverse events, no significant differences were found between modalities (RR: 1.06 [95% CI: 0.45 to 2.50]). Conclusion(s): This systematic review highlights that while digital and in-person interventions can both be effective for T2DM prevention, their relative benefits depend on follow-up duration and contextual factors. The limited certainty of evidence and the absence of trials addressing critical outcomes, such as T2DM incidence, underscore the need for further well-designed RCTs. Future research should prioritize equivalence in intervention intensity, longer follow-up durations, and standardized reporting of outcomes to better inform public health decision-making. Copyright The copyright holder has placed this preprint in the Public Domain. It is no longer restricted by copyright. Anyone can legally share, reuse, remix, or adapt this material for any purpose without crediting the original authors.</t>
  </si>
  <si>
    <t>J6206</t>
  </si>
  <si>
    <t>Non‐pharmacological and non‐surgical treatments for low back pain in adults: an overview of Cochrane reviews</t>
  </si>
  <si>
    <t>- Background Low back pain (LBP) is a significant public health issue due to its high prevalence and associated disability burden. Clinical practice guidelines recommend non‐pharmacological/non‐surgical interventions for managing pain and function in people with LBP. Objectives To provide accessible, high‐quality evidence on the effects of non‐pharmacological and non‐surgical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non‐pharmacological/non‐surgical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non‐pharmacological/non‐surgical interventions compared to placebo/sham or no treatment/usual care at short‐term (≤ three months) follow‐up. Placebo/sham comparisons Acute/subacute LBP Compared to placebo, there is probably no difference in function (at one‐week follow‐up) for spinal manipulation (standardised mean difference (SMD) ‐0.08, 95% confidence interval (CI) ‐0.37 to 0.21; 2 trials, 205 participants; moderate‐certainty evidence). Data for safety were reported only for heated back wrap. Compared to placebo, heated back wrap may result in skin pinkness (6/128 participants versus 1/130; 2 trials; low‐certainty evidence). Chronic LBP Compared to sham acupuncture, acupuncture probably provides a small improvement in function (SMD ‐0.38, 95% CI ‐0.69 to ‐0.07; 3 trials, 957 participants; moderate‐certainty evidence). Compared to sham traction, there is probably no difference in pain intensity for traction (0 to 100 scale, mean difference (MD) ‐4, 95% CI ‐17.7 to 9.7; 1 trial, 60 participants; moderate‐certainty evidence). Data for safety were reported only for acupuncture. There may be no difference between acupuncture and sham acupuncture for safety outcomes (risk ratio (RR) 0.68, 95% CI 0.42 to 1.10; I 2 = 0%; 4 trials, 465 participants; low‐certainty evidence). No treatment/usual care comparisons Acute/subacute LBP Compared to advice to rest, advice to stay active probably provides a small reduction in pain intensity (SMD ‐0.22, 95% CI ‐0.02 to ‐0.41; 2 trials, 401 participants; moderate‐certainty evidence). Compared to advice to rest, advice to stay active probably provides a small improvement in function (SMD ‐0.29, 95% CI ‐0.09 to ‐0.49; 2 trials, 400 participants; moderate‐certainty evidence). Data for safety were reported only for massage. There may be no difference between massage and usual care for safety (risk difference 0, 95% CI ‐0.07 to 0.07; 1 trial, 51 participants; low‐certainty evidence). Chronic LBP Compared to no treatment, acupuncture probably provides a medium reduction in pain intensity (0 to 100 scale, mean difference (MD) ‐10.1, 95% CI ‐16.8 to ‐3.4; 3 trials, 144 participants; moderate‐certainty evidence), and a small improvement in function (SMD ‐0.39, 95% CI ‐0.72 to ‐0.06; 3 trials, 144 participants; moderate‐certainty evidence). Compared to usual care, acupuncture probably provides a small improvement in function (MD 9.4, 95% CI 6.15 to 12.65; 1 trial, 734 participants; moderate‐certainty evidence). Compared to no treatment/usual care, exercise therapies probably provide a small to medium reduction in pain intens ty (0 to 100 scale, MD ‐15.2, 95% CI ‐18.3 to ‐12.2; 35 trials, 2746 participants; moderate‐certainty evidence), and probably provide a small improvement in function (0 to 100 scale, MD ‐6.8, 95% CI ‐8.3 to ‐5.3; 38 trials, 2942 participants; moderate‐certainty evidence). Compared to usual care, multidisciplinary therapies probably provide a medium reduction in pain intensity (SMD ‐0.55, 95% CI ‐0.83 to ‐0.28; 9 trials, 879 participants; moderate‐certainty evidence), and probably provide a small improvement in function (SMD ‐0.41, 95% CI ‐0.62 to ‐0.19; 9 trials, 939 participants; moderate‐certainty evidence). Compared to no treatment, psychological therapies using operant approaches probably provide a small reduction in pain intensity (SMD ‐0.43, 95% CI ‐0.75 to ‐0.11; 3 trials, 153 participants; moderate‐certainty evidence). Compared to usual care, psychological therapies (including progressive muscle relaxation and behavioural approaches) probably provide a small reduction in pain intensity (0 to 100 scale, MD ‐5.18, 95% CI ‐9.79 to ‐0.57; 2 trials, 330 participants; moderate‐certainty evidence), but there is probably no difference in function (SMD ‐0.2, 95% CI ‐0.41 to 0.02; 2 trials, 330 participants; moderate‐certainty evidence). It is uncertain whether there is a difference between non‐pharmacological/non‐surgical interventions and no treatment/usual care for safety (very low‐certainty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non‐medicine and non‐surgical treatments for non‐specific low back pain? Key messages For acute low back pain (pain lasting less than 6 weeks) • Advice to stay active probably reduces pain and improves function compared to advice to rest in bed. For subacute low back pain (pain lasting from 6 to 12 weeks) • Multidisciplinary therapies probably reduce pain compared to usual care. • Spinal manipulation probably does not improve function compared to placebo (a 'sham' or 'dummy' treatment designed to resemble the actual treatment but lacking active ingredients or the intended therapeutic effect). For chronic low back pain (pain lasting longer than 12 weeks) • Acupuncture probably reduces pain and improves function compared to placebo and no treatment/usual care. • Exercise therapies probably reduce pain and improve function compared to placebo and no treatment/usual care. • Traction probably does not reduce pain compared to sham traction. • Multidisciplinary therapy probably reduces pain and improves function compared to usual care. •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‘non‐specific’ low back pain. Many types of non‐medicine and non‐surgical treatments are available for people with low back pain of different durations: acute (pain lasting less than 6 weeks), subacute (pain lasting from 6 to 12 weeks) and chronic (pain lasting longer than 12 weeks). There is a need to provide accessible, high‐quality information on the benefits and safety of non‐drug and non‐surgical treatments for healthcare professionals and patients to better manage low back pain. What did we want to find out? We wanted to summarise the evidence from Cochrane reviews on the effectiveness and safety of non‐medicine and non‐surgical treatments for adults with non‐specific low back pain. What did we do?  We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non‐medicine and non‐surgical interventions for low back pain. Non‐medicine and non‐surgical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non‐medicine and non‐surgical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one‐third (10 of 31) of the reviews are more than 15 years old, meaning the evidence they contain is even more dated.</t>
  </si>
  <si>
    <t>J6207</t>
  </si>
  <si>
    <t>Economic evaluation of a hospital-initiated tobacco dependence treatment service</t>
  </si>
  <si>
    <t>The treatment of tobacco dependence in patients admitted to hospital is a priority for the National Health Service in England. We conducted an economic analysis of a pilot intervention adapted from the Ottawa Model of Smoking Cessation, implemented in a major teaching hospital in London, England. The cost-per-patient, cost-per-quit and Incremental Cost Effectiveness Ratio were estimated for 673 patients who smoked and who received the intervention after being admitted to one of 11 acute wards between July 2020 and June 2021. Patient-level readmission costs and bed-days from six months after discharge were compared between the intervention group and a group of benchmark patients who smoked and who did not receive the intervention. The total cost of the intervention was 178,105. On the basis of 104 patients who reported not smoking at six months, the cost-per-quit was 1712.55. Among 611 patients who were successfully matched to a benchmark cohort, re-admissions for patients in the intervention group cost 492k less than their benchmark equivalents over 21 months from January 2021 to September 2022 (266k vs 758k), incurred 414 fewer bed days (303 vs 717), and re-admitted at a lower rate (5% vs 11%). Lower readmission rates and costs were associated with the intervention regardless of patient smoking status at six months, except among those who had opted out. A pilot tobacco dependence treatment intervention implemented in an acute hospital setting in London demonstrated value for money through reduced readmission rates and costs among all patients who received it. Copyright The copyright holder for this preprint is the author/funder, who has granted medRxiv a license to display the preprint in perpetuity. It is made available under a CC-BY 4.0 International license.</t>
  </si>
  <si>
    <t>J6208</t>
  </si>
  <si>
    <t>The effect of displaying laboratory test prices on physicians' ordering behaviour: a systematic review of European studies</t>
  </si>
  <si>
    <t>Objective: As European healthcare systems struggle with increasing workload and sustainability issues, it is estimated that 20% of their production is ineffective. One potential strategy to reduce this excess is by minimizing the use of unnecessary laboratory tests. The aim of this review was to investigate the effect of presenting physicians in Europe with the cost of laboratory tests at the time of ordering on the quantities and expense of laboratory tests as well as to identify knowledge gaps on this matter. Method(s): Following PRISMA guidelines, a systematic search in PubMed and EMBASE was conducted in February 2025. Studies were included if written in English and conducted in Europe. There were no restrictions on year of publication. Study quality was evaluated using a modified Downs and Black checklist. Result(s): Of the 2185 publications identified, five met the inclusion criteria. All included studies were published 2002-2021 and found a reduction in order cost and/or volume of laboratory test, following price display (four with statistically significant results). The reduction in order costs were greater than the reduction in order volume. Additionally, the impact of price display diminished over time as the intervention period continued. None of the studies included patient safety measures. Conclusion(s): Price display is a simple yet potentially impactful intervention as it is likely to reduce both the cost and volume of tests, thereby decreasing the workload and enhancing the sustainability of the healthcare systems. Further high-quality studies are needed to determine if price display is a patient-safe intervention. Copyright © The Author(s) 2025.</t>
  </si>
  <si>
    <t>J6209</t>
  </si>
  <si>
    <t>Tranexamic acid for preventing postpartum haemorrhage after vaginal birth</t>
  </si>
  <si>
    <t>- Rationale Postpartum haemorrhage (PPH) is common and potentially life‐threatening.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cost‐effectiveness and safety of prophylactic TXA is required before considering widespread use. This review updates one published in 2015. Objectives To assess the effects of TXA for preventing PPH compared to placebo or no treatment (with or without uterotonic co‐treatment)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 500 mL and blood loss ≥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random‐effects meta‐analysis to combine data. We assessed the certainty of the evidence using GRADE. Included studies We included three RCTs with 18,974 participants in total. The trials were conducted in both high‐ and low‐resource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 500 mL (risk ratio (RR) 0.93, 95% confidence interval (CI) 0.81 to 1.06; 2 studies, 18,897 participants; 5 fewer per 1000, 95% CI 15 fewer to 5 more; high‐certainty evidence). TXA likely results in little to no difference in blood loss ≥ 1000 mL (RR 0.86, 95% CI 0.69 to 1.07; 2 studies, 18,897 participants; 3 fewer per 1000, 95% CI 6 fewer to 1 more; moderate‐certainty evidence). TXA likely results in little to no difference in severe morbidity (RR 0.88, 95% CI 0.69 to 1.12; 1 study, 15,066 participants; 2 fewer per 1000, 95% CI 6 fewer to 2 more; moderate‐certainty evidence). TXA results in little to no difference in receipt of blood transfusion (RR 1.00, 95% CI 0.95 to 1.06; 3 studies, 18,972 participants; 0 fewer per 1000, 95% CI 10 fewer to 12 more; high‐certainty evidence). TXA may result in little to no difference in receipt of additional surgical interventions to control PPH (RR 0.63, 95% CI 0.32 to 1.23; 2 studies, 18,972 participants; 1 fewer per 1000, 95% CI 2 fewer to 1 more; low‐certainty evidence). In women with anaemia, TXA results in little to no difference in receipt of additional uterotonics (RR 1.02, 95% CI 0.94 to 1.10; 1 study, 15,066 participants; 3 more women per 1000, 95% CI 8 fewer to 24 more; high‐certainty evidence). In women with no anaemia, TXA results in a slight reduction in receipt of additional uterotonics (RR 0.75, 95% CI 0.61 to 0.92; 1 study, 3891 participants; 24 fewer women per 1000, 95% CI 38 fewer to 8 fewer; high‐certainty evidence). TXA likely r sults in little to no difference in maternal satisfaction. The evidence is very uncertain about the effect of TXA on maternal death, thromboembolic events, and hysterectomy (very low‐certainty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 500 mL and likely makes little to no difference to blood loss ≥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10.1002/14651858.CD007872 Original review (2010) DOI: 10.1002/14651858.CD007872.pub2 Review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 and low‐resource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</si>
  <si>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J6210</t>
  </si>
  <si>
    <t>Understanding the impact of vitamin D supplement formulation, quality and provision to older adults in UK residential care homes</t>
  </si>
  <si>
    <t>Supplying vitamin D supplements to all older adults is beneficial and cost-effective. However, operationalising this supply to residents in long-term care is problematic. This study aimed to understand the challenges of vitamin D supplement provision by auditing the extent of supplementation, measuring the quality of the supplements and investigating the attitudes towards supplement provision in UK care homes. This case study investigated the supply of vitamin D supplement formulations in four UK care homes and analysed the vitamin D content of nine formulation types. It employed semi-structured interviews with care home stakeholders to understand attitudes toward vitamin D supply. Across the nine analysed products, there was &gt;50% variability in their quality (75-137% of the label), but 44% of supplements were of medicinal grade. One tablet from a food-grade product contained 167% vitamin D, and one medicinal-grade tablet only contained 70% vitamin D. Interviews with care home staff highlighted four challenges to providing supplements: the perceived responsibility of healthcare professionals to supplement, difficulties obtaining prescription medications, the absence of national/local strategies, and the financial burden. This study demonstrated sub-optimal vitamin D supplement supply to care home residents, with staff unclear about who was responsible for choosing the correct type of vitamin D supplement, who paid for it, and who was to supply it. This study suggests a new approach to delivering vitamin D supplements to older adults is needed.</t>
  </si>
  <si>
    <t>J6211</t>
  </si>
  <si>
    <t>Clinical pathways for secondary care and the effects on professional practice, patient outcomes, length of stay and hospital costs</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</si>
  <si>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non‐randomized trials, controlled before‐after (CBA) studies, and interrupted time‐series (ITS) studies comparing (1) stand‐alone clinical pathways with usual care, and (2) clinical pathways as part of a multifaceted intervention with usual care. Data collection and analysis Two authors independently screened all titles, abstracts and full‐text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evidence‐based implementation process. Main results The update provided 31 additional studies for a total of 58 included studies (24,841 patients and 2027 healthcare professionals). Forty‐one (71%) were randomized trials, four (7%) non‐randomized trials, four (7%) CBA studies and nine (16%) ITS studies. Forty‐nine studies compared stand‐alone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Stand‐alone clinical pathway interventions It is uncertain whether stand‐alone CPWs reduce inhospital mortality (13% v 16%: OR 0.79, 95% CI 0.53 to 1.20; P = 0.27; I² = 65%; 7 randomized trials; n = 4603; low‐certainty evidence due to serious imprecision and inconsistency) or mortality (up to 6 months) (4% v 3%: OR 1.37, 95% CI 0.72 to 2.60; P = 0.34; I² = 20%; 3 randomized trials, n = 805; low‐certainty evidence due to serious risk of bias and imprecision). Stand‐alone CPWs likely reduce inhospital complications (10% v 17%: OR 0.57, 95% CI 0.41 to 0.80; P = 0.001; I² = 52%; 11 randomized trials, n = 3668; moderate‐certainty evidence due to serious risk of bias). It is very uncertain whether stand‐alone CPWs reduce hospital readmissions (up to 6 months) (9% v 13%: OR 0.67, 95% CI 0.44 to 1.03; P = 0.07; I² = 11%; 9 randomized trials, n = 1578; very low‐certainty evidence due to serious risk of bias and very serious imprecision). Stand‐alone CPWs likely reduce the length of hospital stay compared to usual care (MD ‐1.12 days, 95% CI ‐1.60 to ‐0.65; P &lt; 0.00001; I² = 64%; 21 studies; n = 5201; moderate‐certainty evidence due to serious inconsistency). Costs and charges were generally lower in CPWs as indicated by negative MDs in nine studies (10 studies, n = 2113, data not pooled; very low‐certainty evidence due to serious indirectness and very serious inconsistency). Stand‐alone CPWs may slightly increase adherence to recommended practice compared with usual care (3 randomized studies, n = 573; data not pooled; low‐certainty evidence due to serious risk of bias and serious inconsistency). Multifaceted clinical pathway interventions It is uncertain whether multifaceted CPWs reduce inhospital mor ality (2 randomized studies, n = 6304, data not pooled; low‐certainty evidence due to very serious inconsistency). Multifaceted CPWs may make little or no difference to mortality (up to 6 months) (9% v 8%: OR 1.05, 95% CI 0.88 to 1.25; P = 0.61; I² = 0%; 3 randomized studies; n = 6531; low‐certainty evidence due to serious imprecision and serious risk of bias). It is uncertain whether multifaceted CPWs reduce inhospital complications (9% v 23%: OR 0.32, 95% CI 0.12 to 0.87; 1 study, n = 140; low‐certainty evidence due to very serious imprecision). It is uncertain whether multifaceted CPWs reduce hospital readmission (up to 6 months) (2 randomized studies, n =1569, data not pooled; low‐certainty evidence due to very serious inconsistency), or length of stay (4 randomized studies, n = 1936, data not pooled; low‐certainty evidence due to very serious inconsistency), or hospital costs and charges (4 randomized studies, n = 2015, data not pooled; very low‐certainty evidence due to very serious imprecision and serious indirectness in outcome measures). It is uncertain whether multifaceted CPWs increase adherence to recommended practice (2 randomized studies, n = 6304, data not pooled, low‐certainty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extended‐stay facilities (10%). The most common clinical conditions were asthma (16%), stroke (10%), mechanical ventilation (9%) and myocardial infarction (7%). Authors' conclusions Stand‐alone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high‐quality studies that report on implementation strategies used during the pathway development and implementation. What was studied in the review? Decision‐making in hospitals h s evolved from being opinion‐based to being based on sound scientific evidence (i.e. evidence‐based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cluster‐randomized studies, non‐randomized studies, controlled before‐after studies (CBA), and interrupted time‐series studies (ITS). In individual randomized trials, study participants were allocated to the CPW or usual care group by chance, called random allocation. Cluster‐randomized trials divided all study participants into smaller groups known as clusters. These clusters were then allocated by chance to the CPW or usual care group. For non‐randomized trials, participants were allocated to different groups by investigators in a quasi‐random fashion. Quasi‐random allocation means that study participants were allocated to the CPW or usual care group based on criteria such as their date of birth or the day of the week. CBA studies are experimental studies without a random or quasi‐random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stand‐alone clinical pathway has any effect on in‐hospital mortality and mortality (up to 6 months) (low certainty). Stand‐alone CPWs are likely to reduce inhospital complications (moderate certainty) but it is very uncertain if they make any difference to hospital readmissions (up to 6 months) (very low certainty). Stand‐alone CPWs are likely to reduce length of hospital stay (moderate certainty). Costs and charges were generally lower in CPWs in nine out of ten studies included in this comparison (very low certainty). Stand‐alone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up‐to‐date is this review? This review update searched for new studies up to July 26, 2024.</t>
  </si>
  <si>
    <t>J6212</t>
  </si>
  <si>
    <t>Cost-effectiveness of BOOST online intervention for supported self-management of pain, fatigue and bowel incontinence in Inflammatory Bowel Disease</t>
  </si>
  <si>
    <t>Background: People with IBD often experience symptoms of abdominal pain, fatigue and bowel incontinence that affect substantially their daily lives1 . IBD-BOOST is the first randomised controlled trial (RCT) assessing the effectiveness of an online self-management intervention, BOOST, in managing these symptoms in IBD2 . We report the cost-effectiveness of BOOST intervention compared to care as usual for people with IBD. Method(s): A cost-utility analysis was conducted alongside the pragmatic IBD-BOOST RCT of 780 patients requesting help for pain, fatigue or incontinence symptoms (mean age 49 years, 67% women, 55% with Crohn's disease)3 . The BOOST intervention costs and costs from patient-reported health service use, out-of-pocket expenses and time off work were calculated for each participant over the 12 months of follow-up. Qualityadjusted life-years (QALYs) over the 12 months were evaluated using the EQ-5D-5L questionnaires administered to participants at baseline, 6- and 12-months. Missing data (13% at 6 months and 38% at 12 months across the trial arms) was imputed using multiple imputation. Differences in total costs and QALYs between study arms were estimated using mixed effects models adjusting for pre-specified baseline factors. Incremental cost effectiveness ratios (ICERs) and net monetary benefit from UK healthcare and societal perspectives are reported. Result(s): At recruitment, study participants reported quality of life (EQ-5D utility) of 0.73 (SD 0.22) and overall IBD-related costs of 2321 (SD 3170) over the previous 3 months with cost of biologics accounting for 47% of these costs, followed by hospital outpatient services (22%) and work productivity loss costs (14%) (Figure 1). After missing data imputation and controlling for covariates, the BOOST intervention (151 per participant) was estimated to have led to health care cost savings of 746 (SE 356), other costs savings of 89 (SE 236) and incremental QALYs of 0.017 (SE 0.007) over the one-year follow-up per participant resulting in cost savings per QALY gained of 34,599 from the health services perspective and 39,745 from the societal perspective. The probability that the BOOST intervention was cost effective when compared with usual care was above 98% for willingness-to-pay thresholds of 20,000 to 30,000 from both health services and societal perspectives (Figure 2). Conclusion(s): Our findings indicate that the BOOST intervention for supported self-management of symptoms of pain, fatigue and bowel incontinence in people with IBD is cost-effective. (Figure Presented).</t>
  </si>
  <si>
    <t>J6213</t>
  </si>
  <si>
    <t>Can home-exercise programmes delivered via a handout format result in sufficient adherence among patients with musculoskeletal conditions/injuries? A systematic review</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</si>
  <si>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 2025</t>
  </si>
  <si>
    <t>J6214</t>
  </si>
  <si>
    <t>Comparing remote and in-person interpretation experiences for clinicians and Spanish-speaking patients with limited English proficiency: A mixed methods study</t>
  </si>
  <si>
    <t>Objective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 Design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 Setting Three CHC organisations in California, USA. Intervention Remote versus in-person medical interpretation. Primary outcomes Patients' and clinicians' experiences of using in-person versus remote professional medical interpretation. Results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 Conclusions To meet the operational needs of CHCs, policymakers and healthcare payers should consider expanding payment models that enable the provision of interpreter services using multiple methods. Copyright © Author(s) (or their employer(s)) 2025.</t>
  </si>
  <si>
    <t>J6215</t>
  </si>
  <si>
    <t>Comparing remote and in-person interpretation experiences for clinicians and Spanish-speaking patients with limited English proficiency: a mixed methods study</t>
  </si>
  <si>
    <t>&lt;b&gt;OBJECTIVE&lt;/b&gt;: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clinicians._x000D_
&lt;b&gt;DESIGN&lt;/b&gt;: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support._x000D_
&lt;b&gt;SETTING&lt;/b&gt;: Three CHC organisations in California, USA._x000D_
&lt;b&gt;INTERVENTION&lt;/b&gt;: Remote versus in-person medical interpretation._x000D_
&lt;b&gt;PRIMARY OUTCOMES&lt;/b&gt;: Patients' and clinicians' experiences of using in-person versus remote professional medical interpretation._x000D_
&lt;b&gt;RESULTS&lt;/b&gt;: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interpretation._x000D_
&lt;b&gt;CONCLUSIONS&lt;/b&gt;: To meet the operational needs of CHCs, policymakers and healthcare payers should consider expanding payment models that enable the provision of interpreter services using multiple methods.</t>
  </si>
  <si>
    <t>J6216</t>
  </si>
  <si>
    <t>Early discharge with home support of gavage feeding for stable preterm infants who have not established full oral feeds</t>
  </si>
  <si>
    <t>- Rationale Many preterm infants otherwise ready for discharge remain hospitalised while they transition from gavage to full sucking feeds. Early discharge of stable preterm infants still requiring gavage feeds may have some benefits: it could reduce separation of parents and infants and reduce costs to the healthcare system and families compared with discharge home when on full sucking feeds. Potential disadvantages of early discharge include increased care burden for the family and the risk of complications related to gavage feeding. This is an update of a review first published in 2003 and last updated in 2015. Objectives To assess the effectiveness and safety of early discharge with home support of gavage feeding for stable preterm infants who have not established full oral feeds compared with later discharge when full sucking feeds have been established. Search methods We searched CENTRAL, MEDLINE, Embase, CINAHL, and trial registries up to May 2024. We checked the reference lists of included studies and relevant systematic reviews. Eligibility criteria We included randomised controlled trials (RCTs) and quasi‐RCTs that enroled infants born before 37 weeks who required no intravenous nutrition at the time of discharge. The comparison of interest was early discharge home with gavage feeds and healthcare support versus later discharge home after attainment of full sucking feeds. Outcomes Critical outcomes were time to reach full sucking feeds, weight gain at latest time point measured, and breastfeeding on discharge from home support or hospital. Important outcomes included infection up to discharge (e.g. respiratory infections, use of intravenous antibiotics), breastfeeding at three months after discharge, rehospitalisation up to 12 months after discharge, and composite neurodevelopmental outcome at 12 months or later. Risk of bias Two review authors independently screened and selected trials, extracted data, and assessed the risk of bias using the Cochrane risk of bias tool RoB 1. Synthesis methods We presented dichotomous data as summary risk ratios (RRs) with 95% confidence intervals (CIs), and continuous data as mean differences (MDs) with 95% CIs. We used the GRADE approach to assess the certainty of the evidence. Included studies There were no new studies available for inclusion in this update. As in the original review, we included one quasi‐RCT (88 infants, 75 families) evaluating early discharge with home support of gavage feeding (early discharge with support) versus later discharge on full sucking feeds (later discharge) in physiologically stable preterm infants born before 37 weeks' gestation with an anticipated need for special care for at least one additional week. The study was conducted in Sweden in the 1990s. Synthesis of results Critical outcomes Time to reach full sucking feeds was not reported. Early discharge with support compared with later discharge may have little or no effect on daily weight gain from trial entry to discharge from home support or hospital, but the evidence is very uncertain (MD −1.10 g/day, 95% CI −3.94 to 1.74; 88 infants). Early discharge with support compared with later discharge may have little or no effect on the risk of stopping any breastfeeding (RR 0.50, 95% CI 0.10 to 2.58; 82 infants) and stopping fully breastfeeding (RR 1.30, 95% CI 0.64 to 2.62; 82 infants) on discharge from home support or hospital, but the evidence is very uncertain. Important outcomes Early discharge with support compared with later discharge may reduce the risk of respiratory infections (RR 0.36, 95% CI 0.15 to 0.83; 88 infants) and may have little or no effect on intravenous antibiotic use (RR 0.19, 95% CI 0.01 to 3.87; 88 infants) up to discharge from home support or hospital, but the evidence for both outcomes is very uncertain. Early discharge with support compared with later discharge may have little or no effect on the risk of stopping any breastfeeding (RR 1.60, 95% CI 0.57 to 4.48; 82 infants) or fully breastfeeding (RR 1.33, 95% CI 0.51 to 3.50; 82 infants) at hree months after discharge from home support or hospital, but the evidence is very uncertain. Early discharge with support compared with later discharge may have little or no effect on the need for rehospitalisation during the 12 months after discharge from home support or hospital, but the evidence is very uncertain (RR 1.09, 95% CI 0.54 to 2.18; 82 infants). The included study did not report a composite neurodevelopmental outcome at 12 months or later. Certainty of the evidence We rated the certainty of the evidence as very low for all outcomes due to risk of bias concerns and the imprecision of effect estimates from this small study. Authors' conclusions The currently available evidence, from one small quasi‐RCT conducted in the 1990s, indicates early discharge with home support of gavage feeding compared with later discharge on full sucking feeds may result in little to no difference in weight gain up to discharge from home support/hospital, breastfeeding at discharge and at three months, and rehospitalisation up to 12 months. Early discharge with support versus later discharge may reduce the risk of respiratory infections but result in little to no difference in intravenous antibiotic use up to discharge from home support/hospital. The evidence for all outcomes is very uncertain. There is a need for high‐quality RCTs to determine the benefits and harms of early discharge with home support for stable preterm infants in diverse settings and populations. The two ongoing studies (one completed but unpublished, the other with an unclear status) may contribute to addressing some of these gaps. Funding The review authors received no specific grant from any funding agency in the public, commercial, or not‐for‐profit sectors for their work on this review update. Registration The 2003 and 2015 versions are available via 10.1002/14651858.CD003743 and 10.1002/14651858.CD003743.pub2. Plain language summary What are the benefits and risks of early discharge with home support of tube feeding for stable preterm babies who have not established full breast or bottle (all suck) feeds? Key messages For stable preterm babies (born before 37 weeks of pregnancy) who are not yet having all feeds at the breast or bottle (all suck or oral feeds), we found very uncertain evidence that early discharge with home support of gavage (tube) feeding versus later discharge when they are fully suck feeding: may result in little to no difference in weight gain, breastfeeding at discharge from home support/hospital and three months later, and the need to be readmitted to hospital up to 12 months later; and may reduce the risk of respiratory infections up to discharge from home support/hospital, but may result in little to no difference in the use of antibiotics given directly into a vein. Larger studies with high‐quality methods are needed to determine the benefits and harms of this approach, including in diverse settings and populations. Why might early discharge with home support of gavage feeding be important? Babies born preterm (before 37 weeks of pregnancy) often need help to establish feeding, and are fed initially via a tube passed through the nose or mouth and into the stomach (known as gavage feeding). Discharge from hospital usually occurs when they no longer need gavage feeds and are on full sucking feeds and gaining weight appropriately. Early discharge of babies who are stable but still need gavage feeds might unite families sooner and have positive effects on parent‐infant attachment, parent well‐being, and infant development. These babies may graduate to full sucking feeds at home if the family receives some support. In addition, early discharge might reduce costs for families and the healthcare system. However, this approach may present a burden for the family and increase complications during the transition from tube feeding. What did we want to find out? We wanted to find out if early discharge with home support of gavage feeding is better than later discharge on full sucking feeds for stable preterm babies. We were int rested in the effects of early discharge with support on: how long it takes for babies to reach full sucking feeds; how much weight babies gain; breastfeeding on discharge from home support/hospital and three months later; infection up to discharge from home support/hospital; development at 12 months or later; and need for readmission to hospital up to 12 months after discharge from home support/hospital. What did we do? We searched for studies that looked at the benefits and harms of early discharge with home support of gavage feeding for stable preterm babies and their families compared with later discharge on full sucking feeds. We summarised the results and rated our confidence in the evidence based on factors such as study methods and size. What did we find? We found only one study conducted in Sweden from 1992 to 1994 and involving 88 babies from 75 families. The study looked at early discharge with home support of gavage feeding compared with later discharge on full sucking feeds for babies born preterm who were expected to need additional care for at least another week. For different results, information was available for 82 to 88 of the babies from this study. Compared with later discharge on full sucking feeds, early discharge with home support of gavage feeding may have little or no effect on: weight gain for babies (average per day from study entry to discharge from home support/hospital); stopping any breastfeeding and fully breastfeeding at discharge from home support/hospital and three months later; the use of antibiotics given directly into a vein; and the need for readmission to hospital up to 12 months after discharge from home support/hospital. Early discharge with support versus later discharge may reduce the risk of respiratory infections (diagnosed based on symptoms, not laboratory tests) for babies up to discharge from home support/hospital. The study did not examine the time taken for babies to reach full sucking feeds or development at 12 months or later. We found two other studies that might be included in a future update of this review. One study is finished but not yet published. We do not know whether the other study is completed because the study authors have yet to reply to our request for information. What are the limitations of the evidence? We are not confident in the evidence because it is based on a single study that included few infants, because the method for assigning babies to one group or the other was not truly random, and because the families and clinicians knew which group the babies had been assigned to. The results of further research could differ from and change the results of this review. How up‐to‐date is this evidence? This review updates our previous 2015 review. The evidence is current to 30 May 2024.</t>
  </si>
  <si>
    <t>J6217</t>
  </si>
  <si>
    <t>Genetic liability to psoriasis predicts severe disease outcomes</t>
  </si>
  <si>
    <t>Background Psoriasis is a common inflammatory skin disease with heterogeneous presentation. Up to 30% of individuals have severe disease with a greater surface area of skin involvement, comorbidity burden and impact on quality of life. Prognostic biomarkers of psoriasis severity could improve allocation of clinical resources and enable earlier intervention to prevent disease progression, and a genetic biomarker would be cost-effective, stable over time, and unaffected by treatment or comorbidity. Methods Psoriasis severity was studied in four European population-based biobanks and classified based on level of clinical intervention received, with criteria for severe disease including hospitalisation due to psoriasis, use of systemic immunomodulating therapy or phototherapy. Common genetic variants, polygenic risk scores and traditional epidemiological risk factors were tested for association with severe psoriasis in each of the constituent biobanks and combined through meta-analysis. The distribution of psoriasis polygenic risk was also evaluated in a cohort of 4 151 participants in the UK-based severe psoriasis registry, BSTOP. Results In the population-based datasets, 9 738 of 44 904 individuals with psoriasis (21.7%) were classified as having severe disease. Genetic variants within the major histocompatibility complex (MHC) and the TNIP1 and IL12B psoriasis susceptibility loci were associated with severe disease at genome-wide significance (P&lt;5.0x10&lt;sup&gt;-8&lt;/sup&gt;). Furthermore, a strong positive correlation was observed between psoriasis susceptibility and severity effect sizes across all psoriasis susceptibility loci. An individual's genetic liability to psoriasis as measured with a polygenic risk score (PRS) strongly associated with disease severity, with a magnitude of effect comparable to established severity risk factors such as obesity and smoking. The top 5% of psoriasis cases by genetic liability to psoriasis were 1.23-to-2.00 times as likely than the average psoriasis case to have severe disease. Psoriasis cases in the BSTOP severe disease registry were 3.10-fold enriched for a PRS that exceeded the 95th percentile established among UK Biobank psoriasis cases. Conclusions The psoriasis susceptibility PRS demonstrates utility, and may be more effective than established epidemiological factors, as a stratification tool to identify those individuals that are at greatest risk of severe disease and may benefit most from early intervention. Copyright The copyright holder for this preprint is the author/funder, who has granted medRxiv a license to display the preprint in perpetuity. It is made available under a CC-BY-NC-ND 4.0 International license.</t>
  </si>
  <si>
    <t>J6218</t>
  </si>
  <si>
    <t>Direct factor Xa inhibitors versus low molecular weight heparins or vitamin K antagonists for prevention of venous thromboembolism in elective primary hip or knee replacement or hip fracture repair</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</si>
  <si>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all‐cause mortality, major venous thromboembolism (VTE), symptomatic VTE, major bleeding, and serious hepatic and non‐hepatic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all‐cause mortality, but the evidence is very uncertain (RR 0.83, 95% CI 0.52 to 1.31; I 2 = 0%; 28 studies, 29,698 participants; very low‐certainty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low‐certainty evidence). Compared to LMWHs, direct factor Xa inhibitors may reduce symptomatic VTE (RR 0.64, 95% CI 0.50 to 0.83; I 2 = 0%; 33 studies, 31,670 participants; low‐certainty evidence). The absolute benefit of substituting factor Xa inhibitors for LMWHs may be between two and five fewer symptomatic VTE episodes per 1000 patients. In the meta‐analysis with all studies pooled, direct factor Xa inhibitors appeared to make little or no difference to major bleeding compared to LMWHs, but the evidence was very uncertain (RR 1.05, 95% CI 0.86 to 1.30; I 2 = 15%; 36 studies, 39,778 participants; very low certainty‐evidence).  • In a subgroup analysis limited to studies comparing rivaroxaban to LMWHs, people given rivaroxaban may have had more major bleeding events (RR 1.94, 95% CI 1.26 to 2.98; I 2 = 0%; 17 studies, 17,630 participants; low‐certainty evidence). The absolute risk of substituting rivaroxaban for LMWH may be between one and seven more major bleeding events per 1000 patients.  •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low‐certainty evidence). Direct factor Xa inhibitors may make little to no difference in serious hepatic adverse events compared to LMWHs, but the evidence is very uncertain (RR 3.01, 95% CI 0.12 to 73.93; 2 studies, 3169 participants; very low‐certainty evidence). Only two studies reported this outcome, with one death in the intervention group due to hepatitis reported in one study, and no events reported in the other study. People given direct factor Xa inhibitors may have a lower risk of serious non‐hepatic adverse events than those given LMWHs (RR 0.89, 95% CI 0.81 to 0.97; I 2 = 18%; 15 studies, 26,246 participants; low‐certainty evidence). The absolute benefit of substituting factor Xa inhibitors for LMWH may be between three and 14 fewer serious non‐hepatic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 We do not know if classic anticoagulant medicines (commonly known as 'blood thinners') or newer blood‐thinning medicines called 'direct factor Xa inhibitors' (DFXa inhibitors) are better at preventing death or the development of blood clots in the deep veins of the legs or in the lungs of people who have had hip or knee replacement surgery. •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high‐income regions. Roughly one‐third of participants (31%) were male. Participants' average age was 64 years. Pharmaceutical companies funded half of the studies (27 of 53). Main results Compared to LMWHs, we do not know if DFXa inhibitors reduce the number of people who: • die from any cause after surgery, or • develop blood clots in the lungs or deep veins of the leg or pelvis because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non‐liver‐related events compared to LMWHs. Between 3 and 14 fewer people out of every 1000 people given DFXa inhibitors would have serious, non‐liver‐related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</si>
  <si>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could exclude as guideline</t>
  </si>
  <si>
    <t>could exclude, think this a presentation</t>
  </si>
  <si>
    <t>could exclude as recommendations</t>
  </si>
  <si>
    <t>comment</t>
  </si>
  <si>
    <t>more grey lit?</t>
  </si>
  <si>
    <t>might be more grey lit?</t>
  </si>
  <si>
    <t>Correct study type - but might be commentary</t>
  </si>
  <si>
    <t>PharmacyÃƒÂ¢Ã¢â€šÂ¬Ã‚Âbased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</si>
  <si>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pharmacistÃƒÂ¢Ã¢â€šÂ¬Ã‚Âbased interventions is not yet well understood. The degree to which a pharmacyÃƒÂ¢Ã¢â€šÂ¬Ã‚Âbased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pharmacyÃƒÂ¢Ã¢â€šÂ¬Ã‚Âbased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(selfÃƒÂ¢Ã¢â€šÂ¬Ã‚Â)monitoring of medication adherence offered by a healthcare professional outside the pharmacy team) at improving depression outcomes in adults. Search methods We searched the Cochrane Common Mental Disorders Controlled Trials Register (CCMDÃƒÂ¢Ã¢â€šÂ¬Ã‚ÂCTR)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clusterÃƒÂ¢Ã¢â€šÂ¬Ã‚ÂRCTs where a pharmacyÃƒÂ¢Ã¢â€šÂ¬Ã‚Âbased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nonÃƒÂ¢Ã¢â€šÂ¬Ã‚Âadherence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metaÃƒÂ¢Ã¢â€šÂ¬Ã‚Âanalyses, we synthesised results narratively. Main results Twelve studies (2215 participants) met the inclusion criteria and compared pharmacyÃƒÂ¢Ã¢â€šÂ¬Ã‚Âbased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pharmacyÃƒÂ¢Ã¢â€šÂ¬Ã‚Âbased management and the other better acceptability of the active control. One study reported that participants in the pharmacyÃƒÂ¢Ã¢â€šÂ¬Ã‚Âbased management group had better medication adherence than the control participants. One study reported adverse events with no difference between groups. The studies reported no other outcomes. MetaÃƒÂ¢Ã¢â€šÂ¬Ã‚Âanalyses comparing pharmacyÃƒÂ¢Ã¢â€šÂ¬Ã‚Âbased management with treatment as usual showed no evidence of a difference in the effect of the intervention on depression symptom change (dichotomous data; improvement in symptoms yes/no: risk ratio (RR), 0.95, 95% confidence interval (CI) 0.86 to 1.05; 4 RCTs, 475 participants; moderateÃƒÂ¢Ã¢â€šÂ¬Ã‚Âquality evidence; continuous data: standard mean difference (SMD) ÃƒÂ¢Ã¢â€šÂ¬Ã‚Â0.04, 95%</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</si>
  <si>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Ãƒâ€šÃ‚Â© 2019 Rila Publications Ltd."</t>
  </si>
  <si>
    <t>Grey literature</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</si>
  <si>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Ãƒâ€šÃ‚Â© 2019</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</si>
  <si>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childÃƒÂ¢Ã¢â€šÂ¬Ã¢â€žÂ¢s wellÃƒÂ¢Ã¢â€šÂ¬Ã‚Âbeing,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InÃƒÂ¢Ã¢â€šÂ¬Ã‚ÂProcess,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quasiÃƒÂ¢Ã¢â€šÂ¬Ã‚Ârandomised, multiÃƒÂ¢Ã¢â€šÂ¬Ã‚Âarm studies, crossÃƒÂ¢Ã¢â€šÂ¬Ã‚Âover studies and clusterÃƒÂ¢Ã¢â€šÂ¬Ã‚Ârandomised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metaÃƒÂ¢Ã¢â€šÂ¬Ã‚Âanalysis was possible, we applied randomÃƒÂ¢Ã¢â€šÂ¬Ã‚Âeffects metaÃƒÂ¢Ã¢â€šÂ¬Ã‚Âanalysis using the MantelÃƒÂ¢Ã¢â€šÂ¬Ã‚ÂHaenszel method for dichotomous outcomes. Main results The review included 27 RCTs involving 1803 children. Of these, six were multiÃƒÂ¢Ã¢â€šÂ¬Ã‚Âarm and one was also a crossÃƒÂ¢Ã¢â€šÂ¬Ã‚Âover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lowÃƒÂ¢Ã¢â€šÂ¬Ã‚Âcertainty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lowÃƒÂ¢Ã¢â€šÂ¬Ã‚Âcertainty evidence). Voiding education with uroflowmetry feedback and urotherapy versus urotherapy alone. Slightly more children receiving voiding education with uroflow feedback and urotherapy may achieve continence (RR 1.13, 95% CI 0.87 to 1.45; 3 studies; n = 151; lowÃƒÂ¢Ã¢â€šÂ¬Ã‚Âcertainty evidence). Urotherapy with timer watch versus urotherapy alone. We are uncertain whether urotherapy plus timer watch increases the number of children achieving continence compared to urotherapy alone (RR 1.42, 95% CI 1.12 to 1.80; 1 study; n = 58; very lowÃƒÂ¢Ã¢â€šÂ¬Ã‚Âcertainty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lowÃƒÂ¢Ã¢â€šÂ¬Ã‚Âcertainty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lowÃƒÂ¢Ã¢â€šÂ¬Ã‚Âcertainty evidence). Individual conservative interventions versus nonÃƒÂ¢Ã¢â€šÂ¬Ã‚Âconservative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lowÃƒÂ¢Ã¢â€šÂ¬Ã‚Âcertainty evidence). TENS versus anticholinergics. We are uncertain whether there was any evidence of a difference between treatment groups in the proportions of children achieving continence (RR 0.81, 95% CI 0.05 to 12.50; 2 studies; n = 72; very lowÃƒÂ¢Ã¢â€šÂ¬Ã‚Âcertainty evidence). Combined conservative interventions versus nonÃƒÂ¢Ã¢â€šÂ¬Ã‚Âconservative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lowÃƒÂ¢Ã¢â€šÂ¬Ã‚Âcertainty evidence). Authors' conclusions The review found little reliable evidence that can help affected children, their carers and the clinicians working with them to make evidenceÃƒÂ¢Ã¢â€šÂ¬Ã‚Âbased treatment decisions. In this scenario, the clinical experience of individual clinicians and the support of carers may be the most valuable resources. More wellÃƒÂ¢Ã¢â€šÂ¬Ã‚Âdesigned research, with wellÃƒÂ¢Ã¢â€šÂ¬Ã‚Âdefined interventions and consistent outcome measurement, is needed. Plain language summary Conservative (nonÃƒÂ¢Ã¢â€šÂ¬Ã‚Âpharmaceutical and nonÃƒÂ¢Ã¢â€šÂ¬Ã‚Âsurgical)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upÃƒÂ¢Ã¢â€šÂ¬Ã‚ÂtoÃƒÂ¢Ã¢â€šÂ¬Ã‚Âdate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ÃƒÂ¢Ã¢â€šÂ¬Ã‚Â and sometimes carers ÃƒÂ¢Ã¢â€šÂ¬Ã‚Â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nonÃƒÂ¢Ã¢â€šÂ¬Ã‚Âserious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goodÃƒÂ¢Ã¢â€šÂ¬Ã‚Âquality research evidence that can help children, their carers and doctors and nurses to make decisions about treatments. More wellÃƒÂ¢Ã¢â€šÂ¬Ã‚Âdesigned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</si>
  <si>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Peer-reviewed article from Cochrane Review.</t>
  </si>
  <si>
    <t>Appears to be a peer-reviewed research article.</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</si>
  <si>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healthÃƒÂ¢Ã¢â€šÂ¬Ã‚Ârelated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webÃƒÂ¢Ã¢â€šÂ¬Ã‚Âbased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fullÃƒÂ¢Ã¢â€šÂ¬Ã‚Âtext articles, extracted data, and assessed risk of bias. For analysis, we used a randomÃƒÂ¢Ã¢â€šÂ¬Ã‚Âeffects statistical model for all metaÃƒÂ¢Ã¢â€šÂ¬Ã‚Âanalyses,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lowÃƒÂ¢Ã¢â€šÂ¬Ã‚Âcertainty evidence). For secondary malignancies, dietary interventions versus control trials reported little or no difference (risk ratio (RR) 0.99, 95% CI 0.84 to 1.15; 1 study; 3107 participants; lowÃƒÂ¢Ã¢â€šÂ¬Ã‚Âcertainty evidence). CoÃƒÂ¢Ã¢â€šÂ¬Ã‚Âmorbidities were not measured in any included trials. Subsequent outcomes reported after 12 months found that dietary interventions versus control probably make little or no difference in energy intake at 12 months (mean difference (MD) ÃƒÂ¢Ã¢â€šÂ¬Ã‚Â59.13 kcal, 95% CI ÃƒÂ¢Ã¢â€šÂ¬Ã‚Â159.05 to 37.79; 5 studies; 3283 participants; moderateÃƒÂ¢Ã¢â€šÂ¬Ã‚Âcertainty evidence). Dietary interventions versus control probably led to slight increases in fruit and vegetable servings (MD 0.41 servings, 95% CI 0.10 to 0.71; 5 studies; 834 participants; moderateÃƒÂ¢Ã¢â€šÂ¬Ã‚Âcertainty evidence); mixed results for fibre intake overall (MD 5.12 g, 95% CI 0.66 to 10.9; 2 studies; 3127 participants; very lowÃƒÂ¢Ã¢â€šÂ¬Ã‚Âcertainty evidence); and likely improvement in Diet Quality Index (MD 3.46, 95% CI 1.54 to 5.38; 747 participants; moderateÃƒÂ¢Ã¢â€šÂ¬Ã‚Âcertainty evidence). For anthropometry, dietary intervention versus control probably led to a slightly decreased body mass index (BMI) (MD ÃƒÂ¢Ã¢â€šÂ¬Ã‚Â0.79 kg/mÃƒâ€šÃ‚Â², 95% CI ÃƒÂ¢Ã¢â€šÂ¬Ã‚Â1.50 to ÃƒÂ¢Ã¢â€šÂ¬Ã‚Â0.07; 4 studies; 777 participants; moderateÃƒÂ¢Ã¢â€šÂ¬Ã‚Âcertainty evidence). Dietary interventions versus control probably had little or no effect on waistÃƒÂ¢Ã¢â€šÂ¬Ã‚ÂtoÃƒÂ¢Ã¢â€šÂ¬Ã‚Âhip ratio (MD ÃƒÂ¢Ã¢â€šÂ¬Ã‚Â0.01, 95% CI ÃƒÂ¢Ã¢â€šÂ¬Ã‚Â0.04 to 0.02; 2 studies; 106 participants; lowÃƒÂ¢Ã¢â€šÂ¬Ã‚Âcertainty evidence). For QoL, there were mixed results; several different quality assessment tools were used and evidence was of low to very lowÃƒÂ¢Ã¢â€šÂ¬Ã‚Âcertainty.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waistÃƒÂ¢Ã¢â€šÂ¬Ã‚ÂtoÃƒÂ¢Ã¢â€šÂ¬Ã‚Âhip ratio. For QoL, results were highly varied. Additional highÃƒÂ¢Ã¢â€šÂ¬Ã‚Âquality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ÃƒÂ¢Ã¢â€šÂ¬Ã‚Â¨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ÃƒÂ¢Ã¢â€šÂ¬Ã‚Â¨ This review evaluates evidence on dietary interventions for people after cancer. Quality of evidence ÃƒÂ¢Ã¢â€šÂ¬Ã‚Â¨ The quality of evidence is generally low to very low. Most studies did not evaluate dietary interventions for key review outcomes, particularly mortality and morbidity. However, a few study outcomes with moderateÃƒÂ¢Ã¢â€šÂ¬Ã‚Âcertainty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ÃƒÂ¢Ã¢â€šÂ¬Ã‚Â¨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(moderateÃƒÂ¢Ã¢â€šÂ¬Ã‚Âcertainty evidence ) . Evidence on dietary fibre was mixed for different advice on weight reducing or healthy eating. Dietary interventions compared to control probably improved the Diet Quality Index (moderateÃƒÂ¢Ã¢â€šÂ¬Ã‚Âcertainty evidence ) . For physical measurements, we found a probable reduction in body mass index (BMI) with dietary interventions compared to controls (moderateÃƒÂ¢Ã¢â€šÂ¬Ã‚Âcertainty evidence) but little evidence showing any change in waistÃƒÂ¢Ã¢â€šÂ¬Ã‚ÂtoÃƒÂ¢Ã¢â€šÂ¬Ã‚Âhip ratio (lowÃƒÂ¢Ã¢â€šÂ¬Ã‚Âcertainty evidence ) . For quality of life (QoL), results were mixed due to the wide variety of tools used. No adverse events were reported. Conclusion ÃƒÂ¢Ã¢â€šÂ¬Ã‚Â¨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</si>
  <si>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Ãƒâ€šÃ‚Â© 2019 Author(s) (or their employer(s)). Re-use permitted under CC BY-NC.</t>
  </si>
  <si>
    <t>- Background Although delirium is typically an acute reversible cognitive impairment, its presence is associated with devastating impact on both shortÃƒÂ¢Ã¢â€šÂ¬Ã‚Âterm and longÃƒÂ¢Ã¢â€šÂ¬Ã‚Âterm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deliriumÃƒÂ¢Ã¢â€šÂ¬Ã‚Âfree and comaÃƒÂ¢Ã¢â€šÂ¬Ã‚Âfree days; days with coma; delirium relapse; duration of mechanical ventilation; intensive care unit (ICU) and hospital length of stay; mortality; and longÃƒÂ¢Ã¢â€šÂ¬Ã‚Âterm outcomes (e.g. cognitive; discharge disposition; healthÃƒÂ¢Ã¢â€šÂ¬Ã‚Ârelated quality of life); and 2. the safety of such treatments for critically ill adult patients. Search methods We searched the following databases from their inception date to 21 March 2019: Ovid MEDLINEÃƒâ€šÃ‚Â®, Ovid MEDLINEÃƒâ€šÃ‚Â® InÃƒÂ¢Ã¢â€šÂ¬Ã‚ÂProcess &amp; Other NonÃƒÂ¢Ã¢â€šÂ¬Ã‚ÂIndexed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quasiÃƒÂ¢Ã¢â€šÂ¬Ã‚ÂRCTs, of any pharmacological (drug) for treatment of delirium in critically ill adults. The drug intervention was to be compared to another active drug treatment, placebo, or a nonÃƒÂ¢Ã¢â€šÂ¬Ã‚Âpharmacological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highÃƒÂ¢Ã¢â€šÂ¬Ã‚Âdependency unit. Data collection and analysis Two review authors independently identified studies from the search results; four review authors (in pairs) performed data extraction and assessed risk of bias independently. We performed data synthesis through pairwise metaÃƒÂ¢Ã¢â€šÂ¬Ã‚Âanalysis and network metaÃƒÂ¢Ã¢â€šÂ¬Ã‚Âanalysis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placeboÃƒÂ¢Ã¢â€šÂ¬Ã‚Âcontrolled,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nonÃƒÂ¢Ã¢â€šÂ¬Ã‚Âpharmacological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moderateÃƒÂ¢Ã¢â€šÂ¬Ã‚Âquality evidence). In order of descending SUCRA values (best to worst), the next best interventions were atypical antipsychotics (RoM 0.80, 95% CrI 0.50 to 1.11; SUCRA 0.738; moderateÃƒÂ¢Ã¢â€šÂ¬Ã‚Âquality evidence), opioids (RoM 0.88, 95% CrI 0.37 to 2.01; SUCRA 0.578; veryÃƒÂ¢Ã¢â€šÂ¬Ã‚Âlow quality evidence), and typical antipsychotics (RoM 0.96, 95% CrI 0.64 to1.36; SUCRA 0.468; highÃƒÂ¢Ã¢â€šÂ¬Ã‚Âquality evidence). The NMAs of multiple secondary outcomes revealed that only the alpha 2 agonist dexmedetomidine was associated with a shorter duration of mechanical ventilation (RoM 0.55, 95% CrI 0.34 to 0.89; moderateÃƒÂ¢Ã¢â€šÂ¬Ã‚Âquality evidence), and the CHE inhibitor rivastigmine was associated with a longer ICU stay (RoM 2.19, 95% CrI 1.47 to 3.27; moderateÃƒÂ¢Ã¢â€šÂ¬Ã‚Âquality evidence). Adverse events often were not reported in these trials or, when reported, were rare; pairÃƒÂ¢Ã¢â€šÂ¬Ã‚Âwise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deliriumÃƒÂ¢Ã¢â€šÂ¬Ã‚Âfree and comaÃƒÂ¢Ã¢â€šÂ¬Ã‚Âfree days, days with coma, physical restraint use, length of stay, longÃƒÂ¢Ã¢â€šÂ¬Ã‚Âterm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newÃƒÂ¢Ã¢â€šÂ¬Ã‚Âonset, generally shortÃƒÂ¢Ã¢â€šÂ¬Ã‚Âterm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longerÃƒÂ¢Ã¢â€šÂ¬Ã‚Âterm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ÃƒÂ¢Ã¢â€šÂ¬Ã‚Â an inactive medicine also known as a sugar pill; four studies compared different drugs. Eleven studies with 1153 participants reported on the main outcome of this review ÃƒÂ¢Ã¢â€šÂ¬Ã‚Â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metaÃƒÂ¢Ã¢â€šÂ¬Ã‚Âanalysis to compare the six different drug classes. Dexmedetomidine was ranked most effective in reducing delirium duration, followed by atypical antipsychotics. However, network metaÃƒÂ¢Ã¢â€šÂ¬Ã‚Âanalysis of delirium duration failed to rule out the possibility of no difference for all six drug classes compared to placebo. Using this method, we did not find that any drug improved the duration of coma, length of stay, longÃƒÂ¢Ã¢â€šÂ¬Ã‚Âterm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</si>
  <si>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Hospital nurseÃƒÂ¢Ã¢â€šÂ¬Ã‚Âstaffing models and patientÃƒÂ¢Ã¢â€šÂ¬Ã‚Â and staffÃƒÂ¢Ã¢â€šÂ¬Ã‚Ârelated outcomes</t>
  </si>
  <si>
    <t>- Background Nurses comprise the largest component of the health workforce worldwide and numerous models of workforce allocation and profile have been implemented. These include changes in skill mix, grade mix or qualification mix, staffÃƒÆ’Ã‚Â¢ÃƒÂ¢Ã¢â‚¬Å¡Ã‚Â¬Ãƒâ€šÃ‚Âallocation models, staffing levels, nursing shifts, or nursesÃƒÆ’Ã‚Â¢ÃƒÂ¢Ã¢â‚¬Å¡Ã‚Â¬ÃƒÂ¢Ã¢â‚¬Å¾Ã‚Â¢ work patterns. This is the first update of our review published in 2011. Objectives The purpose of this review was to explore the effect of hospital nurseÃƒÆ’Ã‚Â¢ÃƒÂ¢Ã¢â‚¬Å¡Ã‚Â¬Ãƒâ€šÃ‚Âstaffing models on patient and staffÃƒÆ’Ã‚Â¢ÃƒÂ¢Ã¢â‚¬Å¡Ã‚Â¬Ãƒâ€šÃ‚Ârelated outcomes in the hospital setting, specifically to identify which staffing model(s) are associated with: 1) better outcomes for patients, 2) better staffÃƒÆ’Ã‚Â¢ÃƒÂ¢Ã¢â‚¬Å¡Ã‚Â¬Ãƒâ€šÃ‚Ârelated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nonÃƒÆ’Ã‚Â¢ÃƒÂ¢Ã¢â‚¬Å¡Ã‚Â¬Ãƒâ€šÃ‚Ârandomised trials, controlled beforeÃƒÆ’Ã‚Â¢ÃƒÂ¢Ã¢â‚¬Å¡Ã‚Â¬Ãƒâ€šÃ‚Âafter studies and interruptedÃƒÆ’Ã‚Â¢ÃƒÂ¢Ã¢â‚¬Å¡Ã‚Â¬Ãƒâ€šÃ‚ÂtimeÃƒÆ’Ã‚Â¢ÃƒÂ¢Ã¢â‚¬Å¡Ã‚Â¬Ãƒâ€šÃ‚Âseries or repeatedÃƒÆ’Ã‚Â¢ÃƒÂ¢Ã¢â‚¬Å¡Ã‚Â¬Ãƒâ€šÃ‚Âmeasures studies of interventions relating to hospital nurseÃƒÆ’Ã‚Â¢ÃƒÂ¢Ã¢â‚¬Å¡Ã‚Â¬Ãƒâ€šÃ‚Âstaffing models. Participants were patients and nursing staff working in hospital settings. We included any objective reported measure of patientÃƒÆ’Ã‚Â¢ÃƒÂ¢Ã¢â‚¬Å¡Ã‚Â¬Ãƒâ€šÃ‚Â, staffÃƒÆ’Ã‚Â¢ÃƒÂ¢Ã¢â‚¬Å¡Ã‚Â¬Ãƒâ€šÃ‚Ârelated, or economic outcome. The most important outcomes included in this review were: nursingÃƒÆ’Ã‚Â¢ÃƒÂ¢Ã¢â‚¬Å¡Ã‚Â¬Ãƒâ€šÃ‚Âstaff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nurseÃƒÆ’Ã‚Â¢ÃƒÂ¢Ã¢â‚¬Å¡Ã‚Â¬Ãƒâ€šÃ‚Âstaffing models: ÃƒÆ’Ã‚Â¢ÃƒÂ¢Ã¢â‚¬Å¡Ã‚Â¬Ãƒâ€šÃ‚Â introduction of advanced or specialist nurses to the nursing workforce; ÃƒÆ’Ã‚Â¢ÃƒÂ¢Ã¢â‚¬Å¡Ã‚Â¬Ãƒâ€šÃ‚Â introduction of nursing assistive personnel to the hospital workforce; ÃƒÆ’Ã‚Â¢ÃƒÂ¢Ã¢â‚¬Å¡Ã‚Â¬Ãƒâ€šÃ‚Â primary nursing; and ÃƒÆ’Ã‚Â¢ÃƒÂ¢Ã¢â‚¬Å¡Ã‚Â¬Ãƒâ€šÃ‚Â staffing models. The studies were conducted in the USA, the Netherlands, UK, Australia, and Canada and included patients with cancer, asthma, diabetes and chronic illness, on medical, acute care, intensive care and longÃƒÆ’Ã‚Â¢ÃƒÂ¢Ã¢â‚¬Å¡Ã‚Â¬Ãƒâ€šÃ‚Âstay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nursingÃƒÆ’Ã‚Â¢ÃƒÂ¢Ã¢â‚¬Å¡Ã‚Â¬Ãƒâ€šÃ‚Âstaff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nurseÃƒÆ’Ã‚Â¢ÃƒÂ¢Ã¢â‚¬Å¡Ã‚Â¬Ãƒâ€šÃ‚Âstaffing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lessÃƒÆ’Ã‚Â¢ÃƒÂ¢Ã¢â‚¬Å¡Ã‚Â¬Ãƒâ€šÃ‚Âqualified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nursingÃƒÆ’Ã‚Â¢ÃƒÂ¢Ã¢â‚¬Å¡Ã‚Â¬Ãƒâ€šÃ‚Âstaff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nursingÃƒÆ’Ã‚Â¢ÃƒÂ¢Ã¢â‚¬Å¡Ã‚Â¬Ãƒâ€šÃ‚Âstaff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nurseÃƒÆ’Ã‚Â¢ÃƒÂ¢Ã¢â‚¬Å¡Ã‚Â¬Ãƒâ€šÃ‚Âstaffing models. One nurseÃƒÆ’Ã‚Â¢ÃƒÂ¢Ã¢â‚¬Å¡Ã‚Â¬Ãƒâ€šÃ‚Âstaffing model study tested hospital units scheduling their own nursing shifts (selfÃƒÆ’Ã‚Â¢ÃƒÂ¢Ã¢â‚¬Å¡Ã‚Â¬Ãƒâ€šÃ‚Âstaffing), and the other study compared different ways to schedule nursing shifts. We cannot be sure about the impact of primary nursing or nurseÃƒÆ’Ã‚Â¢ÃƒÂ¢Ã¢â‚¬Å¡Ã‚Â¬Ãƒâ€šÃ‚Âstaffing models on nurse resignations or costs because the research is very limited. How upÃƒÆ’Ã‚Â¢ Ãƒâ€šÃ‚ÂtoÃƒÆ’Ã‚Â¢ÃƒÂ¢Ã¢â‚¬Å¡Ã‚Â¬Ãƒâ€šÃ‚Âdate is this review? The review authors searched for studies that had been published up to March 2018.</t>
  </si>
  <si>
    <t>Interventions for involving older patients with multiÃƒÂ¢Ã¢â€šÂ¬Ã‚Âmorbidity in decisionÃƒÂ¢Ã¢â€šÂ¬Ã‚Âmaking during primary care consultations</t>
  </si>
  <si>
    <t>- Background Older patients with multiple health problems (multiÃƒÂ¢Ã¢â€šÂ¬Ã‚Âmorbidity) value being involved in decisionÃƒÂ¢Ã¢â€šÂ¬Ã‚Âmaking about their health care. However, they are less frequently involved than younger patients. To maximise quality of life, dayÃƒÂ¢Ã¢â€šÂ¬Ã‚ÂtoÃƒÂ¢Ã¢â€šÂ¬Ã‚Âday function, and patient safety, older patients require support to identify unmet healthcare needs and to prioritise treatment options. Objectives To assess the effects of interventions for older patients with multiÃƒÂ¢Ã¢â€šÂ¬Ã‚Âmorbidity aiming to involve them in decisionÃƒÂ¢Ã¢â€šÂ¬Ã‚Âmaking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clusterÃƒÂ¢Ã¢â€šÂ¬Ã‚ÂRCTs, and quasiÃƒÂ¢Ã¢â€šÂ¬Ã‚ÂRCTs of interventions to involve patients in decisionÃƒÂ¢Ã¢â€šÂ¬Ã‚Âmaking about their health care versus usual care/control/another intervention, for patients aged 65 years and older with multiÃƒÂ¢Ã¢â€šÂ¬Ã‚Âmorbidity in primary care. Data collection and analysis We used standard Cochrane methodological procedures. MetaÃƒÂ¢Ã¢â€šÂ¬Ã‚Âanalysis was not possible; therefore we prepared a narrative synthesis. Main results We included three studies involving 1879 participants: two RCTs and one clusterÃƒÂ¢Ã¢â€šÂ¬Ã‚ÂRCT. Interventions consisted of: Ãƒâ€šÃ‚Â· patient workshop and individual coaching using behaviour change techniques; Ãƒâ€šÃ‚Â· individual patient coaching utilising cognitiveÃƒÂ¢Ã¢â€šÂ¬Ã‚Âbehavioural therapy and motivational interviewing; and Ãƒâ€šÃ‚Â· holistic patient review, multiÃƒÂ¢Ã¢â€šÂ¬Ã‚Âdisciplinary practitioner training, and organisational change. No studies reported the primary outcome ÃƒÂ¢Ã¢â€šÂ¬Ã‹Å“patient involvement in decisionÃƒÂ¢Ã¢â€šÂ¬Ã‚ÂmakingÃƒÂ¢Ã¢â€šÂ¬Ã¢â€žÂ¢ or the primary adverse outcome ÃƒÂ¢Ã¢â€šÂ¬Ã‹Å“less patient involvement as a result of the interventionÃƒÂ¢Ã¢â€šÂ¬Ã¢â€žÂ¢. Comparing interventions (patient workshop and individual coaching, holistic patient review plus practitioner training, and organisational change) to usual care: we are uncertain whether interventions had any effect on patient reports of high selfÃƒÂ¢Ã¢â€šÂ¬Ã‚Ârated health (risk ratio (RR) 1.40, 95% confidence interval (CI) 0.36 to 5.49; very lowÃƒÂ¢Ã¢â€šÂ¬Ã‚Âcertainty evidence) or on patient enablement (mean difference (MD) 0.60, 95% CI ÃƒÂ¢Ã¢â€šÂ¬Ã‚Â9.23 to 10.43; very lowÃƒÂ¢Ã¢â€šÂ¬Ã‚Âcertainty evidence) compared with usual care. Interventions probably had no effect on healthÃƒÂ¢Ã¢â€šÂ¬Ã‚Ârelated quality of life (adjusted difference in means 0.00, 95% CI ÃƒÂ¢Ã¢â€šÂ¬Ã‚Â0.02 to 0.02; moderateÃƒÂ¢Ã¢â€šÂ¬Ã‚Âcertainty evidence) or on medication adherence (MD 0.06, 95% CI ÃƒÂ¢Ã¢â€šÂ¬Ã‚Â0.05 to 0.17; moderateÃƒÂ¢Ã¢â€šÂ¬Ã‚Âcertainty evidence) but probably improved the number of patients discussing their priorities (adjusted odds ratio 1.85, 95% CI 1.44 to 2.38; moderateÃƒÂ¢Ã¢â€šÂ¬Ã‚Âcertainty evidence) and probably increased the number of nurse consultations (incident rate ratio from adjusted multiÃƒÂ¢Ã¢â€šÂ¬Ã‚Âlevel Poisson model 1.37, 95% CI 1.17 to 1.61; moderateÃƒÂ¢Ã¢â€šÂ¬Ã‚Âcertainty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attentionÃƒÂ¢Ã¢â€šÂ¬Ã‚Âcontrol conditions: we are uncertain whether interventions affect patientÃƒÂ¢Ã¢â€šÂ¬Ã‚Âreported high selfÃƒÂ¢Ã¢â€šÂ¬Ã‚Ârated health (RR 0.38, 95% CI 0.15 to 1.00, favouring attention control, with very lowÃƒÂ¢Ã¢â€šÂ¬Ã‚Âcertainty evidence; RR 2.17, 95% CI 0.85 to 5.52, favouring the intervention, with very lowÃƒÂ¢Ã¢â€šÂ¬Ã‚Âcertain y evidence). We are uncertain whether interventions affect patient enablement and engagement by increasing either patient activation (MD 1.20, 95% CI ÃƒÂ¢Ã¢â€šÂ¬Ã‚Â8.21 to 10.61; very lowÃƒÂ¢Ã¢â€šÂ¬Ã‚Âcertainty evidence) or selfÃƒÂ¢Ã¢â€šÂ¬Ã‚Âefficacy (MD 0.29, 95% CI ÃƒÂ¢Ã¢â€šÂ¬Ã‚Â0.21 to 0.79; very lowÃƒÂ¢Ã¢â€šÂ¬Ã‚Âcertainty evidence); or whether interventions affect the number of general practice visits (MD 0.51, 95% CI ÃƒÂ¢Ã¢â€šÂ¬Ã‚Â0.34 to 1.36; very lowÃƒÂ¢Ã¢â€šÂ¬Ã‚Âcertainty evidence), compared to attentionÃƒÂ¢Ã¢â€šÂ¬Ã‚Âcontrol conditions. The intervention may however lead to more patientÃƒÂ¢Ã¢â€šÂ¬Ã‚Âreported changes in management of their health conditions (RR 1.82, 95% CI 1.35 to 2.44; lowÃƒÂ¢Ã¢â€šÂ¬Ã‚Âcertainty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decisionÃƒÂ¢Ã¢â€šÂ¬Ã‚Âmaking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longÃƒÂ¢Ã¢â€šÂ¬Ã‚Âterm health problem in decisionÃƒÂ¢Ã¢â€šÂ¬Ã‚Âmaking during primary care consultations Background The number of older people with more than one longÃƒÂ¢Ã¢â€šÂ¬Ã‚Âterm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longÃƒÂ¢Ã¢â€šÂ¬Ã‚Âterm health problem in decisionÃƒÂ¢Ã¢â€šÂ¬Ã‚Âmaking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longÃƒÂ¢Ã¢â€šÂ¬Ã‚Âterm health problems on average. Interventions investigated included: Ãƒâ€šÃ‚Â· patient workshops and individual patient coaching; Ãƒâ€šÃ‚Â· patient coaching including cognitiveÃƒÂ¢Ã¢â€šÂ¬Ã‚Âbehavioural therapy; and Ãƒâ€šÃ‚Â· wholeÃƒÂ¢Ã¢â€šÂ¬Ã‚Âperson patient review, practitioner training, and organisational changes. All studies were funded by national research bodies. Key results None of the studies reported the main outcome ÃƒÂ¢Ã¢â€šÂ¬Ã‹Å“patient involvement in decisionÃƒÂ¢Ã¢â€šÂ¬Ã‚Âmaking about their health careÃƒÂ¢Ã¢â€šÂ¬Ã¢â€žÂ¢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longÃƒÂ¢Ã¢â€šÂ¬Ã‚Âterm health problem in decisionÃƒÂ¢Ã¢â€šÂ¬Ã‚Âmaking about their health care can improve their selfÃƒÂ¢Ã¢â€šÂ¬Ã‚Ârated health or healthcare engagement, or make any difference in selfÃƒÂ¢Ã¢â€šÂ¬Ã‚Âefficacy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patientÃƒÂ¢Ã¢â€šÂ¬Ã¢â€žÂ¢s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</si>
  <si>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Identified as a study protocol</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</si>
  <si>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Ãƒâ€šÃ‚Â© 2019 Callender et al. This is an open access article distributed under the terms of the Creative Commons Attribution License, which permits unrestricted use, distribution, and reproduction in any medium, provided the original author and source are credited.</t>
  </si>
  <si>
    <t>Introduction Oral emergency contraception (EC) can prevent unintended pregnancy but it is important to start a regular method of contraception. Women in the UK usually access EC from a pharmacy but then need a subsequent appointment with a general practitioner or a sexual and reproductive health (SRH) service to access regular contraception. Unintended pregnancies can occur during this time. Methods and analysis Bridge-It is a pragmatic cluster randomised cohort cross-over trial designed to determine whether pharmacist provision of a bridging supply of a progestogen-only pill (POP) plus rapid access to a local SRH clinic, results in increased uptake of effective contraception and prevents more unintended pregnancies than provision of EC alone. Bridge-It involves 31 pharmacies in three UK regions (London, Lothian and Tayside) aiming to recruit 626-737 women. Pharmacies will give EC (levonorgestrel) according to normal practice and recruit women to both intervention and the control phases of the study. In the intervention phase, pharmacists will provide the POP (desogestrel) and offer rapid access to an SRH clinic. In the control phase, pharmacists will advise women to attend a contraceptive provider for contraception (standard care). Women will be asked 4 months later about contraceptive use. Data linkage to abortion registries will provide abortion rates over 12 months. The sample size is calculated on the primary outcome of effective contraception use at 4 months (yes/no) with 90% power and a 5% level of significance. Abortion rates will be an exploratory secondary analysis. Process evaluation includes interviews with pharmacists, SRH clinicians and women. Cost-effectiveness analysis will use a healthcare system perspective and be expressed as incremental cost-effectiveness ratio. Ethics and dissemination Ethical approval was received from South East Scotland REC June 2017. Results will be published in peer-reviewed journals and conference presentations. Trial registration number ISRCTN70616901. Copyright Ãƒâ€šÃ‚Â© Author(s) (or their employer(s)) 2019. Re-use permitted under CC BY. Published by BMJ.</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</si>
  <si>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metaÃƒÂ¢Ã¢â€šÂ¬Ã‚Âanalysis using a MantelÃƒÂ¢Ã¢â€šÂ¬Ã‚ÂHaenszel randomÃƒÂ¢Ã¢â€šÂ¬Ã‚Âeffects model to generate risk ratios (RRs) and 95% confidence intervals (CIs). Main results We identified seven studies including 1774 participants. We judged three studies to be at high risk of bias and four to be at unclear risk. Each study provided faceÃƒÂ¢Ã¢â€šÂ¬Ã‚ÂtoÃƒÂ¢Ã¢â€šÂ¬Ã‚Âface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oneÃƒÂ¢Ã¢â€šÂ¬Ã‚Âoff advice on how to quit. Participants in both intervention and control arms received equivalent smoking cessation pharmacotherapy in all but one study. All studies took place in highÃƒÂ¢Ã¢â€šÂ¬Ã‚Âincome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followÃƒÂ¢Ã¢â€šÂ¬Ã‚Âup (RR 2.30, 95% CI 1.33 to 3.97; I 2 = 54%; lowÃƒÂ¢Ã¢â€šÂ¬Ã‚Âcertainty evidence). Authors' conclusions Community pharmacists can provide effective behavioural support to people trying to stop smoking. However, this conclusion is based on lowÃƒÂ¢Ã¢â€šÂ¬Ã‚Âcertainty evidence, limited by risk of bias and imprecision. Further research could change this conclusion. Plain language summary Does quitÃƒÂ¢Ã¢â€šÂ¬Ã‚Âsmoking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faceÃƒÂ¢Ã¢â€šÂ¬Ã‚ÂtoÃƒÂ¢Ã¢â€šÂ¬Ã‚Âface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lowÃƒÂ¢Ã¢â€šÂ¬Ã‚Âquality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</si>
  <si>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quasiÃƒÂ¢Ã¢â€šÂ¬Ã‚ÂRCTs examining the medical treatment of any of the four major types of botulism (infant intestinal botulism, foodÃƒÂ¢Ã¢â€šÂ¬Ã‚Âborne botulism, wound botulism, and adult intestinal toxemia). Potential medical treatments included equine serum trivalent botulism antitoxin, humanÃƒÂ¢Ã¢â€šÂ¬Ã‚Âderived botulinum immune globulin intravenous (BIGÃƒÂ¢Ã¢â€šÂ¬Ã‚ÂIV), plasma exchange, 3,4ÃƒÂ¢Ã¢â€šÂ¬Ã‚Âdiaminopyridine, and guanidine. Data collection and analysis We followed standard Cochrane methodology. Our primary outcome was inÃƒÂ¢Ã¢â€šÂ¬Ã‚Âhospital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BIGÃƒÂ¢Ã¢â€šÂ¬Ã‚ÂIV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intentionÃƒÂ¢Ã¢â€šÂ¬Ã‚ÂtoÃƒÂ¢Ã¢â€šÂ¬Ã‚Âtreat principles, and possibly some betweenÃƒÂ¢Ã¢â€šÂ¬Ã‚Âtreatment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(BIGÃƒÂ¢Ã¢â€šÂ¬Ã‚ÂIV: 2.60 weeks, 95% confidence interval (CI) 1.95 to 3.25; control: 5.70 weeks, 95% CI 4.40 to 7.00; mean difference (MD) ÃƒÂ¢Ã¢â€šÂ¬Ã‚Â3.10 weeks, 95% CI ÃƒÂ¢Ã¢â€šÂ¬Ã‚Â4.52 to ÃƒÂ¢Ã¢â€šÂ¬Ã‚Â1.68; moderateÃƒÂ¢Ã¢â€šÂ¬Ã‚Âcertainty evidence); mechanical ventilation (BIGÃƒÂ¢Ã¢â€šÂ¬Ã‚ÂIV: 1.80 weeks, 95% CI 1.20 to 2.40; control: 4.40 weeks, 95% CI 3.00 to 5.80; MD ÃƒÂ¢Ã¢â€šÂ¬Ã‚Â2.60 weeks, 95% CI ÃƒÂ¢Ã¢â€šÂ¬Ã‚Â4.06 to ÃƒÂ¢Ã¢â€šÂ¬Ã‚Â1.14; lowÃƒÂ¢Ã¢â€šÂ¬Ã‚Âcertainty evidence); and tube or parenteral feeding (BIGÃƒÂ¢Ã¢â€šÂ¬Ã‚ÂIV: 3.60 weeks, 95% CI 1.70 to 5.50; control: 10.00 weeks, 95% CI 6.85 to 13.15; MD ÃƒÂ¢Ã¢â€šÂ¬Ã‚Â6.40 weeks, 95% CI ÃƒÂ¢Ã¢â€šÂ¬Ã‚Â10.00 to ÃƒÂ¢Ã¢â€šÂ¬Ã‚Â2.80; moderateÃƒÂ¢Ã¢â€šÂ¬Ã‚Âcertainty evidence), but not on proportion of participants with adverse events or complications (BIGÃƒÂ¢Ã¢â€šÂ¬Ã‚ÂIV: 63.08%; control: 68.75%; risk ratio 0.92, 95% CI 0.72 to 1.18; absolute risk reduction 0.06, 95% CI 0.22 to ÃƒÂ¢Ã¢â€šÂ¬Ã‚Â0.11; moderateÃƒÂ¢Ã¢â€šÂ¬Ã‚Âcertainty evidence). Authors' conclusions We found lowÃƒÂ¢Ã¢â€šÂ¬Ã‚Â and moderateÃƒÂ¢Ã¢â€šÂ¬Ã‚Âcertainty evidence supporting the use of BIGÃƒÂ¢Ã¢â€šÂ¬Ã‚ÂIV in infant intestinal botulism. A single RCT demonstrated that BIGÃƒÂ¢Ã¢â€šÂ¬Ã‚ÂIV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(humanÃƒÂ¢Ã¢â€šÂ¬Ã‚Âderived botulinum immune globulin intravenous, or BIGÃƒÂ¢Ã¢â€šÂ¬Ã‚ÂIV). FiftyÃƒÂ¢Ã¢â€šÂ¬Ã‚Ânine infants received BIGÃƒÂ¢Ã¢â€šÂ¬Ã‚ÂIV,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BIGÃƒÂ¢Ã¢â€šÂ¬Ã‚ÂIV spent, on average, about three weeks less time in hospital (i.e. 3.1 weeks versus 5.7 weeks) than infants who received the inactive treatment, and spent about three weeks less on a ventilator (1.8 weeks versus 4.4 weeks). The average duration of tube feeding in the BIGÃƒÂ¢Ã¢â€šÂ¬Ã‚ÂIV group was more than six weeks less than in the placebo group (i.e. 3.6 versus 10 weeks). The risk of harmful effects of the treatment was probably no greater with BIGÃƒÂ¢Ã¢â€šÂ¬Ã‚ÂIV than with the inactive treatment. The evidence was mostly of moderate certainty (low certainty for time spent on a ventilator). The review shows that BIGÃƒÂ¢Ã¢â€šÂ¬Ã‚ÂIV probably shortens hospitalization; may shorten time spent on a ventilator; and probably reduces the duration of tube feeding compared to placebo. On the other hand, we found no evidence for or against botulism antitoxin or other treatments for botulism. The evidence is upÃƒÂ¢Ã¢â€šÂ¬Ã‚ÂtoÃƒÂ¢Ã¢â€šÂ¬Ã‚Âdate to January 2018, when we updated the searches and found no new trials.</t>
  </si>
  <si>
    <t>Introduction</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</si>
  <si>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Ãƒâ€šÃ‚Â© 2019 Author(s).</t>
  </si>
  <si>
    <t>- Background Peer support provides the opportunity for peers with experiential knowledge of a mental illness to give emotional, appraisal and informational assistance to current service users, and is becoming an important recoveryÃƒÂ¢Ã¢â€šÂ¬Ã‚Âoriented approach in healthcare for people with mental illness. Objectives To assess the effects of peerÃƒÂ¢Ã¢â€šÂ¬Ã‚Âsupport interventions for people with schizophrenia or other serious mental disorders, compared to standard care or other supportive or psychosocial interventions not from peers. Search methods We searched the Cochrane Schizophrenia Group's StudyÃƒÂ¢Ã¢â€šÂ¬Ã‚ÂBased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randomÃƒÂ¢Ã¢â€šÂ¬Ã‚Âeffects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lowÃƒÂ¢Ã¢â€šÂ¬Ã‚Âquality evidence) or allÃƒÂ¢Ã¢â€šÂ¬Ã‚Âcause death in the long term (RR 1.52, 95% CI 0.43 to 5.31; participants = 555; studies = 1, very lowÃƒÂ¢Ã¢â€šÂ¬Ã‚Âquality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clinicianÃƒÂ¢Ã¢â€šÂ¬Ã‚Âled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peerÃƒÂ¢Ã¢â€šÂ¬Ã‚Âsupport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highÃƒÂ¢Ã¢â€šÂ¬Ã‚Âquality evidence from relevant randomised clinical trials (studies where people are randomly put into one of two or more treatment groups) so we could assess the effects of peerÃƒÂ¢Ã¢â€šÂ¬Ã‚Âsupport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clinicianÃƒÂ¢Ã¢â€šÂ¬Ã‚Âled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clinicianÃƒÂ¢Ã¢â€šÂ¬Ã‚Âled support (where a health professional provided support). However, there were no useable data for this comparison reported for the main outcomes. Conclusions We have little confidence in the above findings. Currently, there is no highÃƒÂ¢Ã¢â€šÂ¬Ã‚Âquality evidence available to either support or refute the effectiveness of peerÃƒÂ¢Ã¢â€šÂ¬Ã‚Âsupport interventions for people with schizophrenia or other serious mental illnesses.</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</si>
  <si>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Ãƒâ€šÃ‚Â© 2019 Diabetes UK</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</si>
  <si>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participantÃƒÂ¢Ã¢â€šÂ¬Ã‚Â and investigatorÃƒÂ¢Ã¢â€šÂ¬Ã‚Ârated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followÃƒÂ¢Ã¢â€šÂ¬Ã‚Âup period. Clinical heterogeneity in treatments and outcome measures was evident. Few studies performed headÃƒÂ¢Ã¢â€šÂ¬Ã‚ÂtoÃƒÂ¢Ã¢â€šÂ¬Ã‚Âhead comparisons of different interventions. Risk of bias varied considerably, with only five studies at low risk in all domains. TwentyÃƒÂ¢Ã¢â€šÂ¬Ã‚Âtwo studies were industryÃƒÂ¢Ã¢â€šÂ¬Ã‚Âfunded.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participantÃƒÂ¢Ã¢â€šÂ¬Ã‚Ârated control of symptoms compared to vehicle (risk ratio (RR) 2.32, 95% confidence interval (CI) 1.38 to 3.91; number needed to treat for an additional beneficial outcome (NNTB) 3, 95% CI 2 to 8; 1 study, 125 participants); the effect of clobetasol compared to vehicle for investigatorÃƒÂ¢Ã¢â€šÂ¬Ã‚Ârated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investigatorÃƒÂ¢Ã¢â€šÂ¬Ã‚Ârated symptom control compared to twice weekly (RR 1.23, 95% CI 0.94 to 1.61; 1 study, 72 participants) after remission is reached. ParticipantÃƒÂ¢Ã¢â€šÂ¬Ã‚Ârated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investigatorÃƒÂ¢Ã¢â€šÂ¬Ã‚Ârated symptom control when compared to local narrowÃƒÂ¢Ã¢â€šÂ¬Ã‚Âband UVB after 12 weeks of treatment (RR 0.50, 95% CI 0.22 to 1.16; 1 study, 60 participants). However, the 95% CI indicates that PUVA might make little or no difference. ParticipantÃƒÂ¢Ã¢â€šÂ¬Ã‚Ârated symptoms were not measured. Adverse events (mainly erythema) were reported by 9/30 participants in the narrowÃƒÂ¢Ã¢â€šÂ¬Ã‚Âband UVB group versus none in the PUVA group. This evidence was rated as moderate certainty. Topical calcineurin inhibitors: tacrolimus 0.1% over two weeks probably improves investigatorÃƒÂ¢Ã¢â€šÂ¬Ã‚Ârated symptom control measured after three weeks compared to vehicle (14/14 tacrolimus versus 0/14 vehicle; 1 study). ParticipantÃƒÂ¢Ã¢â€šÂ¬Ã‚Ârated symptoms were not measured. Four of 14 people in the tacroli us group versus zero in the vehicle group had wellÃƒÂ¢Ã¢â€šÂ¬Ã‚Âtolerated application site burning/itching. A withinÃƒÂ¢Ã¢â€šÂ¬Ã‚Âparticipant study in 16 participants compared 0.1% tacrolimus to 0.1% mometasone furoate but did not measure investigatorÃƒÂ¢Ã¢â€šÂ¬Ã‚Â or participantÃƒÂ¢Ã¢â€šÂ¬Ã‚Ârated symptoms. Both treatments were well tolerated when assessed at two weeks during four weeks of treatment. Evidence from these studies was rated as moderate certainty. Oral interventions: oral cyclosporin 3 mg/kg/d probably slightly improves investigatorÃƒÂ¢Ã¢â€šÂ¬Ã‚Ârated (RR 1.88, 95% CI 0.88 to 3.99; 1 study, 34 participants) or participantÃƒÂ¢Ã¢â€šÂ¬Ã‚Ârated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investigatorÃƒÂ¢Ã¢â€šÂ¬Ã‚Ârated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participantÃƒÂ¢Ã¢â€šÂ¬Ã‚Ârated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moderateÃƒÂ¢Ã¢â€šÂ¬Ã‚Âcertainty evidence), but the risk of headache increased with alitretinoin 30 mg (RR 3.43, 95% CI 2.45 to 4.81; 2 studies, n = 1210; highÃƒÂ¢Ã¢â€šÂ¬Ã‚Âcertainty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WellÃƒÂ¢Ã¢â€šÂ¬Ã‚Âdesigned and wellÃƒÂ¢Ã¢â€šÂ¬Ã‚Âreported, longÃƒÂ¢Ã¢â€šÂ¬Ã‚Âterm (more than three months), headÃƒÂ¢Ã¢â€šÂ¬Ã‚ÂtoÃƒÂ¢Ã¢â€šÂ¬Ã‚Âhead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workÃƒÂ¢Ã¢â€šÂ¬Ã‚Ârelated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TwentyÃƒÂ¢Ã¢â€šÂ¬Ã‚Âtwo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participantÃƒÂ¢Ã¢â€šÂ¬Ã‚Ârated good/excellent control of hand eczema when compared to vehicle (516 versus 222 per 1000), but the difference between groups was less clear for investigatorÃƒÂ¢Ã¢â€šÂ¬Ã‚Ârated control, and more adverse events were reported with clobetasol propionate (178 versus 79 per 1000) (all based on moderateÃƒÂ¢Ã¢â€šÂ¬Ã‚Âcertainty evidence). Mometasone furoate cream used thrice weekly may slightly improve investigatorÃƒÂ¢Ã¢â€šÂ¬Ã‚Ârated good/excellent control compared to twice weekly treatment, and participantÃƒÂ¢Ã¢â€šÂ¬Ã‚Ârated control was not measured. Mild skin thinning occurred in both groups, but cases were few (all based on lowÃƒÂ¢Ã¢â€šÂ¬Ã‚Âcertainty evidence). Irradiation with UV light: various types of irradiation (i.e. exposure to radiation) were compared. Local PUVA may improve investigatorÃƒÂ¢Ã¢â€šÂ¬Ã‚Ârated good/excellent control compared to narrowÃƒÂ¢Ã¢â€šÂ¬Ã‚Âband UVB (400 versus 200 per 1000); however, we are uncertain of this finding because results also show that local PUVA may make little or no difference. ParticipantÃƒÂ¢Ã¢â€šÂ¬Ã‚Ârated symptoms were not measured. Nine out of 30 participants in the narrowÃƒÂ¢Ã¢â€šÂ¬Ã‚Âband UVB group reported adverse events (mainly redness) compared to none in the PUVA group (all based on moderateÃƒÂ¢Ã¢â€šÂ¬Ã‚Âcertainty evidence). Topical calcineurin inhibitors: people receiving tacrolimus are probably more likely to achieve improved investigatorÃƒÂ¢Ã¢â€šÂ¬Ã‚Ârated good/excellent symptom control compared to those given vehicle (14/14 participants with tacrolimus compared to none with vehicle), but participantÃƒÂ¢Ã¢â€šÂ¬Ã‚Ârated control of symptoms was not measured. Four of 14 people in the tacrolimus group versus zero in the vehicle group had wellÃƒÂ¢Ã¢â€šÂ¬Ã‚Âtolerated application site burning/itching. One small study compared tacrolimus to mometasone furoate, which were both well tolerated, but did not measure investigatorÃƒÂ¢Ã¢â€šÂ¬Ã‚Â or participantÃƒÂ¢Ã¢â€šÂ¬Ã‚Ârated control (all based on moderateÃƒÂ¢Ã¢â€šÂ¬Ã‚Âcertainty evidence). Oral interventions: oral immunosuppressant (a drug that hinders the immune response) cyclosporin probably slightly improves investigatorÃƒÂ¢Ã¢â€šÂ¬Ã‚Â or participantÃƒÂ¢Ã¢â€šÂ¬Ã‚Ârated control of good/excellent symptoms compared to topical betamethasone cream (a corticosteroid). The risk of adverse events such as dizziness was similar between groups (all based on moderateÃƒÂ¢Ã¢â€šÂ¬Ã‚Âcertainty evidence). The oral vitamin A derivative (retinoid) alitretinoin (10 mg) achieved investigatorÃƒÂ¢Ã¢â€šÂ¬Ã‚Ârated good/excellent symptom control in 307 compared to 194 participants per 1000 with placebo, and alitretinoin 30 mg achieved investigatorÃƒÂ¢Ã¢â€šÂ¬Ã‚Ârated control in 432 compared to 157 participants per 1000 with placebo. Similar results were shown for participantÃƒÂ¢Ã¢â€šÂ¬Ã‚Ârated control (highÃƒÂ¢Ã¢â€šÂ¬Ã‚Âcertainty evidence). When the dosage of alitretinoin was increased to 30 mg, risk of headache was higher compared to placebo (74 versus 251 per 1000; highÃƒÂ¢Ã¢â€šÂ¬Ã‚Âcertainty evidence), but this probably does not differ between alitretinoin 10 mg and placebo (based on moderateÃƒÂ¢Ã¢â€šÂ¬Ã‚Âcertainty evidence). Quality of the evidence The quality of evidence was mainly moderate, with most analyses based on single studies that had small sample sizes; therefore, some results should be interpreted with care.</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</si>
  <si>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Ãƒâ€šÃ‚Â© 2021 European Society for Medical Oncology</t>
  </si>
  <si>
    <t>Mobile phoneÃƒÂ¢Ã¢â€šÂ¬Ã‚Âbased interventions for improving adherence to medication prescribed for the primary prevention of cardiovascular disease in adults</t>
  </si>
  <si>
    <t>- Background Cardiovascular disease (CVD) is a major cause of disability and mortality globally. Premature fatal and nonÃƒÂ¢Ã¢â€šÂ¬Ã‚Âfatal CVD is considered to be largely preventable through the control of risk factors by lifestyle modifications and preventive medication. LipidÃƒÂ¢Ã¢â€šÂ¬Ã‚Âlowering and antihypertensive drug therapies for primary prevention are costÃƒÂ¢Ã¢â€šÂ¬Ã‚Âeffective in reducing CVD morbidity and mortality among highÃƒÂ¢Ã¢â€šÂ¬Ã‚Ârisk people and are recommended by international guidelines. However, adherence to medication prescribed for the prevention of CVD can be poor. Approximately 9% of CVD cases in the EU are attributed to poor adherence to vascular medications. LowÃƒÂ¢Ã¢â€šÂ¬Ã‚Âcost,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oneÃƒÂ¢Ã¢â€šÂ¬Ã‚Âyear followÃƒÂ¢Ã¢â€šÂ¬Ã‚Âup in order that the outcome measures related to longerÃƒÂ¢Ã¢â€šÂ¬Ã‚Âterm, sustained medication adherence behaviours and outcomes. Eligible comparators were usual care or control groups receiving no mobile phoneÃƒÂ¢Ã¢â€šÂ¬Ã‚Âdelivered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communityÃƒÂ¢Ã¢â€šÂ¬Ã‚Âbased primary and tertiary care or outpatient clinics. The interventions varied widely from those delivered solely through short messaging service (SMS) to those involving a combination of modes of delivery, such as SMS in addition to healthcare worker training, faceÃƒÂ¢Ã¢â€šÂ¬Ã‚ÂtoÃƒÂ¢Ã¢â€šÂ¬Ã‚Âface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metaÃƒÂ¢Ã¢â€šÂ¬Ã‚Âanalyses. The body of evidence for the effect of mobile phoneÃƒÂ¢Ã¢â€šÂ¬Ã‚Âbased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lowÃƒÂ¢Ã¢â€šÂ¬Ã‚Âdensity lipoprotein cholesterol (LDLÃƒÂ¢Ã¢â€šÂ¬Ã‚ÂC), two studies found evidence for a small beneficial intervention effect on reducing LDLÃƒÂ¢Ã¢â€šÂ¬Ã‚ÂC (ÃƒÂ¢Ã‹â€ Ã¢â‚¬â„¢5.30 mg/dL, 95% confidence interval (CI) ÃƒÂ¢Ã‹â€ Ã¢â‚¬â„¢8.30 to ÃƒÂ¢Ã‹â€ Ã¢â‚¬â„¢2.30; and ÃƒÂ¢Ã‹â€ Ã¢â‚¬â„¢9.20 mg/dL, 95% CI ÃƒÂ¢Ã‹â€ Ã¢â‚¬â„¢17.70 to ÃƒÂ¢Ã‹â€ Ã¢â‚¬â„¢0.70). The other three studies found results varying from a small reduction (ÃƒÂ¢Ã‹â€ Ã¢â‚¬â„¢7.7 mg/dL) to a small increase in LDLÃƒÂ¢Ã¢â€šÂ¬Ã‚ÂC (0.77 mg/dL). All of which had wide confidence intervals that included no effect. Across 13 studies (25,166 participants) measuring systolic blood pressure, effect estimates ranged from a large reduction (MD ÃƒÂ¢Ã‹â€ Ã¢â‚¬â„¢12.45 mmHg, 95% CI ÃƒÂ¢Ã‹â€ Ã¢â‚¬â„¢15.02 to ÃƒÂ¢Ã‹â€ Ã¢â‚¬â„¢9.88) to a small increase (MD 2.80 mmHg, 95% CI 0.30 to 5.30). We found a similar range of effect estimates for diastolic BP, ranging from ÃƒÂ¢Ã‹â€ Ã¢â‚¬â„¢12.23 mmHg (95% CI ÃƒÂ¢Ã‹â€ Ã¢â‚¬â„¢14.03 to ÃƒÂ¢Ã‹â€ Ã¢â‚¬â„¢10.43) to 1.64 mmHg (95% CI ÃƒÂ¢Ã‹â€ Ã¢â‚¬â„¢0.55 to 3.83) (11 trials, 19,716 participants). Four trials showed intervention benefits for systolic and diastolic BP with confidence intervals excluding no effect, and among these were all three of the trials evaluating selfÃƒÂ¢Ã¢â€šÂ¬Ã‚Âmonitoring of blood pressure with mobile phoneÃƒÂ¢Ã¢â€šÂ¬Ã‚Âbased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ÃƒÂ¢Ã‹â€ Ã¢â‚¬â„¢1.55 mmHg, 95% CI ÃƒÂ¢Ã‹â€ Ã¢â‚¬â„¢3.36 to 0.25; I 2 = 0%) and small increases in controlled BP (OR 1.32, 95% CI 1.06 to 1.65; I 2 = 0%). Based on four studies (12,439 participants), there was very lowÃƒÂ¢Ã¢â€šÂ¬Ã‚Âcertainty evidence (downgraded twice for imprecision and once for risk of bias) relating to the intervention effect on combined (fatal and nonÃƒÂ¢Ã¢â€šÂ¬Ã‚Âfatal) CVD events. Two studies (2535 participants) provided lowÃƒÂ¢Ã¢â€šÂ¬Ã‚Âcertainty evidence for the effect of the intervention on cognitive outcomes, with little or no difference between trial arms for perceived quality of care and satisfaction with treatment. There was moderateÃƒÂ¢Ã¢â€šÂ¬Ã‚Âcertainty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interventionÃƒÂ¢Ã¢â€šÂ¬Ã‚Ârelated adverse events. One study stated that potential side effects were similar between groups. One study reported a similar number of deaths in each arm, but did not provide further information relating to potential adverse events. Authors' conclusions There is lowÃƒÂ¢Ã¢â€šÂ¬Ã‚Âcertainty evidence on the effects of mobile phoneÃƒÂ¢Ã¢â€šÂ¬Ã‚Âdelivered interventions to increase adherence to medication prescribed for the primary prevention of CVD. Trials of BP selfÃƒÂ¢Ã¢â€šÂ¬Ã‚Âmonitoring with mobileÃƒÂ¢Ã¢â€šÂ¬Ã‚Âphone telemedicine support reported modest benefits. One trial at low risk of bias reported modest reductions in LDL cholesterol but no benefits for BP. There is moderateÃƒÂ¢Ã¢â€šÂ¬Ã‚Âcertainty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lowÃƒÂ¢Ã¢â€šÂ¬Ã‚Âcost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SelfÃƒÂ¢Ã¢â€šÂ¬Ã‚Âmonitoring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</si>
  <si>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Background:</t>
  </si>
  <si>
    <t>Anticholinergics combined with alphaÃƒÂ¢Ã¢â€šÂ¬Ã‚Âblockers for treating lower urinary tract symptoms related to benign prostatic obstruction</t>
  </si>
  <si>
    <t>- Background Lower urinary tract symptoms (LUTS) due to benign prostatic obstruction (BPO) represent one of the most common clinical complaints in men. AlphaÃƒÂ¢Ã¢â€šÂ¬Ã‚Âblockers are widely used as firstÃƒÂ¢Ã¢â€šÂ¬Ã‚Âline therapy for men with LUTS secondary to BPO, but up to one third of men report no improvement in their LUTS after taking alphaÃƒÂ¢Ã¢â€šÂ¬Ã‚Âblockers. Anticholinergics used in addition to alphaÃƒÂ¢Ã¢â€šÂ¬Ã‚Âblockers may help improve symptoms but it is uncertain how effective they are. Objectives To assess the effects of combination therapy with anticholinergics and alphaÃƒÂ¢Ã¢â€šÂ¬Ã‚Âblockers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alphaÃƒÂ¢Ã¢â€šÂ¬Ã‚Âblockers monotherapy, and combination therapy versus anticholinergics monotherapy. Data collection and analysis Two review authors independently screened the literature, extracted data, and assessed risk of bias. We performed statistical analyses using a randomÃƒÂ¢Ã¢â€šÂ¬Ã‚Âeffects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singleÃƒÂ¢Ã¢â€šÂ¬Ã‚Âcenter setting, while 11 used a multiÃƒÂ¢Ã¢â€šÂ¬Ã‚Âcenter setting. We only found shortÃƒÂ¢Ã¢â€šÂ¬Ã‚Âterm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ÃƒÂ¢Ã¢â€šÂ¬Ã¢â‚¬Å“2.73, 95% confidence interval (CI) ÃƒÂ¢Ã¢â€šÂ¬Ã¢â‚¬Å“5.55 to 0.08; lowÃƒÂ¢Ã¢â€šÂ¬Ã‚Âcertainty evidence). We are very uncertain about the effect of combination therapy on quality of life (QoL) (MD ÃƒÂ¢Ã¢â€šÂ¬Ã¢â‚¬Å“0.97, 95% CI ÃƒÂ¢Ã¢â€šÂ¬Ã¢â‚¬Å“2.11 to 0.16; very lowÃƒÂ¢Ã¢â€šÂ¬Ã‚Âcertainty evidence). Combination therapy likely increases adverse events (risk ratio (RR) 1.24, 95% CI 1.04 to 1.47; moderateÃƒÂ¢Ã¢â€šÂ¬Ã‚Âcertainty evidence); based on 252 adverse events per 1000 participants in the placebo group, this corresponds to 61 more adverse events (95% CI 10 more to 119 more) per 1000 participants treated with combination therapy. Combination therapy versus alphaÃƒÂ¢Ã¢â€šÂ¬Ã‚Âblockers alone: based on 22 studies with 4904 randomized participants, we are very uncertain about the effect of combination therapy on urologic symptom scores (MD ÃƒÂ¢Ã¢â€šÂ¬Ã¢â‚¬Å“2.04, 95% CI ÃƒÂ¢Ã¢â€šÂ¬Ã¢â‚¬Å“3.56 to ÃƒÂ¢Ã¢â€šÂ¬Ã¢â‚¬Å“0.52; very lowÃƒÂ¢Ã¢â€šÂ¬Ã‚Âcertainty evidence) and QoL (MD ÃƒÂ¢Ã¢â€šÂ¬Ã¢â‚¬Å“0.71, 95% CI ÃƒÂ¢Ã¢â€šÂ¬Ã¢â‚¬Å“1.03 to ÃƒÂ¢Ã¢â€šÂ¬Ã¢â‚¬Å“0.38; very lowÃƒÂ¢Ã¢â€šÂ¬Ã‚Âcertainty evidence). Combination therapy may result in little or no difference in adverse events rate (RR 1.10, 95% CI 0.90 to 1.34; lowÃƒÂ¢Ã¢â€šÂ¬Ã‚Âcertainty evidence); based on 228 adverse events per 1000 participants in the alphaÃƒÂ¢Ã¢â€šÂ¬Ã‚Âblocker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ÃƒÂ¢Ã¢â€šÂ¬Ã¢â‚¬Å“3.71, 95% CI ÃƒÂ¢Ã¢â€šÂ¬Ã¢â‚¬Å“9.41 to 1.98; very lowÃƒÂ¢Ã¢â€šÂ¬Ã‚Âcertainty evidence). Combination therapy may result in an improvement in QoL (MD ÃƒÂ¢Ã¢â€šÂ¬Ã¢â‚¬Å“1.49, 95% CI ÃƒÂ¢Ã¢â€šÂ¬Ã¢â‚¬Å“1.88 to ÃƒÂ¢Ã¢â€šÂ¬Ã¢â‚¬Å“1.11; lo ÃƒÂ¢Ã¢â€šÂ¬Ã‚Âcertainty evidence). Combination therapy likely results in little to no difference in adverse events (RR 1.26, 95% CI 0.81 to 1.95; moderateÃƒÂ¢Ã¢â€šÂ¬Ã‚Âcertainty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alphaÃƒÂ¢Ã¢â€šÂ¬Ã‚Âblockers are associated with little or uncertain effects on urologic symptom scores compared to placebo, alphaÃƒÂ¢Ã¢â€šÂ¬Ã‚Âblockers, or anticholinergics monotherapy. However, combination therapy may result in an improvement in quality of life compared to anticholinergics monotherapy, but an uncertain effect compared to placebo, or alphaÃƒÂ¢Ã¢â€šÂ¬Ã‚Âblockers. Combination therapy likely increases adverse events compared to placebo, but not compared to alphaÃƒÂ¢Ã¢â€šÂ¬Ã‚Âblockers or anticholinergics monotherapy. The findings of this review were limited by study limitations, inconsistency, and imprecision. We were unable to conduct any of the predefined subgroup analyses. Plain language summary Anticholinergics combined with alphaÃƒÂ¢Ã¢â€šÂ¬Ã‚Âblockers for treating lower urinary tract symptoms related to benign prostatic obstruction Review question Is combination therapy with anticholinergics, a type of medicine that can relieve abnormal bladder contraction (where a man cannot control when he urinates), and alphaÃƒÂ¢Ã¢â€šÂ¬Ã‚Âblockers,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alphaÃƒÂ¢Ã¢â€šÂ¬Ã‚Âblockers have been used to relieve the urinary symptoms, up to one third of men get no benefit. Combination therapy with alphaÃƒÂ¢Ã¢â€šÂ¬Ã‚Âblockers and anticholinergics provides a treatment option for men with urinary symptoms. Study characteristics The search is upÃƒÂ¢Ã¢â€šÂ¬Ã‚ÂtoÃƒÂ¢Ã¢â€šÂ¬Ã‚Âdate to 7 August 2020. We identified 23 studies involving 6285 men. Five studies compared combination therapy with anticholinergics and alphaÃƒÂ¢Ã¢â€šÂ¬Ã‚Âblockers versus placebo (a pill with no therapeutic effects). A total of 22 studies compared combination therapy with anticholinergics and alphaÃƒÂ¢Ã¢â€šÂ¬Ã‚Âblockers versus alphaÃƒÂ¢Ã¢â€šÂ¬Ã‚Âblockers alone. Three studies compared combination therapy with anticholinergics and alphaÃƒÂ¢Ã¢â€šÂ¬Ã‚Âblockers versus anticholinergics alone. The followÃƒÂ¢Ã¢â€šÂ¬Ã‚Âup period in the studies ranged from 12 weeks to one year. Key results Combination therapy versus placebo: combination therapy with anticholinergics and alphaÃƒÂ¢Ã¢â€šÂ¬Ã‚Âblockers was associated with little effect in urinary symptoms and uncertain improvement on quality of life, but combination therapy may increase unwanted side effects. Combination therapy versus alphaÃƒÂ¢Ã¢â€šÂ¬Ã‚Âblockers: combination therapy with anticholinergics and alphaÃƒÂ¢Ã¢â€šÂ¬Ã‚Âblockers may have uncertain effects on improvement of urinary symptoms and quality of life compared to alphaÃƒÂ¢Ã¢â€šÂ¬Ã‚Âblockers alone. Combination therapy may not increase unwanted side effects. Combination therapy compared to anticholinergics: combination therapy with anticholinergics and alphaÃƒÂ¢Ã¢â€šÂ¬Ã‚Âblockers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</si>
  <si>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Peer-reviewed article from a systematic review.</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</si>
  <si>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Ãƒâ€šÃ‚Â© Queen's Printer and Controller of HMSO 2021.</t>
  </si>
  <si>
    <t>- Background Dementia is a progressive syndrome characterised by deterioration in memory, thinking and behaviour, and by impaired ability to perform daily activities. Two classes of drug ÃƒÂ¢Ã¢â€šÂ¬Ã‚Â cholinesterase inhibitors (donepezil, galantamine and rivastigmine) and memantine ÃƒÂ¢Ã¢â€šÂ¬Ã‚Â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carerÃƒÂ¢Ã¢â€šÂ¬Ã‚Ârelated outcomes. Search methods We searched the Cochrane Dementia and Cognitive Improvement GroupÃƒÂ¢Ã¢â€šÂ¬Ã¢â€žÂ¢s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fullÃƒÂ¢Ã¢â€šÂ¬Ã‚Âtext articles for inclusion, extracted data from included trials and assessed risk of bias using the Cochrane risk of bias tool. Where trials were sufficiently similar, we pooled data for outcomes in the short term (up to 2 months after randomisation), medium term (3ÃƒÂ¢Ã¢â€šÂ¬Ã‚Â11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ÃƒÂ¢Ã¢â€šÂ¬Ã‚Â0.42, 95% confidence interval (CI) ÃƒÂ¢Ã¢â€šÂ¬Ã‚Â0.64 to ÃƒÂ¢Ã¢â€šÂ¬Ã‚Â0.21; 4 studies; low certainty), but the effect in the medium term is very uncertain (SMD ÃƒÂ¢Ã¢â€šÂ¬Ã‚Â0.40, 95% CI ÃƒÂ¢Ã¢â€šÂ¬Ã‚Â0.87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ÃƒÂ¢Ã¢â€šÂ¬Ã‚Â0.62; 95% CI ÃƒÂ¢Ã¢â€šÂ¬Ã‚Â0.94 to ÃƒÂ¢Ã¢â€šÂ¬Ã‚Â0.31). Data from one longerÃƒÂ¢Ã¢â€šÂ¬Ã‚Âterm study suggest that discontinuing a cholinesterase inhibitor is probably associated with worse cognitive function at 12 months (mean difference (MD) ÃƒÂ¢Ã¢â€šÂ¬Ã‚Â2.09 Standardised MiniÃƒÂ¢Ã¢â€šÂ¬Ã‚ÂMental State Examination (SMMSE) points, 95% CI ÃƒÂ¢Ã¢â€šÂ¬Ã‚Â3.43 to ÃƒÂ¢Ã¢â€šÂ¬Ã‚Â0.75; moderate certainty). Discontinuation may make little or no difference to functional status in the short term (SM ÃƒÂ¢Ã¢â€šÂ¬Ã‚Â0.25, 95% CI ÃƒÂ¢Ã¢â€šÂ¬Ã‚Â0.54 to 0.04; 2 studies; low certainty), and its effect in the medium term is uncertain (SMD ÃƒÂ¢Ã¢â€šÂ¬Ã‚Â0.38, 95% CI ÃƒÂ¢Ã¢â€šÂ¬Ã‚Â0.74 to ÃƒÂ¢Ã¢â€šÂ¬Ã‚Â0.01; 2 studies; very low certainty). After 12 months, discontinuing a cholinesterase inhibitor probably results in greater functional impairment than continuing treatment (MD ÃƒÂ¢Ã¢â€šÂ¬Ã‚Â3.38 Bristol Activities of Daily Living Scale (BADLS) points, 95% CI ÃƒÂ¢Ã¢â€šÂ¬Ã‚Â6.67 to ÃƒÂ¢Ã¢â€šÂ¬Ã‚Â0.10; one study; moderate certainty). Discontinuation may be associated with a worsening of neuropsychiatric symptoms over the short term and medium term, although we cannot exclude a minimal effect (SMD ÃƒÂ¢Ã¢â€šÂ¬Ã‚Â 0.48, 95% CI ÃƒÂ¢Ã¢â€šÂ¬Ã‚Â0.82 to ÃƒÂ¢Ã¢â€šÂ¬Ã‚Â0.13; 2 studies; low certainty; and SMD ÃƒÂ¢Ã¢â€šÂ¬Ã‚Â0.27, 95% CI ÃƒÂ¢Ã¢â€šÂ¬Ã‚Â0.47 to ÃƒÂ¢Ã¢â€šÂ¬Ã‚Â0.08; 3 studies; low certainty, respectively). Data from one study suggest that discontinuing a cholinesterase inhibitor may result in little to no change in neuropsychiatric status at 12 months (MD ÃƒÂ¢Ã¢â€šÂ¬Ã‚Â0.87 Neuropsychiatric Inventory (NPI) points; 95% CI ÃƒÂ¢Ã¢â€šÂ¬Ã‚Â8.42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wellÃƒÂ¢Ã¢â€šÂ¬Ã‚Âdesigned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antiÃƒÂ¢Ã¢â€šÂ¬Ã‚Âdementia drugs in patients with dementia Background Dementia is the term used to describe a group of illnesses, usually developing in late life, in which there is a deterioration in a personÃƒÂ¢Ã¢â€šÂ¬Ã¢â€žÂ¢s ability to think, remember, communicate and manage daily activities independently. It can be caused by several different brain diseases, but the most common form is dementia due to AlzheimerÃƒÂ¢Ã¢â€šÂ¬Ã¢â€žÂ¢s disease. At the moment, there are no medical treatments which can prevent dementia or stop it from progressing, but there are two classes of drugs ÃƒÂ¢Ã¢â€šÂ¬Ã¢â‚¬Å“ the cholinesterase inhibitors (donepezil, rivastigmine and galantamine) and memantine ÃƒÂ¢Ã¢â€šÂ¬Ã‚Â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longÃƒÂ¢Ã¢â€šÂ¬Ã‚Âterm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AlzheimerÃƒÂ¢Ã¢â€šÂ¬Ã¢â€žÂ¢s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patientsÃƒÂ¢Ã¢â€šÂ¬Ã¢â€žÂ¢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AlzheimerÃƒÂ¢Ã¢â€šÂ¬Ã¢â€žÂ¢s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patientÃƒÂ¢Ã¢â€šÂ¬Ã¢â€žÂ¢s preferences, are also important.</t>
  </si>
  <si>
    <t>Peer-reviewed article from Cochrane review.</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</si>
  <si>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Ãƒâ€šÃ‚Â© Queen's Printer and Controller of HMSO 2021.</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</si>
  <si>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Ãƒâ€šÃ‚Â© Author(s) (or their employer(s)) 2020. Re-use permitted under CC BY-NC. No commercial re-use. See rights and permissions. Published by BMJ.</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</si>
  <si>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Ãƒâ€šÃ‚Â© Authors 2021</t>
  </si>
  <si>
    <t>Introduction In one-third of all abdominal aortic aneurysms (AAAs), the aneurysm neck is short (juxtarenal) or shows other adverse anatomical features rendering operations more complex, hazardous and expensive. Surgical options include open surgical repair and endovascular aneurysm repair (EVAR) techniques including fenestrated EVAR, EVAR with adjuncts (chimneys/endoanchors) and off-label standard EVAR. The aim of the UK COMPlex AneurySm Study (UK-COMPASS) is to answer the research question identified by the National Institute for Health Research Health Technology Assessment (NIHR HTA) Programme: What is the clinical and cost-effectiveness of strategies for the management of juxtarenal AAA, including fenestrated endovascular repair?' Methods and analysis UK-COMPASS is a cohort study comparing clinical and cost-effectiveness of different strategies used to manage complex AAAs with stratification of physiological fitness and anatomical complexity, with statistical correction for baseline risk and indication biases. There are two data streams. First, a stream of routinely collected data from Hospital Episode Statistics and National Vascular Registry (NVR). Preoperative CT scans of all patients who underwent elective AAA repair in England between 1 November 2017 and 31 October 2019 are subjected to Corelab analysis to accurately identify and include every complex aneurysm treated. Second, a site-reported data stream regarding quality of life and treatment costs from prospectively recruited patients across England. Site recruitment also includes patients with complex aneurysms larger than 55 mm diameter in whom an operation is deferred (medical management). The primary outcome measure is perioperative all-cause mortality. Follow-up will be to a median of 5 years. Ethics and dissemination The study has received full regulatory approvals from a Research Ethics Committee, the Confidentiality Advisory Group and the Health Research Authority. Data sharing agreements are in place with National Health Service Digital and the NVR. Dissemination will be via NIHR HTA reporting, peer-reviewed journals and conferences. Trial registration number ISRCTN85731188. Copyright Ãƒâ€šÃ‚Â© Author(s) (or their employer(s)) 2021. Re-use permitted under CC BY. Published by BMJ.</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</si>
  <si>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Ãƒâ€šÃ‚Â© 2020, The Author(s).</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</si>
  <si>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Ãƒâ€šÃ‚Â© 2021</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</si>
  <si>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Ãƒâ€šÃ‚Â© 2021, The Author(s).</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</si>
  <si>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Ãƒâ€šÃ‚Â© AANS 2021.</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</si>
  <si>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Ãƒâ€šÃ‚Â© 2021 Perkins et al.</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</si>
  <si>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quasiÃƒÂ¢Ã¢â€šÂ¬Ã‚ÂRCTs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patientÃƒÂ¢Ã¢â€šÂ¬Ã‚Âreported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quasiÃƒÂ¢Ã¢â€šÂ¬Ã‚ÂRCT,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lowÃƒÂ¢Ã¢â€šÂ¬Ã‚Âcertainty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lowÃƒÂ¢Ã¢â€šÂ¬Ã‚Âcertainty evidence of no clinically important difference between the two groups in patientÃƒÂ¢Ã¢â€šÂ¬Ã‚Ârated function or active finger range of motion at 6 or 12 months followÃƒÂ¢Ã¢â€šÂ¬Ã‚Âup. There is very lowÃƒÂ¢Ã¢â€šÂ¬Ã‚Âcertainty evidence of little betweenÃƒÂ¢Ã¢â€šÂ¬Ã‚Âgroup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selfÃƒÂ¢Ã¢â€šÂ¬Ã‚Ârated function, on range of movement during three to six months or numbers of participants experiencing adverse events. The very lowÃƒÂ¢Ã¢â€šÂ¬Ã‚Âcertainty evidence for poor (under oneÃƒÂ¢Ã¢â€šÂ¬Ã‚Âquarter that of normal) range of finger movement at one to three years followÃƒÂ¢Ã¢â€šÂ¬Ã‚Âup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lowÃƒÂ¢Ã¢â€šÂ¬Ã‚Âcertainty evidence of no difference in selfÃƒÂ¢Ã¢â€šÂ¬Ã‚Ârated function using the Disability of the Arm, Shoulder and Hand (DASH) functional assessment between the two groups at six months (one trial) or at 12 months (one trial). There is very lowÃƒÂ¢Ã¢â€šÂ¬Ã‚Âcertainty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lowÃƒÂ¢Ã¢â€šÂ¬Ã‚Âcertainty. Authors' conclusions There is a lack of evidence from RCTs on most of the rehabilitation interventions used following surgery for flexor tendon injuries of the hand. The limited and very lowÃƒÂ¢Ã¢â€šÂ¬Ã‚Âcertainty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ÃƒÂ¢Ã¢â€šÂ¬Ã¢â‚¬Å“ for example, because of a deep cut from broken glass ÃƒÂ¢Ã¢â€šÂ¬Ã¢â‚¬Å“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ÃƒÂ¢Ã¢â€šÂ¬Ã‚Â which approaches are most effect ve in restoring finger motion and function; and ÃƒÂ¢Ã¢â€šÂ¬Ã‚Â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ÃƒÂ¢Ã¢â€šÂ¬Ã‚Â no treatment; ÃƒÂ¢Ã¢â€šÂ¬Ã‚Â a placebo (dummy) treatment (in which, for example, someone thinks they may be receiving laser therapy but the machine is switched off); or ÃƒÂ¢Ã¢â€šÂ¬Ã‚Â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threeÃƒÂ¢Ã¢â€šÂ¬Ã‚Âquarters of them were male. Ten studies evaluated one each of eight different hand exercise programmes. The other seven studies evaluated a variety of other rehabilitation approaches, such as: ÃƒÂ¢Ã¢â€šÂ¬Ã‚Â laser therapy, in which light is directed at the tendons to encourage healing; ÃƒÂ¢Ã¢â€šÂ¬Ã‚Â ultrasound, in which sound waves are directed at the tendons to encourage healing; and ÃƒÂ¢Ã¢â€šÂ¬Ã‚Â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ÃƒÂ¢Ã¢â€šÂ¬Ã‚Â one study (84 people) that compared finger exercises against immobilisation; ÃƒÂ¢Ã¢â€šÂ¬Ã‚Â one study (53 people) that evaluated the effects of adding regular finger exercises (20 to 30 times every waking hour for four weeks from the first day after surgery) to ÃƒÂ¢Ã¢â€šÂ¬Ã‹Å“passiveÃƒÂ¢Ã¢â€šÂ¬Ã¢â€žÂ¢ exercises (in which people regularly folded the fingers in the injured hand using the uninjured hand); and ÃƒÂ¢Ã¢â€šÂ¬Ã‚Â three studies (190 people) that evaluated the effects of adding ÃƒÂ¢Ã¢â€šÂ¬Ã‹Å“place and holdÃƒÂ¢Ã¢â€šÂ¬Ã¢â€žÂ¢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cliniciansÃƒÂ¢Ã¢â€šÂ¬Ã¢â€žÂ¢ and patientsÃƒÂ¢Ã¢â€šÂ¬Ã¢â€žÂ¢ choice of rehabilitation after surgery for flexor tendon injuries. How upÃƒÂ¢Ã¢â€šÂ¬Ã‚ÂtoÃƒÂ¢Ã¢â€šÂ¬Ã‚Âdate is this review? The evidence in this Cochrane Review is current to August 2020.</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</si>
  <si>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Ãƒâ€šÃ‚Â© The Author(s) 2020."</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</si>
  <si>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Ãƒâ€šÃ‚Â© 2021 The Authors</t>
  </si>
  <si>
    <t>Antiemetics for adults for prevention of nausea and vomiting caused by moderately or highly emetogenic chemotherapy: a network metaÃƒÂ¢Ã¢â€šÂ¬Ã‚Âanalysis</t>
  </si>
  <si>
    <t>- Background About 70% to 80% of adults with cancer experience chemotherapyÃƒÂ¢Ã¢â€šÂ¬Ã‚Âinduced nausea and vomiting (CINV). CINV remains one of the most distressing symptoms associated with cancer therapy and is associated with decreased adherence to chemotherapy. Combining 5ÃƒÂ¢Ã¢â€šÂ¬Ã‚ÂhydroxytryptamineÃƒÂ¢Ã¢â€šÂ¬Ã‚Â3 (5ÃƒÂ¢Ã¢â€šÂ¬Ã‚ÂHTÃƒÂ¢Ã¢â‚¬Å¡Ã†â€™) receptor antagonists with corticosteroids or additionally with neurokininÃƒÂ¢Ã¢â€šÂ¬Ã‚Â1 (NKÃƒÂ¢Ã¢â‚¬Å¡Ã‚Â) receptor antagonists is effective in preventing CINV among adults receiving highly emetogenic chemotherapy (HEC) or moderately emetogenic chemotherapy (MEC). Various treatment options are available, but direct headÃƒÂ¢Ã¢â€šÂ¬Ã‚ÂtoÃƒÂ¢Ã¢â€šÂ¬Ã‚Âhead comparisons do not allow comparison of all treatments versus another. Objectives ÃƒÂ¢Ã¢â€šÂ¬Ã‚Â¢ In adults with solid cancer or haematological malignancy receiving HEC ÃƒÂ¢Ã¢â€šÂ¬Ã‚Â To compare the effects of antiemetic treatment combinations including NKÃƒÂ¢Ã¢â‚¬Å¡Ã‚Â receptor antagonists, 5ÃƒÂ¢Ã¢â€šÂ¬Ã‚ÂHTÃƒÂ¢Ã¢â‚¬Å¡Ã†â€™ receptor antagonists, and corticosteroids on prevention of acute phase (Day 1), delayed phase (Days 2 to 5), and overall (Days 1 to 5) chemotherapyÃƒÂ¢Ã¢â€šÂ¬Ã‚Âinduced nausea and vomiting in network metaÃƒÂ¢Ã¢â€šÂ¬Ã‚Âanalysis (NMA) ÃƒÂ¢Ã¢â€šÂ¬Ã‚Â To generate a clinically meaningful treatment ranking according to treatment safety and efficacy ÃƒÂ¢Ã¢â€šÂ¬Ã‚Â¢ In adults with solid cancer or haematological malignancy receiving MEC ÃƒÂ¢Ã¢â€šÂ¬Ã‚Â To compare whether antiemetic treatment combinations including NKÃƒÂ¢Ã¢â‚¬Å¡Ã‚Â receptor antagonists, 5ÃƒÂ¢Ã¢â€šÂ¬Ã‚ÂHTÃƒÂ¢Ã¢â‚¬Å¡Ã†â€™ receptor antagonists, and corticosteroids are superior for prevention of acute phase (Day 1), delayed phase (Days 2 to 5), and overall (Days 1 to 5) chemotherapyÃƒÂ¢Ã¢â€šÂ¬Ã‚Âinduced nausea and vomiting to treatment combinations including 5ÃƒÂ¢Ã¢â€šÂ¬Ã‚ÂHTÃƒÂ¢Ã¢â‚¬Å¡Ã†â€™ receptor antagonists and corticosteroids solely, in network metaÃƒÂ¢Ã¢â€šÂ¬Ã‚Âanalysis ÃƒÂ¢Ã¢â€šÂ¬Ã‚Â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NKÃƒÂ¢Ã¢â‚¬Å¡Ã‚Â and 5ÃƒÂ¢Ã¢â€šÂ¬Ã‚ÂHTÃƒÂ¢Ã¢â‚¬Å¡Ã†â€™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onÃƒÂ¢Ã¢â€šÂ¬Ã‚Âstudy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NKÃƒÂ¢Ã¢â‚¬Å¡Ã‚Â and 5ÃƒÂ¢Ã¢â€šÂ¬Ã‚ÂHTÃƒÂ¢Ã¢â‚¬Å¡Ã†â€™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NKÃƒÂ¢Ã¢â‚¬Å¡Ã‚Â and 5ÃƒÂ¢Ã¢â€šÂ¬Ã‚ÂHTÃƒÂ¢Ã¢â‚¬Å¡Ã†â€™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lowÃƒÂ¢Ã¢â€šÂ¬Ã‚Âcertainty), aprepitant + ramosetron (753 of 1000; RR 1.07, 95% CI 0.95 to 1.21; low certainty), and fosaprepitant + palonosetron (746 of 1000; RR 1.06, 95% CI 0.96 to .19; low certainty). Netupitant + palonosetron (704 of 1000; RR 1.00, 95% CI 0.93 to 1.08; highÃƒÂ¢Ã¢â€šÂ¬Ã‚Âcertainty) and fosaprepitant + granisetron (697 of 1000; RR 0.99, 95% CI 0.93 to 1.06; highÃƒÂ¢Ã¢â€šÂ¬Ã‚Âcertainty)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NKÃƒÂ¢Ã¢â‚¬Å¡Ã‚Â and 5ÃƒÂ¢Ã¢â€šÂ¬Ã‚ÂHTÃƒÂ¢Ã¢â‚¬Å¡Ã†â€™ inhibitors, or 5ÃƒÂ¢Ã¢â€šÂ¬Ã‚ÂHTÃƒÂ¢Ã¢â‚¬Å¡Ã†â€™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pairÃƒÂ¢Ã¢â€šÂ¬Ã‚Âwise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chemotherapyÃƒÂ¢Ã¢â€šÂ¬Ã‚Âinduced nausea and vomiting. For people receiving MEC, synthesised evidence does not suggest superiority for treatments including both NKÃƒÂ¢Ã¢â‚¬Å¡Ã‚Â and 5ÃƒÂ¢Ã¢â€šÂ¬Ã‚ÂHTÃƒÂ¢Ã¢â‚¬Å¡Ã†â€™ inhibitors when compared to treatments including 5ÃƒÂ¢Ã¢â€šÂ¬Ã‚ÂHTÃƒÂ¢Ã¢â‚¬Å¡Ã†â€™ inhibitors only. Rather, the results of our NMA suggest that the choice of 5ÃƒÂ¢Ã¢â€šÂ¬Ã‚ÂHTÃƒÂ¢Ã¢â‚¬Å¡Ã†â€™ inhibitor may have an impact on treatment efficacy in preventing CINV. When interpreting the results of this systematic review, it is important for the reader to understand that NMAs are no substitute for direct headÃƒÂ¢Ã¢â€šÂ¬Ã‚ÂtoÃƒÂ¢Ã¢â€šÂ¬Ã‚Âhead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metaÃƒÂ¢Ã¢â€šÂ¬Ã‚Âanalysis, we aimed to compare the benefits and harms of different drug combinations for prevention of CINV among people receiving HEC or MEC, and to identify treatment ranking. A network metaÃƒÂ¢Ã¢â€šÂ¬Ã‚Âanalysis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realÃƒÂ¢Ã¢â€šÂ¬Ã‚Âworld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realÃƒÂ¢Ã¢â€šÂ¬Ã‚Âworld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multipleÃƒÂ¢Ã¢â€šÂ¬Ã‚Âcomparison analyses are no substitute for headÃƒÂ¢Ã¢â€šÂ¬Ã‚ÂtoÃƒÂ¢Ã¢â€šÂ¬Ã‚Âhead comparisons, and that the results do not necessarily rule out differences that could be clinically relevant for some individuals. How upÃƒÂ¢Ã¢â€šÂ¬Ã‚ÂtoÃƒÂ¢Ã¢â€šÂ¬Ã‚Âdate is this evidence? Evidence is upÃƒÂ¢Ã¢â€šÂ¬Ã‚ÂtoÃƒÂ¢Ã¢â€šÂ¬Ã‚Âdate to 2 February 2021.</t>
  </si>
  <si>
    <t>Secondary prevention of variceal bleeding in adults with previous oesophageal variceal bleeding due to decompensated liver cirrhosis: a network metaÃƒÂ¢Ã¢â€šÂ¬Ã‚Âanalysis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</si>
  <si>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betaÃƒÂ¢Ã¢â€šÂ¬Ã‚Âblockers,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metaÃƒÂ¢Ã¢â€šÂ¬Ã‚Âanalysis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metaÃƒÂ¢Ã¢â€šÂ¬Ã‚Âanalysis with OpenBUGS using Bayesian methods and calculated the differences in treatments using hazard ratios (HR), odds ratios (OR) and rate ratios with 95% credible intervals (CrI) based on an availableÃƒÂ¢Ã¢â€šÂ¬Ã‚Âcase analysis, according to National Institute of Health and Care Excellence Decision Support Unit guidance. Main results We included a total of 48 randomised clinical trials (3526 participants) in the review. FortyÃƒÂ¢Ã¢â€šÂ¬Ã‚Âsix trials (3442 participants) were included in one or more comparisons. The trials that provided the information included people with cirrhosis due to varied aetiologies. The followÃƒÂ¢Ã¢â€šÂ¬Ã‚Âup ranged from two months to 61 months. All the trials were at high risk of bias. A total of 12 interventions were compared in these trials (sclerotherapy, betaÃƒÂ¢Ã¢â€šÂ¬Ã‚Âblockers, variceal band ligation, betaÃƒÂ¢Ã¢â€šÂ¬Ã‚Âblockers plus sclerotherapy, no active intervention, TIPS (transjugular intrahepatic portosystemic shunt), betaÃƒÂ¢Ã¢â€šÂ¬Ã‚Âblockers plus nitrates, portocaval shunt, sclerotherapy plus variceal band ligation, betaÃƒÂ¢Ã¢â€šÂ¬Ã‚Âblockers plus nitrates plus variceal band ligation, betaÃƒÂ¢Ã¢â€šÂ¬Ã‚Âblockers plus variceal band ligation, sclerotherapy plus nitrates). Overall, 22.5% of the trial participants who received the reference treatment (chosen because this was the commonest treatment compared in the trials) of sclerotherapy died during the followÃƒÂ¢Ã¢â€šÂ¬Ã‚Âup period ranging from two months to 61 months. There was considerable uncertainty in the effects of interventions on mortality. Accordingly, none of the interventions showed superiority over another. None of the trials reported healthÃƒÂ¢Ã¢â€šÂ¬Ã‚Ârelated quality of life. Based on lowÃƒÂ¢Ã¢â€šÂ¬Ã‚Âcertainty evidence, variceal band ligation may result in fewer serious adverse events (number of people) than sclerotherapy (OR 0.19; 95% CrI 0.06 to 0.54; 1 trial; 100 participants). Based on low or very lowÃƒÂ¢Ã¢â€šÂ¬Ã‚Âcertainty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lowÃƒÂ¢Ã¢â€šÂ¬Ã‚Âcertainty evidence, TIPS may result in large decrease in symptomatic rebleed than variceal band ligation (HR 0.12; 95% CrI 0.03 to 0.41; 1 trial; 58 participants). Based on moderateÃƒÂ¢Ã¢â€šÂ¬Ã‚Âcertainty evidence, any variceal rebleed was probably lower in sclerotherapy than in no active intervention (HR 0.62; 95% CrI 0.35 to 0.99, direct comparison HR 0.66; 95% CrI 0.11 to 3.13; 3 trials; 296 participants), betaÃƒÂ¢Ã¢â€šÂ¬Ã‚Âblockers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lowÃƒÂ¢Ã¢â€šÂ¬Ã‚Âcertainty evidence, betaÃƒÂ¢Ã¢â€šÂ¬Ã‚Âblockers alone and TIPS might result in more, other compensation, events than sclerotherapy (rate ratio 2.37; 95% CrI 1.35 to 4.67; 1 trial; 65 participants and rate ratio 2.30; 95% CrI 1.20 to 4.65; 2 trials; 109 participants; lowÃƒÂ¢Ã¢â€šÂ¬Ã‚Âcertainty evidence). The evidence indicates considerable uncertainty about the effect of the interventions including those related to betaÃƒÂ¢Ã¢â€šÂ¬Ã‚Âblockers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BetaÃƒÂ¢Ã¢â€šÂ¬Ã‚Âblockers plus sclerotherapy and TIPS probably result in fewer 'any' variceal rebleeding than sclerotherapy. BetaÃƒÂ¢Ã¢â€šÂ¬Ã‚Âblockers alone and TIPS might result in more other compensation events than sclerotherapy. The evidence indicates considerable uncertainty about the effect of the interventions in the remaining comparisons. Accordingly, highÃƒÂ¢Ã¢â€šÂ¬Ã‚Âquality randomised comparative clinical trials are needed. Plain language summary Prevention of rebleeding from enlarged veins in the food pipe (oesophagus) resulting from advanced liver disease What is the aim of this Cochrane Review? ÃƒÂ¢Ã¢â€šÂ¬Ã‚Â¨To find out the best available preventive treatment for repeated bleeding from oesophageal varices (enlarged veins in the food pipe) in people with advanced liver disease (liver cirrhosis, or lateÃƒÂ¢Ã¢â€šÂ¬Ã‚Âstage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metaÃƒÂ¢Ã¢â€šÂ¬Ã‚Âanalysis'). Date of literature search ÃƒÂ¢Ã¢â€šÂ¬Ã‚Â¨December 2019 Key messages ÃƒÂ¢Ã¢â€šÂ¬Ã‚Â¨None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ÃƒÂ¢Ã¢â€šÂ¬Ã‚Â¨This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betaÃƒÂ¢Ã¢â€šÂ¬Ã‚Âblockers (drugs that slow the heart and decrease the force of heart pumping resulting in decrease pressure in the blood vessels), and TIPS (transjugular intrahepatic portosystemic shunt; an artificial channel that connects the different blood vessels that carry oxygenÃƒÂ¢Ã¢â€šÂ¬Ã‚Âdepleted blood (venous system)) within the liver to reduce the pressure builtÃƒÂ¢Ã¢â€šÂ¬Ã‚Âup in the portal venous system, one of the two venous systems draining the liver), portocaval shunt (performing surgery to create the artificial channel described for TIPS) among others. The review authors wanted to gather and analyse data on death, quality of life, serious and nonÃƒÂ¢Ã¢â€šÂ¬Ã‚Âserious adverse events, recurrence of bleeding, and development of other complications of advanced liver disease.ÃƒÂ¢Ã¢â€šÂ¬Ã‚Â¨ÃƒÂ¢Ã¢â€šÂ¬Ã‚Â¨ What were the main results of the review? ÃƒÂ¢Ã¢â€šÂ¬Ã‚Â¨The 48 studies included a small number of participants (3526 participants). Study data were sparse. FortyÃƒÂ¢Ã¢â€šÂ¬Ã‚Âsix studies with 3442 participants provided data for analyses. The followÃƒÂ¢Ã¢â€šÂ¬Ã‚Âup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following.ÃƒÂ¢Ã¢â€šÂ¬Ã‚Â¨ÃƒÂ¢Ã¢â€šÂ¬Ã‚Â The evidence indicates considerable uncertainty about the effect of the interventions on the risk of deathÃƒÂ¢Ã¢â€šÂ¬Ã‚Â¨ÃƒÂ¢Ã¢â€šÂ¬Ã‚Â Variceal band ligation might result in fewer serious adverse events than sclerotherapyÃƒÂ¢Ã¢â€šÂ¬Ã‚Â¨ÃƒÂ¢Ã¢â€šÂ¬Ã‚Â The evidence indicates considerable uncertainty about the effect of the interventions on serious and nonÃƒÂ¢Ã¢â€šÂ¬Ã‚Âserious adverse eventsÃƒÂ¢Ã¢â€šÂ¬Ã‚Â¨ÃƒÂ¢Ã¢â€šÂ¬Ã‚Â Sclerotherapy probably results in decrease in further bleeding than no treatmentÃƒÂ¢Ã¢â€šÂ¬Ã‚Â¨ÃƒÂ¢Ã¢â€šÂ¬Ã‚Â BetaÃƒÂ¢Ã¢â€šÂ¬Ã‚Âblockers plus sclerotherapy and TIPS probably result in a decrease in further bleeding than sclerotherapy aloneÃƒÂ¢Ã¢â€šÂ¬Ã‚Â¨ÃƒÂ¢Ã¢â€šÂ¬Ã‚Â Portocaval shunt may result in a decrease in further bleeding than sclerotherapyÃƒÂ¢Ã¢â€šÂ¬Ã‚Â¨ÃƒÂ¢Ã¢â€šÂ¬Ã‚Â The evidence indicates considerable uncertainty about the effect of the interventions in the remaining comparisonsÃƒÂ¢Ã¢â€šÂ¬Ã‚Â¨ÃƒÂ¢Ã¢â€šÂ¬Ã‚Â None of the trials reported healthÃƒÂ¢Ã¢â€šÂ¬Ã‚Ârelated quality of lifeÃƒÂ¢Ã¢â€šÂ¬Ã‚Â¨ÃƒÂ¢Ã¢â€šÂ¬Ã‚Â Future wellÃƒÂ¢Ã¢â€šÂ¬Ã‚Âdesigned trials are needed to find out the best treatment for people with cirrhosis and previous bleeding from oesophageal varices.</t>
  </si>
  <si>
    <t>Peer-reviewed network meta-analysis in a reputable journal.</t>
  </si>
  <si>
    <t>- Background People with chronic obstructive pulmonary disease (COPD) show considerable variation in symptoms, limitations, and wellÃƒÂ¢Ã¢â€šÂ¬Ã‚Âbeing; this often complicates medical care. A multiÃƒÂ¢Ã¢â€šÂ¬Ã‚Âdisciplinary and multiÃƒÂ¢Ã¢â€šÂ¬Ã‚Âcomponent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healthÃƒÂ¢Ã¢â€šÂ¬Ã‚Ârelated quality of life (QoL), exercise tolerance, and exacerbationÃƒÂ¢Ã¢â€šÂ¬Ã‚Ârelated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multiÃƒÂ¢Ã¢â€šÂ¬Ã‚Âdisciplinary (two or more healthcare providers) and multiÃƒÂ¢Ã¢â€šÂ¬Ã‚Âtreatment (two or more components) IDM programmes of at least three months' duration. Data collection and analysis Two review authors independently assessed trial quality and extracted data. If required, we contacted study authors to request additional data. We performed metaÃƒÂ¢Ã¢â€šÂ¬Ã‚Âanalyses using randomÃƒÂ¢Ã¢â€šÂ¬Ã‚Âeffects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metaÃƒÂ¢Ã¢â€šÂ¬Ã‚Âanalysis. FollowÃƒÂ¢Ã¢â€šÂ¬Ã‚Âup periods ranged between 3 and 48 months and were classified as shortÃƒÂ¢Ã¢â€šÂ¬Ã‚Âterm (up to 6 months), mediumÃƒÂ¢Ã¢â€šÂ¬Ã‚Âterm (6 to 15 months), and longÃƒÂ¢Ã¢â€šÂ¬Ã‚Âterm (longer than 15 months) followÃƒÂ¢Ã¢â€šÂ¬Ã‚Âup.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healthÃƒÂ¢Ã¢â€šÂ¬Ã‚Ârelated QoL as measured by St. George's Respiratory Questionnaire (SGRQ) total score at mediumÃƒÂ¢Ã¢â€šÂ¬Ã‚Âterm followÃƒÂ¢Ã¢â€šÂ¬Ã‚Âup (mean difference (MD) ÃƒÂ¢Ã¢â€šÂ¬Ã‚Â3.89, 95% confidence interval (CI) ÃƒÂ¢Ã¢â€šÂ¬Ã‚Â6.16 to ÃƒÂ¢Ã¢â€šÂ¬Ã‚Â1.63; 18 RCTs, 4321 participants; moderateÃƒÂ¢Ã¢â€šÂ¬Ã‚Âcertainty evidence). A comparable effect was observed at shortÃƒÂ¢Ã¢â€šÂ¬Ã‚Âterm followÃƒÂ¢Ã¢â€šÂ¬Ã‚Âup (MD ÃƒÂ¢Ã¢â€šÂ¬Ã‚Â3.78, 95% CI ÃƒÂ¢Ã¢â€šÂ¬Ã‚Â6.29 to ÃƒÂ¢Ã¢â€šÂ¬Ã‚Â1.28; 16 RCTs, 1788 participants). However, the common effect did not exceed the minimum clinically important difference (MCID) of 4 points. There was no significant difference between IDM and control for longÃƒÂ¢Ã¢â€šÂ¬Ã‚Âterm followÃƒÂ¢Ã¢â€šÂ¬Ã‚Âup and for generic QoL. IDM probably also leads to a large improvement in maximum and functional exercise capacity, as measured by sixÃƒÂ¢Ã¢â€šÂ¬Ã‚Âminute walking distance (6MWD), at mediumÃƒÂ¢Ã¢â€šÂ¬Ã‚Âterm followÃƒÂ¢Ã¢â€šÂ¬Ã‚Âup (MD 44.69, 95% CI 24.01 to 65.37; 13 studies, 2071 participants; moderateÃƒÂ¢Ã¢â€šÂ¬Ã‚Âcertainty evidence). The effect exceeded the MCID of 35 metres and was even greater at shortÃƒÂ¢Ã¢â€šÂ¬Ã‚Âterm (MD 52.26, 95% CI 32.39 to 72.74; 17 RCTs, 1390 participants) and longÃƒÂ¢Ã¢â€šÂ¬Ã‚Âterm (MD 48.83, 95% CI 16.37 to 80.49; 6 RCTs, 7288 participants) followÃƒÂ¢Ã¢â€šÂ¬Ã‚Âup. The number of participants with respiratoryÃƒÂ¢Ã¢â€šÂ¬Ã‚Ârelated admissions was reduced from 324 per 1000 participants in the control group to 235 per 1000 participants in the IDM group (odds ratio (OR) 0.64, 95% CI 0.50 to 0.81; 15 RCTs, median followÃƒÂ¢Ã¢â€šÂ¬Ã‚Âup 12 months, 4207 participants; highÃƒÂ¢Ã¢â€šÂ¬Ã‚Âcertainty evidence). Likewise, IDM probably results in a reduction in emergency department (ED) visits (OR 0.69, 95%CI 0.50 to 0.93; 9 RCTs, median followÃƒÂ¢Ã¢â€šÂ¬Ã‚Âup 12 months, 8791 participants; moderateÃƒÂ¢Ã¢â€šÂ¬Ã‚Âcertainty evidence), a slight reduction in allÃƒÂ¢Ã¢â€šÂ¬Ã‚Âcause hospital admissions (OR 0.75, 95%CI 0.57 to 0.98; 10 RCT , median followÃƒÂ¢Ã¢â€šÂ¬Ã‚Âup 12 months, 9030 participants; moderateÃƒÂ¢Ã¢â€šÂ¬Ã‚Âcertainty evidence), and fewer hospital days per person admitted (MD ÃƒÂ¢Ã¢â€šÂ¬Ã‚Â2.27, 95% CI ÃƒÂ¢Ã¢â€šÂ¬Ã‚Â3.98 to ÃƒÂ¢Ã¢â€šÂ¬Ã‚Â0.56; 14 RCTs, median followÃƒÂ¢Ã¢â€šÂ¬Ã‚Âup 12 months, 3563 participants; moderateÃƒÂ¢Ã¢â€šÂ¬Ã‚Âcertainty evidence). Statistically significant improvement was noted on the Medical Research Council (MRC) Dyspnoea Scale at shortÃƒÂ¢Ã¢â€šÂ¬Ã‚Â and mediumÃƒÂ¢Ã¢â€šÂ¬Ã‚Âterm followÃƒÂ¢Ã¢â€šÂ¬Ã‚Âup but not at longÃƒÂ¢Ã¢â€šÂ¬Ã‚Âterm followÃƒÂ¢Ã¢â€šÂ¬Ã‚Âup. No differences between groups were reported for mortality, courses of antibiotics/prednisolone, dyspnoea, and depression and anxiety scores. Subgroup analysis of dominant intervention components and regions of study suggested contextÃƒÂ¢Ã¢â€šÂ¬Ã‚Â and interventionÃƒÂ¢Ã¢â€šÂ¬Ã‚Âspecific effects. However, some subgroup analyses were marked by considerable heterogeneity or included few studies. These results should therefore be interpreted with caution. Authors' conclusions This review shows that IDM probably results in improvement in diseaseÃƒÂ¢Ã¢â€šÂ¬Ã‚Âspecific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processÃƒÂ¢Ã¢â€šÂ¬Ã‚Ârelated outcomes, longÃƒÂ¢Ã¢â€šÂ¬Ã‚Âterm followÃƒÂ¢Ã¢â€šÂ¬Ã‚Âup, and costÃƒÂ¢Ã¢â€šÂ¬Ã‚Âeffectiveness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selfÃƒÂ¢Ã¢â€šÂ¬Ã‚Âmanagement,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coÃƒÂ¢Ã¢â€šÂ¬Ã‚Âoperating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upÃƒÂ¢Ã¢â€šÂ¬Ã‚ÂtoÃƒÂ¢Ã¢â€šÂ¬Ã‚Âdate as of February 2021.</t>
  </si>
  <si>
    <t>Background: The majority of older people (&gt; 65 years) in hospital have frailty and are at increased risk of readmission or death following discharge home. In the UK, following acute hospitalisation, around one third of older people with frailty are referred on for rehabilitation, termed 'intermediate care' services. Although this rehabilitation can reduce early readmission to hospital (&lt; 30 days), recipients often do not feel ready to leave the service on discharge, suggesting possible incomplete recovery. Limited evidence suggests extended rehabilitation is of benefit in several conditions and there is preliminary evidence that progressive physical exercise can improve mobility and function for older people with frailty, and slow progression to disability. Our aim is to evaluate the effectiveness of the Home-based Older People's Exercise (HOPE) programme as extended rehabilitation for older people with frailty discharged home from hospital or intermediate care services after acute illness or injury. Method(s): A multi-centre individually randomised controlled trial, to evaluate the clinical and cost-effectiveness of the HOPE programme. This individualised, graded and progressive 24-week exercise programme is delivered by NHS physiotherapy teams to people aged 65 and older with frailty, identified using the Clinical Frailty Scale, following discharge from acute hospitalisation and linked intermediate care rehabilitation pathways. The primary outcome is physical health-related quality of life, measured using the physical component summary score of the modified Short Form 36- item health questionnaire (SF36) at 12 months. Secondary outcomes include self-reported physical and mental health, functional independence, death, hospitalisations, care home admissions. Plans include health economic analyses and an embedded process evaluation. Discussion(s): This trial seeks to determine if extended rehabilitation, via the HOPE programme, can improve physical health-related quality of life for older people with frailty following acute hospitalisation. Results will improve awareness of the rehabilitation needs of older people with frailty, and provide evidence on the clinical and cost-effectiveness of the targeted exercise intervention. There is potential for considerable benefit for health and social care services through widespread implementation of trial findings if clinical and cost-effectiveness is demonstrated. Trial registration: ISRCTN 13927531. Registered on April 19, 2017. Copyright Ãƒâ€šÃ‚Â© 2021, The Author(s).</t>
  </si>
  <si>
    <t>Intermittent catheter techniques, strategies and designs for managing longÃƒÂ¢Ã¢â€šÂ¬Ã‚Âterm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</si>
  <si>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costÃƒÂ¢Ã¢â€šÂ¬Ã‚Âeffectiveness. This is an update of a Cochrane Review first published in 2007. Objectives To assess the clinical and costÃƒÂ¢Ã¢â€šÂ¬Ã‚Âeffectiveness of different catheterisation techniques, strategies and catheter designs, and their impact, on UTI and other complications, and measures of satisfaction/quality of life among adults and children whose longÃƒÂ¢Ã¢â€šÂ¬Ã‚Âterm bladder condition is managed by intermittent catheterisation. Search methods We searched the Cochrane Incontinence Specialised Register, which contains trials identified from the Cochrane Central Register of Controlled Trials (CENTRAL), MEDLINE, MEDLINE InÃƒÂ¢Ã¢â€šÂ¬Ã‚ÂProcess,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crossÃƒÂ¢Ã¢â€šÂ¬Ã‚Âover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crossÃƒÂ¢Ã¢â€šÂ¬Ã‚Âover trials. Most were small (fewer than 60 participants completed), although three trials had more than 100 participants. Length of followÃƒÂ¢Ã¢â€šÂ¬Ã‚Âup ranged from one month to 12 months and there was considerable variation in definitions of UTI. Most of the data from crossÃƒÂ¢Ã¢â€šÂ¬Ã‚Âover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lowÃƒÂ¢Ã¢â€šÂ¬Ã‚Âcertainty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SingleÃƒÂ¢Ã¢â€šÂ¬Ã‚Âuse (sterile) catheter versus multipleÃƒÂ¢Ã¢â€šÂ¬Ã‚Âuse (clean) We are uncertain if there is any difference between singleÃƒÂ¢Ã¢â€šÂ¬Ã‚Âuse and multipleÃƒÂ¢Ã¢â€šÂ¬Ã‚Âuse catheters in terms of the risk of symptomatic UTI because the certainty of evidence is low and the 95% CI is consistent with possible benefit and possible harm (RR 0.98, 95% CI 0.55, 1.74; two studies; 97 participants). One study comparing singleÃƒÂ¢Ã¢â€šÂ¬Ã‚Âuse catheters to multipleÃƒÂ¢Ã¢â€šÂ¬Ã‚Âuse catheters reported zero adverse events in either group; no other adverse event data were reported for this comparison. We identified no data for participant satisfaction or preference. HydrophilicÃƒÂ¢Ã¢â€šÂ¬Ã‚Âcoated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hydrophilicÃƒÂ¢Ã¢â€šÂ¬Ã‚Âcoated catheters (RR 1.37, 95% CI 1.01 to 1.87; moderateÃƒÂ¢Ã¢â€šÂ¬Ã‚Âcertainty evidence). The evidence is uncertain if hydrophilicÃƒÂ¢Ã¢â€šÂ¬Ã‚Âcoated catheters compared with uncoated catheters has any effect on participant satisfaction measured on a 0ÃƒÂ¢Ã¢â€šÂ¬Ã‚Â10 scale (MD 0.7 higher, 95% CI 0.19 to 1.21; very lowÃƒÂ¢Ã¢â€šÂ¬Ã‚Âcertainty evidence; one study; 114 participants). Due to the paucity of data, we could not assess the certainty of evidence relating to participant preference (one crossÃƒÂ¢Ã¢â€šÂ¬Ã‚Âover trial of 29 participants reported greater preference for a hydrophilicÃƒÂ¢Ã¢â€šÂ¬Ã‚Âcoated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multipleÃƒÂ¢Ã¢â€šÂ¬Ã‚Âuse (clean) catheters, coated or uncoated catheters or different catheter lengths. The current research evidence is uncertain and design and reporting issues are significant. More wellÃƒÂ¢Ã¢â€šÂ¬Ã‚Âdesigned trials are needed. Such trials should include analysis of costÃƒÂ¢Ã¢â€šÂ¬Ã‚Âeffectiveness because there are likely to be substantial differences associated with the use of different catheterisation techniques and strategies, and catheter designs. Plain language summary Intermittent catheter techniques, strategies and catheter designs for managing longÃƒÂ¢Ã¢â€šÂ¬Ã‚Âterm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multipleÃƒÂ¢Ã¢â€šÂ¬Ã‚Âuse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ÃƒÂ¢Ã¢â€šÂ¬Ã‹Å“aseptic techniqueÃƒÂ¢Ã¢â€šÂ¬Ã¢â€žÂ¢ is used in healthcare settings, with specially packaged sterile equipment (gloves, lubricant and catheter) and a technique that avoids the catheter coming into contact with anything nonÃƒÂ¢Ã¢â€šÂ¬Ã‚Âsterile (including hands, equipment and surfaces) before it is inserted. People inserting their own catheters use a ÃƒÂ¢Ã¢â€šÂ¬Ã‹Å“cleanÃƒÂ¢Ã¢â€šÂ¬Ã¢â€žÂ¢ technique, where the environment is kept as clean as possible and a sterile or clean (multipleÃƒÂ¢Ã¢â€šÂ¬Ã‚Âuse) catheter is used without the need for gloves. Strategies: SingleÃƒÂ¢Ã¢â€šÂ¬Ã‚Âuse versus multipleÃƒÂ¢Ã¢â€šÂ¬Ã‚Âuse There are two types of catheter use: singleÃƒÂ¢Ã¢â€šÂ¬Ã‚Âuse and multipleÃƒÂ¢Ã¢â€šÂ¬Ã‚Âuse. ReÃƒÂ¢Ã¢â€šÂ¬Ã‚Âuse of catheters means that the catheter is cleaned and reÃƒÂ¢Ã¢â€šÂ¬Ã‚Âused a varying number of times (e.g. for up to 24 hours or for one week/month). Design: Uncoated versus hydrophilicÃƒÂ¢Ã¢â€šÂ¬Ã‚Âcoated Uncoated catheters are typically clear PVC and packed individually in sterile packaging. They may be supplied preÃƒÂ¢Ã¢â€šÂ¬Ã‚Âlubricated, or used with a separate lubricant or water to aid insertion HydrophilicÃƒÂ¢Ã¢â€šÂ¬Ã‚Âcoated catheters have a slippery coating and either are supplied ready to use, or require the addition of water. Design: Shorter versus standard length Catheters come in varying sizes and lengths to suit men, women and children, and people's different needs. How upÃƒÂ¢Ã¢â€šÂ¬Ã‚ÂtoÃƒÂ¢Ã¢â€šÂ¬Ã‚Âdate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SingleÃƒÂ¢Ã¢â€šÂ¬Ã‚Âuse (sterile) catheter versus multipleÃƒÂ¢Ã¢â€šÂ¬Ã‚Âuse (clean) We are uncertain if there is any difference between singleÃƒÂ¢Ã¢â€šÂ¬Ã‚Âuse and multipleÃƒÂ¢Ã¢â€šÂ¬Ã‚Âuse catheters in the risk of symptomatic UTI because the certainty of evidence is low. One study comparing these interventions reported zero adverse events in either group and no other adverse event data were reported. HydrophilicÃƒÂ¢Ã¢â€šÂ¬Ã‚Âcoated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hydrophilicÃƒÂ¢Ã¢â€šÂ¬Ã‚Âcoated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costÃƒÂ¢Ã¢â€šÂ¬Ã‚Âeffectiveness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wellÃƒÂ¢Ã¢â€šÂ¬Ã‚Âdesigned trials are needed. Such trials should include analysis of costÃƒÂ¢Ã¢â€šÂ¬Ã‚Âeffectiveness because there are likely to be substantial differences associated with the use of different catheter designs, catheterisation techniques and strategies.</t>
  </si>
  <si>
    <t>Environmental enrichment for stroke and other nonÃƒÂ¢Ã¢â€šÂ¬Ã‚Âprogressive brain injury</t>
  </si>
  <si>
    <t>- Background Rehabilitation is effective for recovery after stroke and other nonÃƒÂ¢Ã¢â€šÂ¬Ã‚Âprogressive brain injuries but it is unclear if the rehabilitation environment itself, outside of limited therapy hours, is maximally conducive to recovery. Environmental enrichment is a relatively new concept within rehabilitation for humans. In this review, this is defined as an intervention designed to facilitate physical (motor and sensory), cognitive and social activity by the provision of equipment and organisation of a structured, stimulating environment. The environment should be designed to encourage (but not force) activities without additional specialised rehabilitation input. Objectives To assess the effects of environmental enrichment on wellÃƒÂ¢Ã¢â€šÂ¬Ã‚Âbeing, functional recovery, activity levels and quality of life in people who have stroke or nonÃƒÂ¢Ã¢â€šÂ¬Ã‚Âprogressive brain injury. Search methods We conducted the search on 26 October 2020. We searched the Cochrane Central Register of Controlled Trials (CENTRAL)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planned to include randomised controlled trials (RCTs) that compared environmental enrichment with standard services. Data collection and analysis Two review authors independently assessed eligible studies, extracted data, and assessed study quality. Any disagreements were resolved through discussion with a third review author. We determined the risk of bias for the included study and performed a 'best evidence' synthesis using the GRADE approach. Main results We identified one RCT, involving 53 participants with stroke, comparing environmental enrichment (which included physical, cognitive and social activities such as reading material, board and card games, gaming technology, music, artwork, and computer with Internet) with standard services in an inpatient rehabilitation setting. We excluded five studies, found two studies awaiting classification and one ongoing study which described environmental enrichment in their interventions. Of the excluded studies, three were nonÃƒÂ¢Ã¢â€šÂ¬Ã‚ÂRCTs and two described coÃƒÂ¢Ã¢â€šÂ¬Ã‚Âinterventions with a significant component of rehabilitation. Based on the single small included RCT at high risk of bias, data are insufficient to provide any reliable indication of benefit or risk to guide clinical practice in terms of the provision of environmental enrichment. Authors' conclusions The gap in current research should not, however, be interpreted as proof that environmental enrichment is ineffective. Further research is needed with robust study designs, such as cluster RCTs, and consistent outcome measurement evaluating the effectiveness of environmental enrichment in different settings (inpatient versus outpatient), the relative effectiveness of various components of environmental enrichment, costÃƒÂ¢Ã¢â€šÂ¬Ã‚Âeffectiveness, and safety of the intervention in people following stroke or other nonÃƒÂ¢Ã¢â€šÂ¬Ã‚Âprogressive brain injuries. It should be noted, however, that it is challenging to randomise or doubleÃƒÂ¢Ã¢â€šÂ¬Ã‚Âblind trials of environmental enrichment given the nature of the intervention. Plain language summary Treatment using environmental enrichment for supporting rehabilitation following stroke and other brain injuries which do not get worse over time (nonÃƒÂ¢Ã¢â€šÂ¬Ã‚Âprogressive brain injury) Background Rehabilitation helps with recovery after stroke and other nonÃƒÂ¢Ã¢â€šÂ¬Ã‚Âprogressive brain injuries through therapy. However, outside of therapy hours, people may have very little to keep them stimulated. Environmental enrichment is a relatively new concept in rehabilitation where the environment itself is designed to be engaging and to include physical, thinking, and social activities like exercises and games. For example, a nursery for babies may be interesting and stimulating but a hospital environment for adults is generally not. The design of the environment alone should encourage (but not force) activities without additional specialised rehabilitation. Review question ÃƒÂ¢Ã¢â€šÂ¬Ã‚Â¨We wanted to find out whether treatment with environmental enrichment is better or worse than alternatives. Search date ÃƒÂ¢Ã¢â€šÂ¬Ã‚Â¨The evidence is current to 26 October 2020. Study characteristics ÃƒÂ¢Ã¢â€šÂ¬Ã‚Â¨Population: we planned to include studies in which participants were adults who had had a stroke or a nonÃƒÂ¢Ã¢â€šÂ¬Ã‚Âprogressive brain injury (such as traumatic brain injury but not dementia, Alzheimer's diease, or multiple sclerosis). Intervention: environmental enrichment interventions will usually include multiple activities, such as computers plus gaming technology plus music and reading. Comparison: we planned to compare environmental interventions with usual care (regular physiotherapy, speech therapy, occupational therapy) or alternative treatment. Outcomes: we divided outcomes into primary and secondary outcomes. Primary outcomes focused on psychological wellÃƒÂ¢Ã¢â€šÂ¬Ã‚Âbeing (anxiety, depression, stress) and coping. Secondary outcomes focused on quality of life, physical function, communication and cognitive function, and activity levels. We also planned to report adverse events. Key results ÃƒÂ¢Ã¢â€šÂ¬Ã‚Â¨We found one trial that compared environmental intervention alone with usual care or alternative treatment. The trial included 53 participants who had had a stroke and was based in a hospital rehabilitation ward. The trial compared environmental enrichment (which included physical, cognitive and social activities such as reading material, board and card games, gaming technology, music, artwork, and computer with Internet) with standard services. The main outcomes related to psychological wellÃƒÂ¢Ã¢â€šÂ¬Ã‚Âbeing and coping. We were uncertain of the results because the trial was very small and highly prone to bias. Conclusion ÃƒÂ¢Ã¢â€šÂ¬Ã‚Â¨The gap in current research does not mean that environmental enrichment is ineffective. Further research is needed with strong study designs and consistent outcome measurement evaluating the effectiveness of environmental enrichment in different settings (in hospital versus out of hospital), which components of environmental enrichment are effective, whether environmental enrichment is costÃƒÂ¢Ã¢â€šÂ¬Ã‚Âeffective, and if it is safe for people following stroke or other nonÃƒÂ¢Ã¢â€šÂ¬Ã‚Âprogressive brain injuries.</t>
  </si>
  <si>
    <t>- Background Familial hypercholesterolaemia is a common inherited condition that is associated with premature cardiovascular disease. The increased cardiovascular morbidity and mortality, resulting from high levels of cholesterol since birth, can be prevented by starting lipidÃƒÂ¢Ã¢â€šÂ¬Ã‚Âlowering therapy. However, the majority of patients in the UK and worldwide remain undiagnosed. Established diagnostic criteria in current clinical practice are the SimonÃƒÂ¢Ã¢â€šÂ¬Ã‚ÂBroome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clusterÃƒÂ¢Ã¢â€šÂ¬Ã‚ÂRCTs and nonÃƒÂ¢Ã¢â€šÂ¬Ã‚Ârandomised studies of interventions (NRSI). Eligible NRSI were nonÃƒÂ¢Ã¢â€šÂ¬Ã‚Ârandomised controlled trials, prospective cohort studies, controlled beforeÃƒÂ¢Ã¢â€šÂ¬Ã‚ÂandÃƒÂ¢Ã¢â€šÂ¬Ã‚Âafter studies, and interruptedÃƒÂ¢Ã¢â€šÂ¬Ã‚ÂtimeÃƒÂ¢Ã¢â€šÂ¬Ã‚Âseries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beforeÃƒÂ¢Ã¢â€šÂ¬Ã‚ÂandÃƒÂ¢Ã¢â€šÂ¬Ã‚Âafter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 Plain language summary 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cholesterolÃƒÂ¢Ã¢â€šÂ¬Ã‚Âlowering tablets markedly reduces this risk. As well as raised cholesterol in the blood, family history of heart disease and the presence of fatty lumps under the skin could indicate familial hypercholesterolaemia. It is important that communityÃƒÂ¢Ã¢â€šÂ¬Ã‚Âbased health professionals, such as general practitioners and community pharmacists, can 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2021.ÃƒÂ¢Ã¢â€šÂ¬Ã‚Â¨ÃƒÂ¢Ã¢â€šÂ¬Ã‚Â¨ 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BetterÃƒÂ¢Ã¢â€šÂ¬Ã‚Âdesigned studies, with diagnosis of definite familial hypercholesterolaemia confirmed by genetic tests, are needed to clearly answer this question.</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</si>
  <si>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multipleÃƒÂ¢Ã¢â€šÂ¬Ã‚Â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</si>
  <si>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Introduction The predictive utility for incident tuberculosis (TB) of the purified protein derivative tuberculin skin test and region of difference 1 (RD1)-based interferon-gamma release assays (IGRA) is comparable; and either is recommended to test for latent TB infection (LTBI). Despite associated high costs of IGRA, sites participating in LTBI screening in many high-income settings pragmatically favour IGRA due to its higher specificity and simpler logistics. A new RD1-based skin test, C-Tb, could offer an acceptable and as accurate, cheaper alternative to IGRA. Evaluating the impact of C-Tb on process and patient-related outcomes would provide important information to help guide its use in LTBI testing strategies. Methods and analysis This is a pragmatic multicentre, open-label, non-inferiority, randomised controlled trial. The trial will assess the initiation of LTBI treatment following a positive result of the randomised test as the primary outcome. Participants will be randomised to receive the C-Tb test (intervention) or IGRA (usual care, control) for initiation of treatment. We will enrol 1530 participants in England aged&gt;=16 years who are eligible for LTBI testing and treatment according to UK guidance. In the C-Tb arm, skin induration will be assessed 2-3 days after intradermal injection and measured in millimetres of induration. Results of IGRA will be obtained in line with standard practice. Behavioural studies will explore people's experiences, perspectives and preferences of LTBI testing and treatment. Economic analysis will estimate cost-effectiveness of changes to the diagnostic algorithm for LTBI. The protocol was developed with Patient and Public Involvement (PPI), which will continue throughout the trial. Ethics and dissemination Ethics approval has been obtained from The NHS Health Research Authority (269485). We will share results of the trial in peer-reviewed journals and conferences. Trial registration number EudraCT 2019-002592-34; ISRCTN17936038. Copyright Ãƒâ€šÃ‚Â©</t>
  </si>
  <si>
    <t>Background: The PolyPrime intervention is a theory-based intervention aimed at improving appropriate polypharmacy in older people (aged &gt;=65 years) in primary care. The intervention consists of an online video which demonstrates how general practitioners (GPs) can prescribe appropriate polypharmacy during a consultation with an older patient and a patient recall process, whereby patients are invited to scheduled medication review consultations with GPs. The aim of the process evaluation is to further examine the implementation of the PolyPrime intervention in primary care. This will involve investigating whether the PolyPrime intervention can be delivered as intended across two healthcare systems, how acceptable the intervention is to GPs, practice staff and patients, and to identify the intervention's likely mechanisms of action. Method(s): The PolyPrime study is an external pilot cluster randomised controlled trial (cRCT) which aims to recruit 12 GP practices across Northern Ireland [NI] (n=6) and the six counties in the Republic of Ireland (ROI) that border NI (n=6). Practices have been randomised to intervention or usual care. An embedded process evaluation will assess intervention fidelity (i.e. was the intervention delivered as intended), acceptability of the intervention to GPs, practice staff and patients and potential mechanisms of action (i.e. what components of the intervention were perceived to be effective). Quantitative data will be collected from data collection forms completed by GPs and practice staff and a feedback questionnaire completed by patients from intervention arm practices, which will be analysed using descriptive statistics. Qualitative data will be collected through semi-structured interviews with GPs and practice staff and audio-recordings of medication review appointments from the intervention arm practices which will be transcribed and analysed using the framework method. Quantitative and qualitative data will be triangulated to provide an overall assessment of intervention fidelity, intervention acceptability, and mechanisms of action. Discussion(s): This process evaluation will add to feasibility data from the pilot cRCT by providing evidence on the fidelity of implementing the intervention package across two healthcare systems, the acceptability of the intervention and potential mechanisms of action. Trial registration: ClinicalTrials.govISRCTN41009897. Registered on 19 November 2019. ClinicalTrials.govNCT04181879. Registered 02 December 2019. Copyright Ãƒâ€šÃ‚Â© 2021, The Author(s).</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</si>
  <si>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Ãƒâ€šÃ‚Â© 2021 The Author(s). Published by Informa UK Limited, trading as Taylor &amp; Francis Group.</t>
  </si>
  <si>
    <t>Introduction BarrettÃƒÂ¢Ã¢â€šÂ¬Ã¢â€žÂ¢s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</si>
  <si>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Chronic nonÃƒÂ¢Ã¢â€šÂ¬Ã‚Âinvasive ventilation for chronic obstructive pulmonary disease</t>
  </si>
  <si>
    <t>- Background Chronic nonÃƒÂ¢Ã¢â€šÂ¬Ã‚Âinvasive ventilation (NIV) is increasingly being used to treat people with COPD who have respiratory failure, but the evidence supporting this treatment has been conflicting. Objectives To assess the effects of chronic nonÃƒÂ¢Ã¢â€šÂ¬Ã‚Âinvasive ventilation at home via a facial mask in people with COPD, using a pooled analysis of IPD and metaÃƒÂ¢Ã¢â€šÂ¬Ã‚Âanalysis.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healthÃƒÂ¢Ã¢â€šÂ¬Ã‚Ârelated quality of life (HRQL), exercise capacity (stable COPD) and admissionÃƒÂ¢Ã¢â€šÂ¬Ã‚Âfree survival (postÃƒÂ¢Ã¢â€šÂ¬Ã‚Âexacerbation COPD). Secondary outcomes for both populations were: lung function, COPD exacerbations and admissions, and allÃƒÂ¢Ã¢â€šÂ¬Ã‚Âcause mortality. For stable COPD, we also reported respiratory muscle strength, dyspnoea and sleep efficiency. Data collection and analysis We used standard methodological procedures expected by Cochrane. After inclusion of a study, we requested the IPD. We analysed continuous and timeÃƒÂ¢Ã¢â€šÂ¬Ã‚ÂtoÃƒÂ¢Ã¢â€šÂ¬Ã‚Âevent data using linearÃƒÂ¢Ã¢â€šÂ¬Ã‚Â and coxÃƒÂ¢Ã¢â€šÂ¬Ã‚Âregression mixedÃƒÂ¢Ã¢â€šÂ¬Ã‚Âeffect models with a random effect on study level. We analysed dichotomous IPD using generalised estimating equations. We adjusted all models for age and sex. We assessed changes in outcomes after three and 12 months. We also conducted a metaÃƒÂ¢Ã¢â€šÂ¬Ã‚Âanalysis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postÃƒÂ¢Ã¢â€šÂ¬Ã‚Âexacerbation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moderateÃƒÂ¢Ã¢â€šÂ¬Ã‚Âcertainty evidence), but there was little to no benefit at 12 months (AMD 0.09 kPa, 95% CI ÃƒÂ¢Ã¢â€šÂ¬Ã‚Â0.23 to 0.42; 3 studies, 171 participants; lowÃƒÂ¢Ã¢â€šÂ¬Ã‚Âcertainty evidence). The arterial partial pressure of carbon dioxide (PaCO 2 ) was reduced in participants allocated to NIV after three months (AMD ÃƒÂ¢Ã¢â€šÂ¬Ã‚Â0.61 kPa, 95% CI ÃƒÂ¢Ã¢â€šÂ¬Ã‚Â0.77 to ÃƒÂ¢Ã¢â€šÂ¬Ã‚Â0.45; 11 studies, 475 participants; highÃƒÂ¢Ã¢â€šÂ¬Ã‚Âcertainty evidence) and persisted up to 12 months (AMD ÃƒÂ¢Ã¢â€šÂ¬Ã‚Â0.42 kPa, 95% CI ÃƒÂ¢Ã¢â€šÂ¬Ã‚Â0.68 to ÃƒÂ¢Ã¢â€šÂ¬Ã‚Â0.16; 4 studies, 232 participants; highÃƒÂ¢Ã¢â€šÂ¬Ã‚Âcertainty evidence). Exercise capacity was measured with the 6ÃƒÂ¢Ã¢â€šÂ¬Ã‚Âminute walking distance (minimal clinical important difference: 26 m). There was no clinically relevant effect of NIV on exercise capacity ( 3 months: AMD 15.5 m, 95% CI ÃƒÂ¢Ã¢â€šÂ¬Ã‚Â0.8 to 31.7; 8 studies, 330 participants; lowÃƒÂ¢Ã¢â€šÂ¬Ã‚Âcertainty evidence; 12 months: AMD 26.4 m, 95% CI ÃƒÂ¢Ã¢â€šÂ¬Ã‚Â7.6 to 60.5; 3 studies, 134 participants; very lowÃƒÂ¢Ã¢â€šÂ¬Ã‚Âcertainty evidence). HRQL was measured with the Severe Respiratory I sufficiency and the St. Georges's Respiratory Questionnaire and may be improved by NIV, but only after three months ( 3 months: standardised mean difference (SMD) 0.39, 95% CI 0.15 to 0.62; 5 studies, 259 participants; very lowÃƒÂ¢Ã¢â€šÂ¬Ã‚Âcertainty evidence; 12 months: SMD 0.15, 95% CI ÃƒÂ¢Ã¢â€šÂ¬Ã‚Â0.13 to 0.43; 4 studies, 200 participants; very lowÃƒÂ¢Ã¢â€šÂ¬Ã‚Âcertainty evidence). Lastly, the risk for allÃƒÂ¢Ã¢â€šÂ¬Ã‚Âcause mortality is likely reduced by NIV (adjusted hazard ratio (AHR) 0.75, 95% CI 0.58 to 0.97; 3 studies, 405 participants; moderateÃƒÂ¢Ã¢â€šÂ¬Ã‚Âcertainty evidence). In the postÃƒÂ¢Ã¢â€šÂ¬Ã‚Âexacerbation COPD group, there was little to no benefit on the PaO 2 after three months, but there may be a slight decrease after 12 months ( 3 months: AMD ÃƒÂ¢Ã¢â€šÂ¬Ã‚Â0.10 kPa, 95% CI ÃƒÂ¢Ã¢â€šÂ¬Ã‚Â0.65 to 0.45; 3 studies, 234 participants; lowÃƒÂ¢Ã¢â€šÂ¬Ã‚Âcertainty evidence; 12 months: ÃƒÂ¢Ã¢â€šÂ¬Ã‚Â0.27 kPa, 95% CI ÃƒÂ¢Ã¢â€šÂ¬Ã‚Â0.86 to 0.32, 3 studies; 170 participants; lowÃƒÂ¢Ã¢â€šÂ¬Ã‚Âcertainty evidence). The PaCO 2 was reduced by NIV at both three months (AMD ÃƒÂ¢Ã¢â€šÂ¬Ã‚Â0.40 kPa, 95% CI ÃƒÂ¢Ã¢â€šÂ¬Ã‚Â0.70 to ÃƒÂ¢Ã¢â€šÂ¬Ã‚Â0.09; 3 studies, 241 participants; moderateÃƒÂ¢Ã¢â€šÂ¬Ã‚Âcertainty evidence) and 12 months (AMD ÃƒÂ¢Ã¢â€šÂ¬Ã‚Â0.52 kPa, 95% CI ÃƒÂ¢Ã¢â€šÂ¬Ã‚Â0.87 to ÃƒÂ¢Ã¢â€šÂ¬Ã‚Â0.18; 3 studies, 175 participants; highÃƒÂ¢Ã¢â€šÂ¬Ã‚Âcertainty evidence). NIV may have little to no benefit on HRQL ( 3 months: SMD 0.25, 95% CI ÃƒÂ¢Ã¢â€šÂ¬Ã‚Â0.01 to 0.51; 2 studies, 219 participants; very lowÃƒÂ¢Ã¢â€šÂ¬Ã‚Âcertainty evidence; 12 months: SMD 0.25, 95% ÃƒÂ¢Ã¢â€šÂ¬Ã‚Â0.06 to 0.55; 2 studies, 164 participants; very lowÃƒÂ¢Ã¢â€šÂ¬Ã‚Âcertainty evidence). AdmissionÃƒÂ¢Ã¢â€šÂ¬Ã‚Âfree survival seems improved with NIV (AHR 0.71, 95% CI 0.54 to 0.94; 2 studies, 317 participants; lowÃƒÂ¢Ã¢â€šÂ¬Ã‚Âcertainty evidence), but the risk for allÃƒÂ¢Ã¢â€šÂ¬Ã‚Âcause mortality does not seem to improve (AHR 0.97, 95% CI 0.74 to 1.28; 2 studies, 317 participants; lowÃƒÂ¢Ã¢â€šÂ¬Ã‚Âcertainty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admissionÃƒÂ¢Ã¢â€šÂ¬Ã‚Âfree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NonÃƒÂ¢Ã¢â€šÂ¬Ã‚Âinvasive ventilation (ventilators) used at night by people with chronic obstructive pulmonary disease (COPD) Background: NonÃƒÂ¢Ã¢â€šÂ¬Ã‚Âinvasive ventilation (NIV) is a method to assist or replace spontaneous breathing (or normal breathing) with the aid of a machine called a ventilator, using a mask fitted over the nose or both the nose and mouth. NIV can be used chronically (longÃƒÂ¢Ã¢â€šÂ¬Ã‚Âterm)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(postÃƒÂ¢Ã¢â€šÂ¬Ã‚Âexacerbation COPD). All studies included men and women. For our analyses, we used data from 778 people with stable COPD and 364 people with postÃƒÂ¢Ã¢â€šÂ¬Ã‚Âexacerbation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</si>
  <si>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Ãƒâ€šÃ‚Â© 2021, The Author(s).</t>
  </si>
  <si>
    <t>- 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quasiÃƒÂ¢Ã¢â€šÂ¬Ã‚Ârandomised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lowerÃƒÂ¢Ã¢â€šÂ¬Ã‚Âquality sources of evidence. In a future update of this review, we plan to appraise and incorporate eligible randomised controlled trials, as well as other highÃƒÂ¢Ã¢â€šÂ¬Ã‚Âquality, nonÃƒÂ¢Ã¢â€šÂ¬Ã‚Ârandomised studies. Plain language summary 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oneÃƒÂ¢Ã¢â€šÂ¬Ã‚Âthird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betterÃƒÂ¢Ã¢â€šÂ¬Ã‚Âconducted observational studies. This is an update of a previously published Cochrane Review.</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</si>
  <si>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metaÃƒÂ¢Ã¢â€šÂ¬Ã‚Âanalysis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lowÃƒÂ¢Ã¢â€šÂ¬Ã‚Âquality evidence). The rate of ipsilateral stroke under both types of anaesthesia was 3.1% (Peto OR 1.03, 95% CI 0.71 to 1.48; P = 0.89; 2 studies, 3733 participants; lowÃƒÂ¢Ã¢â€šÂ¬Ã‚Âquality evidence). The incidence of stroke or death in the local anaesthesia group was 3.5%, while stroke or death incidence was 4.1% in the general anaesthesia group (Peto OR 0.85, 95% CI 0.62 to 1.16; P = 0.31; 11 studies, 4391 participants; lowÃƒÂ¢Ã¢â€šÂ¬Ã‚Âquality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highÃƒÂ¢Ã¢â€šÂ¬Ã‚Âquality studies are still needed as the evidence is of limited reliability. Plain language summary Is local or general anaesthesia better during surgery to widen the main blood vessel to the brain when it becomes narrowed (carotid endarterectomy)? Key messages ÃƒÂ¢Ã¢â€šÂ¬Ã‚Â Current evidence does not show any clear difference between local anaesthesia (where the patient remains awake) and general anaesthesia for the risk of stroke, death, or other unwanted effects for people having surgery to widen a narrowed carotid artery (carotid endarterectomy). ÃƒÂ¢Ã¢â€šÂ¬Ã‚Â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ÃƒÂ¢Ã¢â€šÂ¬Ã¢â‚¬Å“ carotid endarterectomy ÃƒÂ¢Ã¢â€šÂ¬Ã¢â‚¬Å“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ÃƒÂ¢Ã¢â€šÂ¬Ã‚Â lowers the risk of stroke and death around the time of the operation;ÃƒÂ¢Ã¢â€šÂ¬Ã‚Â¨ÃƒÂ¢Ã¢â€šÂ¬Ã‚Â lowers the rate of other unwanted effects; andÃƒÂ¢Ã¢â€šÂ¬Ã‚Â¨ÃƒÂ¢Ã¢â€šÂ¬Ã‚Â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</si>
  <si>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Ãƒâ€šÃ‚Â© 2021 Reynolds et al.</t>
  </si>
  <si>
    <t>Systematic review in a peer-reviewed journal.</t>
  </si>
  <si>
    <t>Intravenous thrombolytic treatment and endovascular thrombectomy for ischaemic wakeÃƒÂ¢Ã¢â€šÂ¬Ã‚Âup stroke</t>
  </si>
  <si>
    <t>- Background About one in five strokes occur during sleep (wakeÃƒÂ¢Ã¢â€šÂ¬Ã‚Âup stroke). People with wakeÃƒÂ¢Ã¢â€šÂ¬Ã‚Âup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wakeÃƒÂ¢Ã¢â€šÂ¬Ã‚Âup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followÃƒÂ¢Ã¢â€šÂ¬Ã‚Âup was observed in 66% of participants randomised to thrombolytic treatment and 58% of participants randomised to control (risk ratio (RR) 1.13, 95% confidence interval (CI) 1.01 to 1.26; P = 0.03; 763 participants, 5 RCTs; highÃƒÂ¢Ã¢â€šÂ¬Ã‚Âcertainty evidence). Seven per cent of participants randomised to intravenous thrombolytic treatment and 10% of participants randomised to control had died at 90 days followÃƒÂ¢Ã¢â€šÂ¬Ã‚Âup (RR 0.68, 95% CI 0.43 to 1.07; P = 0.09; 763 participants, 5 RCTs; highÃƒÂ¢Ã¢â€šÂ¬Ã‚Âcertainty evidence). Symptomatic intracranial haemorrhage occurred in 3% of participants randomised to intravenous thrombolytic treatment and 1% of participants randomised to control (RR 3.47, 95% CI 0.98 to 12.26; P = 0.05; 754 participants, 4 RCTs; highÃƒÂ¢Ã¢â€šÂ¬Ã‚Âcertainty evidence). For endovascular thrombectomy of large vessel occlusion, good functional outcome at 90 days followÃƒÂ¢Ã¢â€šÂ¬Ã‚Âup was observed in 46% of participants randomised to endovascular thrombectomy and 9% of participants randomised to control (RR 5.12, 95% CI 2.57 to 10.17; P &lt; 0.001; 205 participants, 2 RCTs; highÃƒÂ¢Ã¢â€šÂ¬Ã‚Âcertainty evidence). TwentyÃƒÂ¢Ã¢â€šÂ¬Ã‚Âtwo per cent of participants randomised to endovascular thrombectomy and 33% of participants randomised to control had died at 90 days followÃƒÂ¢Ã¢â€šÂ¬Ã‚Âup (RR 0.68, 95% CI 0.43 to 1.07; P = 0.10; 205 participants, 2 RCTs; highÃƒÂ¢Ã¢â€šÂ¬Ã‚Âcertainty evidence). Authors' conclusions In selected patients with acute ischaemic wakeÃƒÂ¢Ã¢â€šÂ¬Ã‚Âup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wakeÃƒÂ¢Ã¢â€šÂ¬Ã‚Âup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clotÃƒÂ¢Ã¢â€šÂ¬Ã‚Âdissolving drugs (thrombolysis) or mechanical devices to remove blood clots (thrombectomy) may improve recovery after ischaemic stroke if blood flow is rapidly restored. About one in five strokes occur during sleep (wakeÃƒÂ¢Ã¢â€šÂ¬Ã‚Âup stroke). People with wakeÃƒÂ¢Ã¢â€šÂ¬Ã‚Âup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wakeÃƒÂ¢Ã¢â€šÂ¬Ã‚Âup stroke participants were randomised to intravenous thrombolytic treatment or to control (either placebo (dummy treatment) or standard medical treatment alone). Two trials with 205 wakeÃƒÂ¢Ã¢â€šÂ¬Ã‚Âup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wakeÃƒÂ¢Ã¢â€šÂ¬Ã‚Âup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</si>
  <si>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Treatment for bleeding oesophageal varices in people with decompensated liver cirrhosis: a network metaÃƒÂ¢Ã¢â€šÂ¬Ã‚Âanalysis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</si>
  <si>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metaÃƒÂ¢Ã¢â€šÂ¬Ã‚Âanalysis;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metaÃƒÂ¢Ã¢â€šÂ¬Ã‚Âanalysis with OpenBUGS software, using Bayesian methods, and calculated the differences in treatments using odds ratios (OR) and rate ratios with 95% credible intervals (CrI) based on an availableÃƒÂ¢Ã¢â€šÂ¬Ã‚Âcase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FortyÃƒÂ¢Ã¢â€šÂ¬Ã‚Âeight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followÃƒÂ¢Ã¢â€šÂ¬Ã‚Âup periods, which ranged from three days to six weeks. Based on moderateÃƒÂ¢Ã¢â€šÂ¬Ã‚Âcertainty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healthÃƒÂ¢Ã¢â€šÂ¬Ã‚Ârelated quality of life. Based on lowÃƒÂ¢Ã¢â€šÂ¬Ã‚Âcertainty evidence, a higher proportion of people receiving balloon tamponade plus sclerotherapy had more serious adverse events than those receiving only sclerotherapy (OR 4.23, 95% CrI 1.22 to 17.80; direct estimate; 1 RCT; 60 participants). Based on moderateÃƒÂ¢Ã¢â€šÂ¬Ã‚Âcertainty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lowÃƒÂ¢Ã¢â€šÂ¬Ã‚Âcertainty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moderateÃƒÂ¢Ã¢â€šÂ¬Ã‚Âcertainty evidence, somatostatin analogues alone and vasopressin analogues alone (with supportive therapy) probably result in increased mortality, compared to endoscopic sclerotherapy. Based on moderateÃƒÂ¢Ã¢â€šÂ¬Ã‚Âcertainty evidence, vasopressin analogues alone and band ligation alone probably result in fewer adverse events compared to endoscopic sclerotherapy. Based on lowÃƒÂ¢Ã¢â€šÂ¬Ã‚Âcertainty evidence, balloon tamponade plus sclerotherapy may result in large increases in serious adverse events compared to sclerotherapy. Based on lowÃƒÂ¢Ã¢â€šÂ¬Ã‚Âcertainty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ÃƒÂ¢Ã¢â€šÂ¬Ã‚Â¨To find out the best available treatment for bleeding from oesophageal varices (enlarged veins in the oesophagus) in people with advanced scarring of the liver (liver cirrhosis, or lateÃƒÂ¢Ã¢â€šÂ¬Ã‚Âstage scarring of the liver with complications). Bleeding from oesophageal varices in people with cirrhosis is a lifeÃƒÂ¢Ã¢â€šÂ¬Ã‚Âthreatening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metaÃƒÂ¢Ã¢â€šÂ¬Ã‚Âanalysis'). Date of literature search ÃƒÂ¢Ã¢â€šÂ¬Ã‚Â¨17 December 2019 What was studied in the review? ÃƒÂ¢Ã¢â€šÂ¬Ã‚Â¨This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scarÃƒÂ¢Ã¢â€šÂ¬Ã‚Âforming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nonÃƒÂ¢Ã¢â€šÂ¬Ã‚Âserious adverse events (i.e. serious and nonÃƒÂ¢Ã¢â€šÂ¬Ã‚Âserious complications), recurrence of bleeding, and development of other complications of advanced liver disease. What were the main results of the review? ÃƒÂ¢Ã¢â€šÂ¬Ã‚Â¨The 52 trials included a small number of participants (4580 participants). FortyÃƒÂ¢Ã¢â€šÂ¬Ã‚Âeight trials with 4042 participants provided data for analyses. The followÃƒÂ¢Ã¢â€šÂ¬Ã‚Âup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ÃƒÂ¯Ã‚Â¿Ã‚Â½ÃƒÂ¯Ã‚Â¿Ã‚Â½ÃƒÂ¯Ã‚Â¿Ã‚Â½ None of the studies were conducted without flaws, and because of this, there is moderate to very high uncertainty in the findings.ÃƒÂ¢Ã¢â€šÂ¬Ã‚Â¨ÃƒÂ¢Ã¢â€šÂ¬Ã‚Â Approximately one in six people with cirrhosis and bleeding oesophageal varices who received the standard treatment of sclerotherapy died within six weeks.ÃƒÂ¢Ã¢â€šÂ¬Ã‚Â¨ÃƒÂ¢Ã¢â€šÂ¬Ã‚Â Somatostatin analogues alone and vasopressin analogues alone probably result in increased mortality, compared to sclerotherapy.ÃƒÂ¢Ã¢â€šÂ¬Ã‚Â¨ÃƒÂ¢Ã¢â€šÂ¬Ã‚Â Vasopressin analogues alone and band ligation alone probably result in fewer adverse events (complications), compared to sclerotherapy.ÃƒÂ¢Ã¢â€šÂ¬Ã‚Â¨ÃƒÂ¢Ã¢â€šÂ¬Ã‚Â Balloon tamponade plus sclerotherapy may result in large increase in serious adverse events compared to sclerotherapy.ÃƒÂ¢Ã¢â€šÂ¬Ã‚Â¨ÃƒÂ¢Ã¢â€šÂ¬Ã‚Â Sclerotherapy plus somatostatin analogues may result in large decrease in symptomatic rebleed compared to sclerotherapy.ÃƒÂ¢Ã¢â€šÂ¬Ã‚Â¨ÃƒÂ¢Ã¢â€šÂ¬Ã‚Â The evidence indicates considerable uncertainty about the effect of the interventions in the remaining comparisons.ÃƒÂ¢Ã¢â€šÂ¬Ã‚Â¨ÃƒÂ¢Ã¢â€šÂ¬Ã‚Â None of the trials reported healthÃƒÂ¢Ã¢â€šÂ¬Ã‚Ârelated quality of life.ÃƒÂ¢Ã¢â€šÂ¬Ã‚Â¨ÃƒÂ¢Ã¢â€šÂ¬Ã‚Â Future wellÃƒÂ¢Ã¢â€šÂ¬Ã‚Âdesigned randomised clinical trials are needed to find out the best treatment for people with cirrhosis and bleeding oesophageal varices.</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</si>
  <si>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Ãƒâ€šÃ‚Â© 2021 Roberts et al.</t>
  </si>
  <si>
    <t>Background Implant-based breast reconstruction (IBBR) is the most commonly performed reconstructive procedure following mastectomy. IBBR techniques are evolving rapidly, with mesh-assisted subpectoral reconstruction becoming the standard of care and more recently, prepectoral techniques being introduced. These muscle-sparing techniques may reduce postoperative pain, avoid implant animation and improve cosmetic outcomes and have been widely adopted into practice. Although small observational studies have failed to demonstrate any differences in the clinical or patient-reported outcomes of prepectoral or subpectoral reconstruction, high-quality comparative evidence of clinical or cost-effectiveness is lacking. A well-designed, adequately powered randomised controlled trial (RCT) is needed to compare the techniques, but breast reconstruction RCTs are challenging. We, therefore, aim to undertake an external pilot RCT (Best-BRA) with an embedded QuinteT Recruitment Intervention (QRI) to determine the feasibility of undertaking a trial comparing prepectoral and subpectoral techniques. Methods and analysis Best-BRA is a pragmatic, two-arm, external pilot RCT with an embedded QRI and economic scoping for resource use. Women who require a mastectomy for either breast cancer or risk reduction, elect to have an IBBR and are considered suitable for both prepectoral and subpectoral reconstruction will be recruited and randomised 1:1 between the techniques. The QRI will be implemented in two phases: phase 1, in which sources of recruitment difficulties are rapidly investigated to inform the delivery in phase 2 of tailored interventions to optimise recruitment of patients. Primary outcomes will be (1) recruitment of patients, (2) adherence to trial allocation and (3) outcome completion rates. Outcomes will be reviewed at 12 months to determine the feasibility of a definitive trial. Ethics and dissemination The study has been approved by the National Health Service (NHS) Wales REC 6 (20/WA/0338). Findings will be presented at conferences and in peer-reviewed journals. Trial registration number ISRCTN10081873. Copyright Ãƒâ€šÃ‚Â© Author(s) (or their employer(s)) 2021. Re-use permitted under CC BY. Published by BMJ.</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</si>
  <si>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ÃƒÂ¢Ã¢â€šÂ¬Ã‚Â being both engaging and relatively inexpensive ÃƒÂ¢Ã¢â€šÂ¬Ã‚Â could provide a much more costÃƒÂ¢Ã¢â€šÂ¬Ã‚Âeffective addÃƒÂ¢Ã¢â€šÂ¬Ã‚Âon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schizophreniaÃƒÂ¢Ã¢â€šÂ¬Ã‚Âlike illnesses. Search methods We searched the Cochrane Schizophrenia Group's StudyÃƒÂ¢Ã¢â€šÂ¬Ã‚ÂBased Register of Trials (March 2017, August 2018, August 2019). Selection criteria Randomised controlled trials focusing on video games for people with schizophrenia or schizophreniaÃƒÂ¢Ã¢â€šÂ¬Ã‚Âlike illnesses. Data collection and analysis Review authors extracted data independently. For binary outcomes we calculated risk ratio (RR) with its 95% confidence interval (CI) on an intentionÃƒÂ¢Ã¢â€šÂ¬Ã‚ÂtoÃƒÂ¢Ã¢â€šÂ¬Ã‚Âtreat basis. For continuous data we calculated the mean difference (MD) between groups and its CI. We employed a fixedÃƒÂ¢Ã¢â€šÂ¬Ã‚Âeffect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'nonÃƒÂ¢Ã¢â€šÂ¬Ã‚Âexergame'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effects.ÃƒÂ¢Ã¢â€šÂ¬Ã‚Â¨ÃƒÂ¢Ã¢â€šÂ¬Ã‚Â¨We found no clear difference between nonÃƒÂ¢Ã¢â€šÂ¬Ã‚Âexergames and cognitive remediation in general functioning scores (Strauss Carpenter Outcome Scale) (MD 0.42, 95% CI ÃƒÂ¢Ã‹â€ Ã¢â‚¬â„¢0.62 to 1.46; participants = 86; studies = 1, very lowÃƒÂ¢Ã¢â€šÂ¬Ã‚Â quality evidence ) or social functioning scores (Specific Levels of Functioning Scale) (MD ÃƒÂ¢Ã‹â€ Ã¢â‚¬â„¢3.13, 95% CI ÃƒÂ¢Ã¢â€šÂ¬Ã‚Â40.17 to 33.91; participants = 53; studies = 1, very lowÃƒÂ¢Ã¢â€šÂ¬Ã‚Â quality evidence ). There was a clear difference favouring cognitive remediation for cognitive functioning (improved on at least one domain of MATRICS Consensus Cognitive Battery Test) (RR 0.58, 95% CI 0.34 to 0.99; participants = 42; studies = 1, lowÃƒÂ¢Ã¢â€šÂ¬Ã‚Â quality evidence ). For mental state, Positive and Negative Syndrome Scale (PANSS) overall scores showed no clear difference between treatment groups (MD 0.20, 95% CI ÃƒÂ¢Ã‹â€ Ã¢â‚¬â„¢3.89 to 4.28; participants = 269; studies = 4, lowÃƒÂ¢Ã¢â€šÂ¬Ã‚Â quality evidence ). Quality of life ratings (Quality of Life Scale) similarly showed no clear intergroup difference (MD 0.01, 95% CI ÃƒÂ¢Ã‹â€ Ã¢â‚¬â„¢0.40 to 0.42; participants = 87; studies = 1, very lowÃƒÂ¢Ã¢â€šÂ¬Ã‚Â quality evidence) . Adverse effects were not reported; we chose leaving the study early as a proxy measure. The attrition rate by end of treatment was similar between treatment groups (RR 0.96, 95% CI 0.87 to 1.06; participants = 395; studies = 5, lowÃƒÂ¢Ã¢â€šÂ¬Ã‚Â quality evidence ).ÃƒÂ¢Ã¢â€šÂ¬Ã‚Â¨ÃƒÂ¢Ã¢â€šÂ¬Ã‚Â¨One small trial compared exergames with standard care, but few outcomes were reported . No clear difference between interventions was seen for cognitive functioning (measured by MATRICS Consensus Cognitive Battery Test) (MD 2.90, 95% CI ÃƒÂ¢Ã¢â€šÂ¬Ã‚Â1.27 to 7.07; participants = 33; studies = 1, lowÃƒÂ¢Ã¢â€šÂ¬Ã‚Â quality evidence) , however a benefit in favour of exergames was found for average change in physical fitness (aerobic fitness) (MD 3.82, 95% CI 1.75 to 5.89; participants = 33; studies = 1, lowÃƒÂ¢Ã¢â€šÂ¬Ã‚Â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nonÃƒÂ¢Ã¢â€šÂ¬Ã‚Âexergames. Only one of our main outcomes was reported ÃƒÂ¢Ã¢â€šÂ¬Ã‚Â physical fitness, which was measured by average time taken to walk 3 metres. No clear intergroup difference was identified at sixÃƒÂ¢Ã¢â€šÂ¬Ã‚Âweek followÃƒÂ¢Ã¢â€šÂ¬Ã‚Âup (MD ÃƒÂ¢Ã‹â€ Ã¢â‚¬â„¢0.50, 95% CI ÃƒÂ¢Ã‹â€ Ã¢â‚¬â„¢1.17 to 0.17; participants = 28; studies = 1, very lowÃƒÂ¢Ã¢â€šÂ¬Ã‚Â quality evidence) . No trials reported adverse effects. We chose leaving the study early as a proxy outcome. Authors' conclusions Our results suggest that nonÃƒÂ¢Ã¢â€šÂ¬Ã‚Âexergames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ÃƒÂ¢Ã¢â€šÂ¬Ã‚Â or harm ÃƒÂ¢Ã¢â€šÂ¬Ã‚Â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highÃƒÂ¢Ã¢â€šÂ¬Ã‚Âquality evidence is available. There are ongoing studies that may provide helpful data in the near future. Plain language summary Video games for schizophrenia Review question Are video games an effective treatment (on their own or as an addÃƒÂ¢Ã¢â€šÂ¬Ã‚Âon) for improving the wellÃƒÂ¢Ã¢â€šÂ¬Ã‚Âbeing and functioning of people with schizophrenia or schizoaffective disorder? Background Schizophrenia is a severe mental illness that affects people worldwide. People with schizophrenia often have a distorted view of reality ÃƒÂ¢Ã¢â€šÂ¬Ã‚Â perceiving things that are not present (hallucinations) and believing things that are not true (delusions). People with schizophrenia may struggle to motivate themselves, experience anxiety and depression, and encounter cognitive symptoms, often struggling to stay focused on dayÃƒÂ¢Ã¢â€šÂ¬Ã‚ÂtoÃƒÂ¢Ã¢â€šÂ¬Ã‚Âday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lowÃƒÂ¢Ã¢â€šÂ¬Ã‚Âcost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('nonÃƒÂ¢Ã¢â€šÂ¬Ã‚Âexergames'). NonÃƒÂ¢Ã¢â€šÂ¬Ã‚Âexergame trials compared the video game intervention to a form of brainÃƒÂ¢Ã¢â€šÂ¬Ã‚Âtraining" therapy known as cognitive remediation. One trial compared exergames to standard care, and another compared nonÃƒÂ¢Ã¢â€šÂ¬Ã‚Âexergames with exergames. All interventions in the included trials were given in addition to standard care. The currently available evidence suggests that nonÃƒÂ¢Ã¢â€šÂ¬Ã‚Âexergames may not be as beneficial for cognitive functioning as cognitive remediation, but there were no other clear differences between nonÃƒÂ¢Ã¢â€šÂ¬Ã‚Âexergames and cognitive remediation for improving functioning in people with schizophrenia. The more exerciseÃƒÂ¢Ã¢â€šÂ¬Ã‚Âorientated video games may have some benefit compared to standard care for improving physical fitness. We cannot draw any firm conclusions regarding the effects of video games until higherÃƒÂ¢Ã¢â€šÂ¬Ã‚Âquality evidence is available."</t>
  </si>
  <si>
    <t>Effect of testing for cancer on cancerÃƒÂ¢Ã¢â€šÂ¬Ã‚Â or venous thromboembolism (VTE)ÃƒÂ¢Ã¢â€šÂ¬Ã‚Ârelated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</si>
  <si>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nonÃƒÂ¢Ã¢â€šÂ¬Ã‚Âcancer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cancerÃƒÂ¢Ã¢â€šÂ¬Ã‚Ârelated mortality and morbidity. This is the third update of the review first published in 2015. Objectives To determine whether testing for undiagnosed cancer in people with a first episode of unprovoked VTE (DVT of the lower limb or PE) is effective in reducing cancerÃƒÂ¢Ã¢â€šÂ¬Ã‚Â or VTEÃƒÂ¢Ã¢â€šÂ¬Ã‚Ârelated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quasiÃƒÂ¢Ã¢â€šÂ¬Ã‚Ârandomised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allÃƒÂ¢Ã¢â€šÂ¬Ã‚Âcause mortality, cancerÃƒÂ¢Ã¢â€šÂ¬Ã‚Ârelated mortality and VTEÃƒÂ¢Ã¢â€šÂ¬Ã‚Ârelated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cancerÃƒÂ¢Ã¢â€šÂ¬Ã‚Ârelated mortality (odds ratio (OR) 0.49, 95% confidence interval (CI) 0.15 to 1.67; 396 participants; 2 studies; lowÃƒÂ¢Ã¢â€šÂ¬Ã‚Âcertainty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lowÃƒÂ¢Ã¢â€šÂ¬Ã‚Âcertainty evidence). There was no clear difference in detection of advanced stages between extensive tests versus tests at the physician's discretion: one participant in the extensively tested group had stage T3 compared with four participants in the control group</t>
  </si>
  <si>
    <t>Appears to be grey literature, likely a report or conference abstract.</t>
  </si>
  <si>
    <t>A pilot to support ÃƒÂ¢Ã¢â€šÂ¬Ã‹Å“New Ways of WorkingÃƒÂ¢Ã¢â€šÂ¬Ã¢â€žÂ¢ for</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</si>
  <si>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Ãƒâ€šÃ‚Â© 2020 American Journal of Preventive Medicine</t>
  </si>
  <si>
    <t>Primary prevention of variceal bleeding in people with oesophageal varices due to liver cirrhosis: a network metaÃƒÂ¢Ã¢â€šÂ¬Ã‚Âanalysis</t>
  </si>
  <si>
    <t>- Background Approximately 40% to 95% of people with cirrhosis have oesophageal varices. About 15% to 20% of oesophageal varices bleed in about one to three years. There are several different treatments to prevent bleeding, including: betaÃƒÂ¢Ã¢â€šÂ¬Ã‚Âblockers,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metaÃƒÂ¢Ã¢â€šÂ¬Ã‚Âanalysis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metaÃƒÂ¢Ã¢â€šÂ¬Ã‚Âanalysis with OpenBUGS using Bayesian methods and calculated the differences in treatments using hazard ratios (HR), odds ratios (OR), and rate ratios with 95% credible intervals (CrI) based on an availableÃƒÂ¢Ã¢â€šÂ¬Ã‚Âcase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followÃƒÂ¢Ã¢â€šÂ¬Ã‚Âup in the trials that reported outcomes ranged from 6 months to 60 months. All but one of the trials were at high risk of bias. The interventions compared included betaÃƒÂ¢Ã¢â€šÂ¬Ã‚Âblockers, no active intervention, variceal band ligation, sclerotherapy, betaÃƒÂ¢Ã¢â€šÂ¬Ã‚Âblockers plus variceal band ligation, betaÃƒÂ¢Ã¢â€šÂ¬Ã‚Âblockers plus nitrates, nitrates, betaÃƒÂ¢Ã¢â€šÂ¬Ã‚Âblockers plus sclerotherapy, and portocaval shunt. Overall, 21.2% of participants who received nonÃƒÂ¢Ã¢â€šÂ¬Ã‚Âselective betaÃƒÂ¢Ã¢â€šÂ¬Ã‚Âblockers ('betaÃƒÂ¢Ã¢â€šÂ¬Ã‚Âblockers') ÃƒÂ¢Ã‹â€ Ã¢â‚¬â„¢ the reference treatment (chosen because this was the most common treatment compared in the trials) ÃƒÂ¢Ã‹â€ Ã¢â‚¬â„¢ died during 8ÃƒÂ¢Ã¢â€šÂ¬Ã‚Âmonth to 60ÃƒÂ¢Ã¢â€šÂ¬Ã‚Âmonth followÃƒÂ¢Ã¢â€šÂ¬Ã‚Âup. Based on lowÃƒÂ¢Ã¢â€šÂ¬Ã‚Âcertainty evidence, betaÃƒÂ¢Ã¢â€šÂ¬Ã‚Âblockers, variceal band ligation, sclerotherapy, and betaÃƒÂ¢Ã¢â€šÂ¬Ã‚Âblockers plus nitrates all had lower mortality versus no active intervention (betaÃƒÂ¢Ã¢â€šÂ¬Ã‚Âblockers: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betaÃƒÂ¢Ã¢â€šÂ¬Ã‚Âblockers plus nitrates: HR 0.41, 95% CrI 0.20 to 0.85; no direct comparison). No trials reported healthÃƒÂ¢Ã¢â€šÂ¬Ã‚Ârelated quality of life. Based on lowÃƒÂ¢Ã¢â€šÂ¬Ã‚Âcertainty evidence, variceal band ligation had a higher number of serious adverse events (number of events) than betaÃƒÂ¢Ã¢â€šÂ¬Ã‚Âblockers (rate ratio 10.49, 95% CrI 2.83 to 60.64; 1 trial, 168 participants). Based on lowÃƒÂ¢Ã¢â€šÂ¬Ã‚Âcertainty evidence, betaÃƒÂ¢Ã¢â€šÂ¬Ã‚Âblockers plus nitrates had a higher number of 'any adverse events (number of participants)' than betaÃƒÂ¢Ã¢â€šÂ¬Ã‚Âblockers alone (OR 3.4 , 95% CrI 1.11 to 11.28; 1 trial, 57 participants). Based on lowÃƒÂ¢Ã¢â€šÂ¬Ã‚Âcertainty evidence, adverse events (number of events) were higher in sclerotherapy than in betaÃƒÂ¢Ã¢â€šÂ¬Ã‚Âblockers (rate ratio 2.49, 95% CrI 1.53 to 4.22; direct comparison rate ratio 2.47, 95% CrI 1.27 to 5.06; 2 trials, 90 participants), and in betaÃƒÂ¢Ã¢â€šÂ¬Ã‚Âblockers plus variceal band ligation than in betaÃƒÂ¢Ã¢â€šÂ¬Ã‚Âblockers (direct comparison rate ratio 1.72, 95% CrI 1.08 to 2.76; 1 trial, 140 participants). Based on lowÃƒÂ¢Ã¢â€šÂ¬Ã‚Âcertainty evidence, any variceal bleed was lower in betaÃƒÂ¢Ã¢â€šÂ¬Ã‚Âblockers plus variceal band ligation than in betaÃƒÂ¢Ã¢â€šÂ¬Ã‚Âblockers (direct comparison HR 0.21, 95% CrI 0.04 to 0.71; 1 trial, 173 participants). Based on lowÃƒÂ¢Ã¢â€šÂ¬Ã‚Âcertainty evidence, any variceal bleed was higher in nitrates than betaÃƒÂ¢Ã¢â€šÂ¬Ã‚Âblockers (direct comparison HR 6.40, 95% CrI 1.58 to 47.42; 1 trial, 52 participants). The evidence indicates considerable uncertainty about the effect of the interventions in the remaining comparisons. Authors' conclusions Based on lowÃƒÂ¢Ã¢â€šÂ¬Ã‚Âcertainty evidence, betaÃƒÂ¢Ã¢â€šÂ¬Ã‚Âblockers, variceal band ligation, sclerotherapy, and betaÃƒÂ¢Ã¢â€šÂ¬Ã‚Âblockers plus nitrates may decrease mortality compared to no intervention in people with highÃƒÂ¢Ã¢â€šÂ¬Ã‚Ârisk oesophageal varices in people with cirrhosis and no previous history of bleeding. Based on lowÃƒÂ¢Ã¢â€šÂ¬Ã‚Âcertainty evidence, variceal band ligation may result in a higher number of serious adverse events than betaÃƒÂ¢Ã¢â€šÂ¬Ã‚Âblockers. The evidence indicates considerable uncertainty about the effect of betaÃƒÂ¢Ã¢â€šÂ¬Ã‚Âblockers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metaÃƒÂ¢Ã¢â€šÂ¬Ã‚Âanalysis').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betaÃƒÂ¢Ã¢â€šÂ¬Ã‚Âblockers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'nonÃƒÂ¢Ã¢â€šÂ¬Ã‚Âselective betaÃƒÂ¢Ã¢â€šÂ¬Ã‚Âblockers' or simply 'betaÃƒÂ¢Ã¢â€šÂ¬Ã‚Âblockers'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followÃƒÂ¢Ã¢â€šÂ¬Ã‚Âup), quality of life, serious and nonÃƒÂ¢Ã¢â€šÂ¬Ã‚Âserious side effects, percentage of people who developed bleeding, and development of other complications of advanced liver disease.ÃƒÂ¢Ã¢â€šÂ¬Ã‚Â¨ÃƒÂ¢Ã¢â€šÂ¬Ã‚Â¨ What were the main results of the review? The 66 studies included a relatively small number of participants (6653 people). Sixty studies with 6212 participants provided data for analyses. The followÃƒÂ¢Ã¢â€šÂ¬Ã‚Âup of the trial ranged from six months to five years in studies that reported the outcomes that we were interested in. The review found the following:ÃƒÂ¢Ã¢â€šÂ¬Ã‚Â¨ÃƒÂ¢Ã¢â€šÂ¬Ã¢â‚¬Å“ Approximately one in five people with cirrhosis and oesophageal varices (without previous bleeding) who receive the betaÃƒÂ¢Ã¢â€šÂ¬Ã‚Âblockers died within five years.ÃƒÂ¢Ã¢â€šÂ¬Ã‚Â¨ÃƒÂ¢Ã¢â€šÂ¬Ã¢â‚¬Å“ BetaÃƒÂ¢Ã¢â€šÂ¬Ã‚Âblockers, variceal band ligation, sclerotherapy, and betaÃƒÂ¢Ã¢â€šÂ¬Ã‚Âblockers plus nitrates all may result in fewer deaths than no treatment.ÃƒÂ¢Ã¢â€šÂ¬Ã‚Â¨ÃƒÂ¢Ã¢â€šÂ¬Ã¢â‚¬Å“ Variceal band ligation may result in a higher number of serious side effects than betaÃƒÂ¢Ã¢â€šÂ¬Ã‚Âblockers.ÃƒÂ¢Ã¢â€šÂ¬Ã‚Â¨ÃƒÂ¢Ã¢â€šÂ¬Ã¢â‚¬Å“ Sclerotherapy, betaÃƒÂ¢Ã¢â€šÂ¬Ã‚Âblockers plus nitrates, and betaÃƒÂ¢Ã¢â€šÂ¬Ã‚Âblockers plus variceal band ligation may result in more side effects (when serious and nonÃƒÂ¢Ã¢â€šÂ¬Ã‚Âserious adverse events were put together) than betaÃƒÂ¢Ã¢â€šÂ¬Ã‚Âblockers.ÃƒÂ¢Ã¢â€šÂ¬Ã‚Â¨ÃƒÂ¢Ã¢â€šÂ¬Ã¢â‚¬Å“ BetaÃƒÂ¢Ã¢â€šÂ¬Ã‚Âblockers plus variceal band ligation may result in fewer people who develop bleeding than betaÃƒÂ¢Ã¢â€šÂ¬Ã‚Âblockers alone based on a single small trial.ÃƒÂ¢Ã¢â€šÂ¬Ã‚Â¨ÃƒÂ¢Ã¢â€šÂ¬Ã¢â‚¬Å“ Nitrates alone may result in more people who develop bleeding than betaÃƒÂ¢Ã¢â€šÂ¬Ã‚Âblockers alone.ÃƒÂ¢Ã¢â€šÂ¬Ã‚Â¨ÃƒÂ¢Ã¢â€šÂ¬Ã¢â‚¬Å“ The evidence indicates considerable uncertainty about the effect of the interventions in the remaining comparisons.ÃƒÂ¢Ã¢â€šÂ¬Ã‚Â¨ÃƒÂ¢Ã¢â€šÂ¬Ã¢â‚¬Å“ None of the trials reported healthÃƒÂ¢Ã¢â€šÂ¬Ã‚Ârelated quality of life. What are our conclusions? BetaÃƒÂ¢Ã¢â€šÂ¬Ã‚Âblockers, variceal band ligation, sclerotherapy, and betaÃƒÂ¢Ã¢â€šÂ¬Ã‚Âblockers plus nitrates may decrease the death rate compared to no treatment in people with highÃƒÂ¢Ã¢â€šÂ¬Ã‚Ârisk oesophageal varices in people with cirrhosis and no history of bleeding. Variceal band ligation may result in a higher number of serious side effects than betaÃƒÂ¢Ã¢â€šÂ¬Ã‚Âblockers. The evidence indicates considerable uncertainty about the effect of betaÃƒÂ¢Ã¢â€šÂ¬Ã‚Âblockers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</si>
  <si>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 Background Inability to communicate in a manner that can be understood causes extreme distress for people requiring an artificial airway and has implications for care quality and patient safety. Options for aided communication include nonÃƒÂ¢Ã¢â€šÂ¬Ã‚Âvocal, speechÃƒÂ¢Ã¢â€šÂ¬Ã‚Âgenerating, and voiceÃƒÂ¢Ã¢â€šÂ¬Ã‚Âenabling aids. Objectives To assess effectiveness of communication aids for people requiring an artificial airway (endotracheal or tracheostomy tube), defined as the proportion of people able to: use a nonÃƒÂ¢Ã¢â€šÂ¬Ã‚Âvocal communication aid to communicate at least one symptom, need, or preference; or use a voiceÃƒÂ¢Ã¢â€šÂ¬Ã‚Âenabling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quasiÃƒÂ¢Ã¢â€šÂ¬Ã‚ÂRCTs, clusterÃƒÂ¢Ã¢â€šÂ¬Ã‚ÂRCTs, controlled nonÃƒÂ¢Ã¢â€šÂ¬Ã‚Ârandomised parallel group, and beforeÃƒÂ¢Ã¢â€šÂ¬Ã‚Âafter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nonÃƒÂ¢Ã¢â€šÂ¬Ã‚Âvocal communication aids and three voiceÃƒÂ¢Ã¢â€šÂ¬Ã‚Âenabling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nonÃƒÂ¢Ã¢â€šÂ¬Ã‚Âvocal aid studies reported our primary outcome. We are uncertain of the effects of early use of a voiceÃƒÂ¢Ã¢â€šÂ¬Ã‚Âenabling aid compared to routine use on ability to phonate at least one intelligible word (risk ratio (RR) 3.03, 95% confidence interval (CI) 0.18 to 50.08; 2 studies; very lowÃƒÂ¢Ã¢â€šÂ¬Ã‚Âcertainty evidence). Compared to usual care without aids, we are uncertain about effects of a nonÃƒÂ¢Ã¢â€šÂ¬Ã‚Âvocal aid (communication board) on patient satisfaction (standardised mean difference (SMD) 2.92, 95% CI 1.52 to 4.33; 4 studies; very lowÃƒÂ¢Ã¢â€šÂ¬Ã‚Âcertainty evidence). No studies of nonÃƒÂ¢Ã¢â€šÂ¬Ã‚Âvocal aids reported quality of life. LowÃƒÂ¢Ã¢â€šÂ¬Ã‚Âcertainty evidence from two studies suggests early use of a voiceÃƒÂ¢Ã¢â€šÂ¬Ã‚Âenabling aid may have no effect on quality of life (MD 2.27, 95% CI ÃƒÂ¢Ã¢â€šÂ¬Ã¢â‚¬Å“7.21 to 11.75). Conceptual differences in measures of psychological distress precluded data pooling; however, intervention arm participants reported less distress suggesting there might be benefit, but our certainty in the evidence is very low. LowÃƒÂ¢Ã¢â€šÂ¬Ã‚Âcertainty evidence suggest voiceÃƒÂ¢Ã¢â€šÂ¬Ã‚Âenabling aids have little or no effect on ICU length of stay; we were unable to determine effects of nonÃƒÂ¢Ã¢â€šÂ¬Ã‚Âvocal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highÃƒÂ¢Ã¢â€šÂ¬Ã‚Âquality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longÃƒÂ¢Ã¢â€šÂ¬Ã‚Âterm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(lowÃƒÂ¢Ã¢â€šÂ¬Ã‚Âquality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lowÃƒÂ¢Ã¢â€šÂ¬Ã‚Âquality evidence. This means further studies are likely to change our understanding of the effects of communication aids. More studies are needed to understand the effects of communication aids, particularly effects on psychological wellÃƒÂ¢Ã¢â€šÂ¬Ã‚Âbeing and people's ability to communicate.</t>
  </si>
  <si>
    <t>Posterior musculofascial reconstruction in roboticÃƒÂ¢Ã¢â€šÂ¬Ã‚Âassisted laparoscopic prostatectomy for the treatment of clinically localized prostate cancer</t>
  </si>
  <si>
    <t>- Background Delayed recovery of urinary continence is a major adverse effect of roboticÃƒÂ¢Ã¢â€šÂ¬Ã‚Âassisted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recurrenceÃƒÂ¢Ã¢â€šÂ¬Ã‚Âfree survival (BCRFS). We performed statistical analyses using a randomÃƒÂ¢Ã¢â€šÂ¬Ã‚Âeffects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prostateÃƒÂ¢Ã¢â€šÂ¬Ã‚Âspecific antigen level of 8.15 ng/mL. Primary outcomes Posterior reconstruction RALP (PRÃƒÂ¢Ã¢â€šÂ¬Ã‚ÂRALP)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PRÃƒÂ¢Ã¢â€šÂ¬Ã‚ÂRALP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PRÃƒÂ¢Ã¢â€šÂ¬Ã‚ÂRALP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PRÃƒÂ¢Ã¢â€šÂ¬Ã‚ÂRALP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PRÃƒÂ¢Ã¢â€šÂ¬Ã‚ÂRALP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PRÃƒÂ¢Ã¢â€šÂ¬Ã‚ÂRALP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PRÃƒÂ¢Ã¢â€šÂ¬Ã‚ÂRALP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nerveÃƒÂ¢Ã¢â€šÂ¬Ã‚Âsparing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roboticÃƒÂ¢Ã¢â€šÂ¬Ã‚Âassisted laparoscopic prostatectomy, or RALP), how does connecting the tissue behind the urethra (soÃƒÂ¢Ã¢â€šÂ¬Ã‚Âcalled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prostateÃƒÂ¢Ã¢â€šÂ¬Ã‚Âspecific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</si>
  <si>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Ãƒâ€šÃ‚Â© 2019 European Association of Urology</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</si>
  <si>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Ãƒâ€šÃ‚Â© 2021 Research Institute for Gastroenterology and Liver Diseases. All rights reserved.</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</si>
  <si>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Ãƒâ€šÃ‚Â© 2025 Ramnarayan et al.</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</si>
  <si>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 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 Conclusion(s):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 Copyright Ãƒâ€šÃ‚Â© 2025, Galore Knowledge Publication Pvt. Ltd.. All rights reserved."</t>
  </si>
  <si>
    <t>NonÃƒÂ¢Ã¢â€šÂ¬Ã‚Âpharmacological and nonÃƒÂ¢Ã¢â€šÂ¬Ã‚Âsurgical treatments for low back pain in adults: an overview of Cochrane reviews</t>
  </si>
  <si>
    <t>- Background Low back pain (LBP) is a significant public health issue due to its high prevalence and associated disability burden. Clinical practice guidelines recommend nonÃƒÂ¢Ã¢â€šÂ¬Ã‚Âpharmacological/nonÃƒÂ¢Ã¢â€šÂ¬Ã‚Âsurgical interventions for managing pain and function in people with LBP. Objectives To provide accessible, highÃƒÂ¢Ã¢â€šÂ¬Ã‚Âquality evidence on the effects of nonÃƒÂ¢Ã¢â€šÂ¬Ã‚Âpharmacological and nonÃƒÂ¢Ã¢â€šÂ¬Ã‚Âsurgical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nonÃƒÂ¢Ã¢â€šÂ¬Ã‚Âpharmacological/nonÃƒÂ¢Ã¢â€šÂ¬Ã‚Âsurgical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nonÃƒÂ¢Ã¢â€šÂ¬Ã‚Âpharmacological/nonÃƒÂ¢Ã¢â€šÂ¬Ã‚Âsurgical interventions compared to placebo/sham or no treatment/usual care at shortÃƒÂ¢Ã¢â€šÂ¬Ã‚Âterm (ÃƒÂ¢Ã¢â‚¬Â°Ã‚Â¤ three months) followÃƒÂ¢Ã¢â€šÂ¬Ã‚Âup. Placebo/sham comparisons Acute/subacute LBP Compared to placebo, there is probably no difference in function (at oneÃƒÂ¢Ã¢â€šÂ¬Ã‚Âweek followÃƒÂ¢Ã¢â€šÂ¬Ã‚Âup) for spinal manipulation (standardised mean difference (SMD) ÃƒÂ¢Ã¢â€šÂ¬Ã‚Â0.08, 95% confidence interval (CI) ÃƒÂ¢Ã¢â€šÂ¬Ã‚Â0.37 to 0.21; 2 trials, 205 participants; moderateÃƒÂ¢Ã¢â€šÂ¬Ã‚Âcertainty evidence). Data for safety were reported only for heated back wrap. Compared to placebo, heated back wrap may result in skin pinkness (6/128 participants versus 1/130; 2 trials; lowÃƒÂ¢Ã¢â€šÂ¬Ã‚Âcertainty evidence). Chronic LBP Compared to sham acupuncture, acupuncture probably provides a small improvement in function (SMD ÃƒÂ¢Ã¢â€šÂ¬Ã‚Â0.38, 95% CI ÃƒÂ¢Ã¢â€šÂ¬Ã‚Â0.69 to ÃƒÂ¢Ã¢â€šÂ¬Ã‚Â0.07; 3 trials, 957 participants; moderateÃƒÂ¢Ã¢â€šÂ¬Ã‚Âcertainty evidence). Compared to sham traction, there is probably no difference in pain intensity for traction (0 to 100 scale, mean difference (MD) ÃƒÂ¢Ã¢â€šÂ¬Ã‚Â4, 95% CI ÃƒÂ¢Ã¢â€šÂ¬Ã‚Â17.7 to 9.7; 1 trial, 60 participants; moderateÃƒÂ¢Ã¢â€šÂ¬Ã‚Âcertainty evidence). Data for safety were reported only for acupuncture. There may be no difference between acupuncture and sham acupuncture for safety outcomes (risk ratio (RR) 0.68, 95% CI 0.42 to 1.10; I 2 = 0%; 4 trials, 465 participants; lowÃƒÂ¢Ã¢â€šÂ¬Ã‚Âcertainty evidence). No treatment/usual care comparisons Acute/subacute LBP Compared to advice to rest, advice to stay active probably provides a small reduction in pain intensity (SMD ÃƒÂ¢Ã¢â€šÂ¬Ã‚Â0.22, 95% CI ÃƒÂ¢Ã¢â€šÂ¬Ã‚Â0.02 to ÃƒÂ¢Ã¢â€šÂ¬Ã‚Â0.41; 2 trials, 401 participants; moderateÃƒÂ¢Ã¢â€šÂ¬Ã‚Âcertainty evidence). Compared to advice to rest, advice to stay active probably provides a small improvement in function (SMD ÃƒÂ¢Ã¢â€šÂ¬Ã‚Â0.29, 95% CI ÃƒÂ¢Ã¢â€šÂ¬Ã‚Â0.09 to ÃƒÂ¢Ã¢â€šÂ¬Ã‚Â0.49; 2 trials, 400 participants; moderateÃƒÂ¢Ã¢â€šÂ¬Ã‚Âcertainty evidence). Data for safety were reported only for massage. There may be no difference between massage and usual care for safety (risk difference 0, 95% CI ÃƒÂ¢Ã¢â€šÂ¬Ã‚Â0.07 to 0.07; 1 trial, 51 participants; lowÃƒÂ¢Ã¢â€šÂ¬Ã‚Âcertainty evidence). Chronic LBP Compared to no treatment, acupuncture probably provides a medium reduction in pain intensity (0 to 100 scale, mean difference (MD) ÃƒÂ¢Ã¢â€šÂ¬Ã‚Â10.1, 95% CI ÃƒÂ¢Ã¢â€šÂ¬Ã‚Â16.8 to ÃƒÂ¢Ã¢â€šÂ¬Ã‚Â3.4; 3 trials, 144 participants; moderateÃƒÂ¢Ã¢â€šÂ¬Ã‚Âcertainty evidence), and a small improvement in function (SMD ÃƒÂ¢Ã¢â€šÂ¬Ã‚Â0.39, 95% CI ÃƒÂ¢Ã¢â€šÂ¬Ã‚Â0.72 to ÃƒÂ¢Ã¢â€šÂ¬Ã‚Â0.06; 3 trials, 144 participants; moderateÃƒÂ¢Ã¢â€šÂ¬Ã‚Âcertainty evidence). Compared to usual care, acupuncture probably provides a small improvement in function (MD 9.4, 95% CI 6.15 to 12.65; 1 trial, 734 participants; moderateÃƒÂ¢Ã¢â€šÂ¬Ã‚Âcertainty evidence). Compared to no treatment/usual care, exercise therapies probably provide a small to medium reduction in pain intens ty (0 to 100 scale, MD ÃƒÂ¢Ã¢â€šÂ¬Ã‚Â15.2, 95% CI ÃƒÂ¢Ã¢â€šÂ¬Ã‚Â18.3 to ÃƒÂ¢Ã¢â€šÂ¬Ã‚Â12.2; 35 trials, 2746 participants; moderateÃƒÂ¢Ã¢â€šÂ¬Ã‚Âcertainty evidence), and probably provide a small improvement in function (0 to 100 scale, MD ÃƒÂ¢Ã¢â€šÂ¬Ã‚Â6.8, 95% CI ÃƒÂ¢Ã¢â€šÂ¬Ã‚Â8.3 to ÃƒÂ¢Ã¢â€šÂ¬Ã‚Â5.3; 38 trials, 2942 participants; moderateÃƒÂ¢Ã¢â€šÂ¬Ã‚Âcertainty evidence). Compared to usual care, multidisciplinary therapies probably provide a medium reduction in pain intensity (SMD ÃƒÂ¢Ã¢â€šÂ¬Ã‚Â0.55, 95% CI ÃƒÂ¢Ã¢â€šÂ¬Ã‚Â0.83 to ÃƒÂ¢Ã¢â€šÂ¬Ã‚Â0.28; 9 trials, 879 participants; moderateÃƒÂ¢Ã¢â€šÂ¬Ã‚Âcertainty evidence), and probably provide a small improvement in function (SMD ÃƒÂ¢Ã¢â€šÂ¬Ã‚Â0.41, 95% CI ÃƒÂ¢Ã¢â€šÂ¬Ã‚Â0.62 to ÃƒÂ¢Ã¢â€šÂ¬Ã‚Â0.19; 9 trials, 939 participants; moderateÃƒÂ¢Ã¢â€šÂ¬Ã‚Âcertainty evidence). Compared to no treatment, psychological therapies using operant approaches probably provide a small reduction in pain intensity (SMD ÃƒÂ¢Ã¢â€šÂ¬Ã‚Â0.43, 95% CI ÃƒÂ¢Ã¢â€šÂ¬Ã‚Â0.75 to ÃƒÂ¢Ã¢â€šÂ¬Ã‚Â0.11; 3 trials, 153 participants; moderateÃƒÂ¢Ã¢â€šÂ¬Ã‚Âcertainty evidence). Compared to usual care, psychological therapies (including progressive muscle relaxation and behavioural approaches) probably provide a small reduction in pain intensity (0 to 100 scale, MD ÃƒÂ¢Ã¢â€šÂ¬Ã‚Â5.18, 95% CI ÃƒÂ¢Ã¢â€šÂ¬Ã‚Â9.79 to ÃƒÂ¢Ã¢â€šÂ¬Ã‚Â0.57; 2 trials, 330 participants; moderateÃƒÂ¢Ã¢â€šÂ¬Ã‚Âcertainty evidence), but there is probably no difference in function (SMD ÃƒÂ¢Ã¢â€šÂ¬Ã‚Â0.2, 95% CI ÃƒÂ¢Ã¢â€šÂ¬Ã‚Â0.41 to 0.02; 2 trials, 330 participants; moderateÃƒÂ¢Ã¢â€šÂ¬Ã‚Âcertainty evidence). It is uncertain whether there is a difference between nonÃƒÂ¢Ã¢â€šÂ¬Ã‚Âpharmacological/nonÃƒÂ¢Ã¢â€šÂ¬Ã‚Âsurgical interventions and no treatment/usual care for safety (very lowÃƒÂ¢Ã¢â€šÂ¬Ã‚Âcertainty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nonÃƒÂ¢Ã¢â€šÂ¬Ã‚Âmedicine and nonÃƒÂ¢Ã¢â€šÂ¬Ã‚Âsurgical treatments for nonÃƒÂ¢Ã¢â€šÂ¬Ã‚Âspecific low back pain? Key messages For acute low back pain (pain lasting less than 6 weeks) ÃƒÂ¢Ã¢â€šÂ¬Ã‚Â¢ Advice to stay active probably reduces pain and improves function compared to advice to rest in bed. For subacute low back pain (pain lasting from 6 to 12 weeks) ÃƒÂ¢Ã¢â€šÂ¬Ã‚Â¢ Multidisciplinary therapies probably reduce pain compared to usual care.ÃƒÂ¢Ã¢â€šÂ¬Ã‚Â¨ÃƒÂ¢Ã¢â€šÂ¬Ã‚Â¢ Spinal manipulation probably does not improve function compared to placebo (a 'sham' or 'dummy' treatment designed to resemble the actual treatment but lacking active ingredients or the intended therapeutic effect). For chronic low back pain (pain lasting longer than 12 weeks) ÃƒÂ¢Ã¢â€šÂ¬Ã‚Â¢ Acupuncture probably reduces pain and improves function compared to placebo and no treatment/usual care.ÃƒÂ¢Ã¢â€šÂ¬Ã‚Â¨ÃƒÂ¢Ã¢â€šÂ¬Ã‚Â¢ Exercise therapies probably reduce pain and improve function compared to placebo and no treatment/usual care.ÃƒÂ¢Ã¢â€šÂ¬Ã‚Â¨ÃƒÂ¢Ã¢â€šÂ¬Ã‚Â¢ Traction probably does not reduce pain compared to sham traction.ÃƒÂ¢Ã¢â€šÂ¬Ã‚Â¨ÃƒÂ¢Ã¢â€šÂ¬Ã‚Â¢ Multidisciplinary therapy probably reduces pain and improves function compared to usual care.ÃƒÂ¢Ã¢â€šÂ¬Ã‚Â¨ÃƒÂ¢Ã¢â€šÂ¬Ã‚Â¢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ÃƒÂ¢Ã¢â€šÂ¬Ã‹Å“nonÃƒÂ¢Ã¢â€šÂ¬Ã‚ÂspecificÃƒÂ¢Ã¢â€šÂ¬Ã¢â€žÂ¢ low back pain. Many types of nonÃƒÂ¢Ã¢â€šÂ¬Ã‚Âmedicine and nonÃƒÂ¢Ã¢â€šÂ¬Ã‚Âsurgical treatments are available for people with low back pain of different durations: acute (pain lasting less than 6 weeks), subacute (pain lasting from 6 to 12 weeks) and chronic (pain lasting longer than 12 weeks). There is a need to provide accessible, highÃƒÂ¢Ã¢â€šÂ¬Ã‚Âquality information on the benefits and safety of nonÃƒÂ¢Ã¢â€šÂ¬Ã‚Âdrug and nonÃƒÂ¢Ã¢â€šÂ¬Ã‚Âsurgical treatments for healthcare professionals and patients to better manage low back pain. What did we want to find out? We wanted to summarise the evidence from Cochrane reviews on the effectiveness and safety of nonÃƒÂ¢Ã¢â€šÂ¬Ã‚Âmedicine and nonÃƒÂ¢Ã¢â€šÂ¬Ã‚Âsurgical treatments for adults with nonÃƒÂ¢Ã¢â€šÂ¬Ã‚Âspecific low back pain. What did we do? ÃƒÂ¢Ã¢â€šÂ¬Ã‚Â¨We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nonÃƒÂ¢Ã¢â€šÂ¬Ã‚Âmedicine and nonÃƒÂ¢Ã¢â€šÂ¬Ã‚Âsurgical interventions for low back pain. NonÃƒÂ¢Ã¢â€šÂ¬Ã‚Âmedicine and nonÃƒÂ¢Ã¢â€šÂ¬Ã‚Âsurgical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threeÃƒÂ¢Ã¢â€šÂ¬Ã‚Âquarters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nonÃƒÂ¢Ã¢â€šÂ¬Ã‚Âmedicine and nonÃƒÂ¢Ã¢â€šÂ¬Ã‚Âsurgical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oneÃƒÂ¢Ã¢â€šÂ¬Ã‚Âthird (10 of 31) of the reviews are more than 15 years old, meaning the evidence they contain is even more dated.</t>
  </si>
  <si>
    <t>- Rationale Postpartum haemorrhage (PPH) is common and potentially lifeÃƒÂ¢Ã¢â€šÂ¬Ã‚Âthreatening.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costÃƒÂ¢Ã¢â€šÂ¬Ã‚Âeffectiveness and safety of prophylactic TXA is required before considering widespread use. This review updates one published in 2015. Objectives To assess the effects of TXA for preventing PPH compared to placebo or no treatment (with or without uterotonic coÃƒÂ¢Ã¢â€šÂ¬Ã‚Âtreatment)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ÃƒÂ¢Ã¢â‚¬Â°Ã‚Â¥ 500 mL and blood loss ÃƒÂ¢Ã¢â‚¬Â°Ã‚Â¥ 1000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randomÃƒÂ¢Ã¢â€šÂ¬Ã‚Âeffects metaÃƒÂ¢Ã¢â€šÂ¬Ã‚Âanalysis to combine data. We assessed the certainty of the evidence using GRADE. Included studies We included three RCTs with 18,974 participants in total. The trials were conducted in both highÃƒÂ¢Ã¢â€šÂ¬Ã‚Â and lowÃƒÂ¢Ã¢â€šÂ¬Ã‚Âresource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ÃƒÂ¢Ã¢â‚¬Â°Ã‚Â¥ 500 mL (risk ratio (RR) 0.93, 95% confidence interval (CI) 0.81 to 1.06; 2 studies, 18,897 participants; 5 fewer per 1000, 95% CI 15 fewer to 5 more; highÃƒÂ¢Ã¢â€šÂ¬Ã‚Âcertainty evidence). TXA likely results in little to no difference in blood loss ÃƒÂ¢Ã¢â‚¬Â°Ã‚Â¥ 1000 mL (RR 0.86, 95% CI 0.69 to 1.07; 2 studies, 18,897 participants; 3 fewer per 1000, 95% CI 6 fewer to 1 more; moderateÃƒÂ¢Ã¢â€šÂ¬Ã‚Âcertainty evidence). TXA likely results in little to no difference in severe morbidity (RR 0.88, 95% CI 0.69 to 1.12; 1 study, 15,066 participants; 2 fewer per 1000, 95% CI 6 fewer to 2 more; moderateÃƒÂ¢Ã¢â€šÂ¬Ã‚Âcertainty evidence). TXA results in little to no difference in receipt of blood transfusion (RR 1.00, 95% CI 0.95 to 1.06; 3 studies, 18,972 participants; 0 fewer per 1000, 95% CI 10 fewer to 12 more; highÃƒÂ¢Ã¢â€šÂ¬Ã‚Âcertainty evidence). TXA may result in little to no difference in receipt of additional surgical interventions to control PPH (RR 0.63, 95% CI 0.32 to 1.23; 2 studies, 18,972 participants; 1 fewer per 1000, 95% CI 2 fewer to 1 more; lowÃƒÂ¢Ã¢â€šÂ¬Ã‚Âcertainty evidence). In women with anaemia, TXA results in little to no difference in receipt of additional uterotonics (RR 1.02, 95% CI 0.94 to 1.10; 1 study, 15,066 participants; 3 more women per 1000, 95% CI 8 fewer to 24 more; highÃƒÂ¢Ã¢â€šÂ¬Ã‚Âcertainty evidence). In women with no anaemia, TXA results in a slight reduction in receipt of additional uterotonics (RR 0.75, 95% CI 0.61 to 0.92; 1 study, 3891 participants; 24 fewer women per 1000, 95% CI 38 fewer to 8 fewer; highÃƒÂ¢Ã¢â€šÂ¬Ã‚Âcertainty evidence). TXA likely r sults in little to no difference in maternal satisfaction. The evidence is very uncertain about the effect of TXA on maternal death, thromboembolic events, and hysterectomy (very lowÃƒÂ¢Ã¢â€šÂ¬Ã‚Âcertainty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ÃƒÂ¢Ã¢â‚¬Â°Ã‚Â¥ 500 mL and likely makes little to no difference to blood loss ÃƒÂ¢Ã¢â‚¬Â°Ã‚Â¥ 1000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10.1002/14651858.CD007872ÃƒÂ¢Ã¢â€šÂ¬Ã‚Â¨Original review (2010) DOI: 10.1002/14651858.CD007872.pub2ÃƒÂ¢Ã¢â€šÂ¬Ã‚Â¨Review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lifeÃƒÂ¢Ã¢â€šÂ¬Ã‚Âthreatening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highÃƒÂ¢Ã¢â€šÂ¬Ã‚Â and lowÃƒÂ¢Ã¢â€šÂ¬Ã‚Âresource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</si>
  <si>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nonÃƒÂ¢Ã¢â€šÂ¬Ã‚Ârandomized trials, controlled beforeÃƒÂ¢Ã¢â€šÂ¬Ã‚Âafter (CBA) studies, and interrupted timeÃƒÂ¢Ã¢â€šÂ¬Ã‚Âseries (ITS) studies comparing (1) standÃƒÂ¢Ã¢â€šÂ¬Ã‚Âalone clinical pathways with usual care, and (2) clinical pathways as part of a multifaceted intervention with usual care. Data collection and analysis Two authors independently screened all titles, abstracts and fullÃƒÂ¢Ã¢â€šÂ¬Ã‚Âtext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evidenceÃƒÂ¢Ã¢â€šÂ¬Ã‚Âbased implementation process. Main results The update provided 31 additional studies for a total of 58 included studies (24,841 patients and 2027 healthcare professionals). FortyÃƒÂ¢Ã¢â€šÂ¬Ã‚Âone (71%) were randomized trials, four (7%) nonÃƒÂ¢Ã¢â€šÂ¬Ã‚Ârandomized trials, four (7%) CBA studies and nine (16%) ITS studies. FortyÃƒÂ¢Ã¢â€šÂ¬Ã‚Ânine studies compared standÃƒÂ¢Ã¢â€šÂ¬Ã‚Âalone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StandÃƒÂ¢Ã¢â€šÂ¬Ã‚Âalone clinical pathway interventions It is uncertain whether standÃƒÂ¢Ã¢â€šÂ¬Ã‚Âalone CPWs reduce inhospital mortality (13% v 16%: OR 0.79, 95% CI 0.53 to 1.20; P = 0.27; IÃƒâ€šÃ‚Â² = 65%; 7 randomized trials; n = 4603; lowÃƒÂ¢Ã¢â€šÂ¬Ã‚Âcertainty evidence due to serious imprecision and inconsistency) or mortality (up to 6 months) (4% v 3%: OR 1.37, 95% CI 0.72 to 2.60; P = 0.34; IÃƒâ€šÃ‚Â² = 20%; 3 randomized trials, n = 805; lowÃƒÂ¢Ã¢â€šÂ¬Ã‚Âcertainty evidence due to serious risk of bias and imprecision). StandÃƒÂ¢Ã¢â€šÂ¬Ã‚Âalone CPWs likely reduce inhospital complications (10% v 17%: OR 0.57, 95% CI 0.41 to 0.80; P = 0.001; IÃƒâ€šÃ‚Â² = 52%; 11 randomized trials, n = 3668; moderateÃƒÂ¢Ã¢â€šÂ¬Ã‚Âcertainty evidence due to serious risk of bias). It is very uncertain whether standÃƒÂ¢Ã¢â€šÂ¬Ã‚Âalone CPWs reduce hospital readmissions (up to 6 months) (9% v 13%: OR 0.67, 95% CI 0.44 to 1.03; P = 0.07; IÃƒâ€šÃ‚Â² = 11%; 9 randomized trials, n = 1578; very lowÃƒÂ¢Ã¢â€šÂ¬Ã‚Âcertainty evidence due to serious risk of bias and very serious imprecision). StandÃƒÂ¢Ã¢â€šÂ¬Ã‚Âalone CPWs likely reduce the length of hospital stay compared to usual care (MD ÃƒÂ¢Ã¢â€šÂ¬Ã‚Â1.12 days, 95% CI ÃƒÂ¢Ã¢â€šÂ¬Ã‚Â1.60 to ÃƒÂ¢Ã¢â€šÂ¬Ã‚Â0.65; P &lt; 0.00001; IÃƒâ€šÃ‚Â² = 64%; 21 studies; n = 5201; moderateÃƒÂ¢Ã¢â€šÂ¬Ã‚Âcertainty evidence due to serious inconsistency). Costs and charges were generally lower in CPWs as indicated by negative MDs in nine studies (10 studies, n = 2113, data not pooled; very lowÃƒÂ¢Ã¢â€šÂ¬Ã‚Âcertainty evidence due to serious indirectness and very serious inconsistency). StandÃƒÂ¢Ã¢â€šÂ¬Ã‚Âalone CPWs may slightly increase adherence to recommended practice compared with usual care (3 randomized studies, n = 573; data not pooled; lowÃƒÂ¢Ã¢â€šÂ¬Ã‚Âcertainty evidence due to serious risk of bias and serious inconsistency). Multifaceted clinical pathway interventions It is uncertain whether multifaceted CPWs reduce inhospital mor ality (2 randomized studies, n = 6304, data not pooled; lowÃƒÂ¢Ã¢â€šÂ¬Ã‚Âcertainty evidence due to very serious inconsistency). Multifaceted CPWs may make little or no difference to mortality (up to 6 months) (9% v 8%: OR 1.05, 95% CI 0.88 to 1.25; P = 0.61; IÃƒâ€šÃ‚Â² = 0%; 3 randomized studies; n = 6531; lowÃƒÂ¢Ã¢â€šÂ¬Ã‚Âcertainty evidence due to serious imprecision and serious risk of bias). It is uncertain whether multifaceted CPWs reduce inhospital complications (9% v 23%: OR 0.32, 95% CI 0.12 to 0.87; 1 study, n = 140; lowÃƒÂ¢Ã¢â€šÂ¬Ã‚Âcertainty evidence due to very serious imprecision). It is uncertain whether multifaceted CPWs reduce hospital readmission (up to 6 months) (2 randomized studies, n =1569, data not pooled; lowÃƒÂ¢Ã¢â€šÂ¬Ã‚Âcertainty evidence due to very serious inconsistency), or length of stay (4 randomized studies, n = 1936, data not pooled; lowÃƒÂ¢Ã¢â€šÂ¬Ã‚Âcertainty evidence due to very serious inconsistency), or hospital costs and charges (4 randomized studies, n = 2015, data not pooled; very lowÃƒÂ¢Ã¢â€šÂ¬Ã‚Âcertainty evidence due to very serious imprecision and serious indirectness in outcome measures). It is uncertain whether multifaceted CPWs increase adherence to recommended practice (2 randomized studies, n = 6304, data not pooled, lowÃƒÂ¢Ã¢â€šÂ¬Ã‚Âcertainty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extendedÃƒÂ¢Ã¢â€šÂ¬Ã‚Âstay facilities (10%). The most common clinical conditions were asthma (16%), stroke (10%), mechanical ventilation (9%) and myocardial infarction (7%). Authors' conclusions StandÃƒÂ¢Ã¢â€šÂ¬Ã‚Âalone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standÃƒÂ¢Ã¢â€šÂ¬Ã‚Âalone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documentÃƒÂ¢Ã¢â€šÂ¬Ã‚Âbased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highÃƒÂ¢Ã¢â€šÂ¬Ã‚Âquality studies that report on implementation strategies used during the pathway development and implementation. What was studied in the review? DecisionÃƒÂ¢Ã¢â€šÂ¬Ã‚Âmaking in hospitals h s evolved from being opinionÃƒÂ¢Ã¢â€šÂ¬Ã‚Âbased to being based on sound scientific evidence (i.e. evidenceÃƒÂ¢Ã¢â€šÂ¬Ã‚Âbased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clusterÃƒÂ¢Ã¢â€šÂ¬Ã‚Ârandomized studies, nonÃƒÂ¢Ã¢â€šÂ¬Ã‚Ârandomized studies, controlled beforeÃƒÂ¢Ã¢â€šÂ¬Ã‚Âafter studies (CBA), and interrupted timeÃƒÂ¢Ã¢â€šÂ¬Ã‚Âseries studies (ITS). In individual randomized trials, study participants were allocated to the CPW or usual care group by chance, called random allocation. ClusterÃƒÂ¢Ã¢â€šÂ¬Ã‚Ârandomized trials divided all study participants into smaller groups known as clusters. These clusters were then allocated by chance to the CPW or usual care group. For nonÃƒÂ¢Ã¢â€šÂ¬Ã‚Ârandomized trials, participants were allocated to different groups by investigators in a quasiÃƒÂ¢Ã¢â€šÂ¬Ã‚Ârandom fashion. QuasiÃƒÂ¢Ã¢â€šÂ¬Ã‚Ârandom allocation means that study participants were allocated to the CPW or usual care group based on criteria such as their date of birth or the day of the week. CBA studies are experimental studies without a random or quasiÃƒÂ¢Ã¢â€šÂ¬Ã‚Ârandom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standÃƒÂ¢Ã¢â€šÂ¬Ã‚Âalone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standÃƒÂ¢Ã¢â€šÂ¬Ã‚Âalone clinical pathway has any effect on inÃƒÂ¢Ã¢â€šÂ¬Ã‚Âhospital mortality and mortality (up to 6 months) (low certainty). StandÃƒÂ¢Ã¢â€šÂ¬Ã‚Âalone CPWs are likely to reduce inhospital complications (moderate certainty) but it is very uncertain if they make any difference to hospital readmissions (up to 6 months) (very low certainty). StandÃƒÂ¢Ã¢â€šÂ¬Ã‚Âalone CPWs are likely to reduce length of hospital stay (moderate certainty). Costs and charges were generally lower in CPWs in nine out of ten studies included in this comparison (very low certainty). StandÃƒÂ¢Ã¢â€šÂ¬Ã‚Âalone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upÃƒÂ¢Ã¢â€šÂ¬Ã‚ÂtoÃƒÂ¢Ã¢â€šÂ¬Ã‚Âdate is this review? This review update searched for new studies up to July 26, 2024.</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</si>
  <si>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Ãƒâ€šÃ‚Â© 2025</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</si>
  <si>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allÃƒÂ¢Ã¢â€šÂ¬Ã‚Âcause mortality, major venous thromboembolism (VTE), symptomatic VTE, major bleeding, and serious hepatic and nonÃƒÂ¢Ã¢â€šÂ¬Ã‚Âhepatic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TwentyÃƒÂ¢Ã¢â€šÂ¬Ã‚Âthree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allÃƒÂ¢Ã¢â€šÂ¬Ã‚Âcause mortality, but the evidence is very uncertain (RR 0.83, 95% CI 0.52 to 1.31; I 2 = 0%; 28 studies, 29,698 participants; very lowÃƒÂ¢Ã¢â€šÂ¬Ã‚Âcertainty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lowÃƒÂ¢Ã¢â€šÂ¬Ã‚Âcertainty evidence). Compared to LMWHs, direct factor Xa inhibitors may reduce symptomatic VTE (RR 0.64, 95% CI 0.50 to 0.83; I 2 = 0%; 33 studies, 31,670 participants; lowÃƒÂ¢Ã¢â€šÂ¬Ã‚Âcertainty evidence). The absolute benefit of substituting factor Xa inhibitors for LMWHs may be between two and five fewer symptomatic VTE episodes per 1000 patients. In the metaÃƒÂ¢Ã¢â€šÂ¬Ã‚Âanalysis with all studies pooled, direct factor Xa inhibitors appeared to make little or no difference to major bleeding compared to LMWHs, but the evidence was very uncertain (RR 1.05, 95% CI 0.86 to 1.30; I 2 = 15%; 36 studies, 39,778 participants; very low certaintyÃƒÂ¢Ã¢â€šÂ¬Ã‚Âevidence). ÃƒÂ¢Ã¢â€šÂ¬Ã‚Â¨ÃƒÂ¢Ã¢â€šÂ¬Ã‚Â¢ In a subgroup analysis limited to studies comparing rivaroxaban to LMWHs, people given rivaroxaban may have had more major bleeding events (RR 1.94, 95% CI 1.26 to 2.98; I 2 = 0%; 17 studies, 17,630 participants; lowÃƒÂ¢Ã¢â€šÂ¬Ã‚Âcertainty evidence). The absolute risk of substituting rivaroxaban for LMWH may be between one and seven more major bleeding events per 1000 patients. ÃƒÂ¢Ã¢â€šÂ¬Ã‚Â¨ÃƒÂ¢Ã¢â€šÂ¬Ã‚Â¢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lowÃƒÂ¢Ã¢â€šÂ¬Ã‚Âcertainty evidence). Direct factor Xa inhibitors may make little to no difference in serious hepatic adverse events compared to LMWHs, but the evidence is very uncertain (RR 3.01, 95% CI 0.12 to 73.93; 2 studies, 3169 participants; very lowÃƒÂ¢Ã¢â€šÂ¬Ã‚Âcertainty evidence). Only two studies reported this outcome, with one death in the intervention group due to hepatitis reported in one study, and no events reported in the other study. People given direct factor Xa inhibitors may have a lower risk of serious nonÃƒÂ¢Ã¢â€šÂ¬Ã‚Âhepatic adverse events than those given LMWHs (RR 0.89, 95% CI 0.81 to 0.97; I 2 = 18%; 15 studies, 26,246 participants; lowÃƒÂ¢Ã¢â€šÂ¬Ã‚Âcertainty evidence). The absolute benefit of substituting factor Xa inhibitors for LMWH may be between three and 14 fewer serious nonÃƒÂ¢Ã¢â€šÂ¬Ã‚Âhepatic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allÃƒÂ¢Ã¢â€šÂ¬Ã‚Âcause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nonÃƒÂ¢Ã¢â€šÂ¬Ã‚Âhepatic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ÃƒÂ¢Ã¢â€šÂ¬Ã‚Â¢ We do not know if classic anticoagulant medicines (commonly known as 'blood thinners') or newer bloodÃƒÂ¢Ã¢â€šÂ¬Ã‚Âthinning medicines called 'direct factor Xa inhibitors' (DFXa inhibitors) are better at preventing death or the development of blood clots in the deep veins of the legs or in the lungs of people who have had hip or knee replacement surgery. ÃƒÂ¢Ã¢â€šÂ¬Ã‚Â¢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followÃƒÂ¢Ã¢â€šÂ¬Ã‚Âup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highÃƒÂ¢Ã¢â€šÂ¬Ã‚Âincome regions. Roughly oneÃƒÂ¢Ã¢â€šÂ¬Ã‚Âthird of participants (31%) were male. Participants' average age was 64 years. Pharmaceutical companies funded half of the studies (27 of 53). Main results Compared to LMWHs, we do not know if DFXa inhibitors reduce the number of people who:ÃƒÂ¢Ã¢â€šÂ¬Ã‚Â¨ÃƒÂ¢Ã¢â€šÂ¬Ã‚Â¢ die from any cause after surgery, orÃƒÂ¢Ã¢â€šÂ¬Ã‚Â¨ÃƒÂ¢Ã¢â€šÂ¬Ã‚Â¢ develop blood clots in the lungs or deep veins of the leg or pelvisÃƒÂ¢Ã¢â€šÂ¬Ã‚Â¨because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nonÃƒÂ¢Ã¢â€šÂ¬Ã‚ÂliverÃƒÂ¢Ã¢â€šÂ¬Ã‚Ârelated events compared to LMWHs. Between 3 and 14 fewer people out of every 1000 people given DFXa inhibitors would have serious, nonÃƒÂ¢Ã¢â€šÂ¬Ã‚ÂliverÃƒÂ¢Ã¢â€šÂ¬Ã‚Ârelated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</si>
  <si>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Appears to be a peer-reviewed article on cost-effectiveness study.</t>
  </si>
  <si>
    <t>Cochrane Review, likely peer-reviewed</t>
  </si>
  <si>
    <t>Unclear publication type, flagged for review</t>
  </si>
  <si>
    <t>Peer-reviewed article on cost-effectiveness study.</t>
  </si>
  <si>
    <t>Peer-reviewed article from a reputable journal</t>
  </si>
  <si>
    <t>Peer-reviewed article identified</t>
  </si>
  <si>
    <t>Peer-reviewed article with research data</t>
  </si>
  <si>
    <t>Peer-reviewed article with study results</t>
  </si>
  <si>
    <t>Appears to be a peer-reviewed systematic review.</t>
  </si>
  <si>
    <t>Research article likely peer-reviewed, not a protocol or commentary.</t>
  </si>
  <si>
    <t>Appears to be a peer-reviewed article with no exclusion indicators.</t>
  </si>
  <si>
    <t>Peer-reviewed article on drug uptake analysis.</t>
  </si>
  <si>
    <t>Peer-reviewed article in BMJ, a reputable journal</t>
  </si>
  <si>
    <t>Peer-reviewed article on perioperative beta-blockers.</t>
  </si>
  <si>
    <t>Peer-reviewed article with research findings</t>
  </si>
  <si>
    <t>Peer-reviewed article on endometrial techniques</t>
  </si>
  <si>
    <t>Cochrane review, likely peer-reviewed</t>
  </si>
  <si>
    <t>Appears to be an editorial/commentary</t>
  </si>
  <si>
    <t>Peer-reviewed mapping review article.</t>
  </si>
  <si>
    <t>Peer-reviewed article with study results.</t>
  </si>
  <si>
    <t>Peer-reviewed article in a reputable journal</t>
  </si>
  <si>
    <t>Peer-reviewed article on cost-effectiveness of AAA screening</t>
  </si>
  <si>
    <t>Cochrane Review, peer-reviewed article</t>
  </si>
  <si>
    <t>Comprehensive systematic review and economic evaluation</t>
  </si>
  <si>
    <t>Appears to be a peer-reviewed article describing a cost-effectiveness model.</t>
  </si>
  <si>
    <t>Peer-reviewed article on RCT study.</t>
  </si>
  <si>
    <t>Appears to be a peer-reviewed study.</t>
  </si>
  <si>
    <t>Peer-reviewed systematic review article.</t>
  </si>
  <si>
    <t>Peer-reviewed cost-effectiveness analysis article.</t>
  </si>
  <si>
    <t>Systematic review of RCTs, likely peer-reviewed.</t>
  </si>
  <si>
    <t>Appears to be a peer-reviewed article.</t>
  </si>
  <si>
    <t>Appears to be a peer-reviewed article, not a protocol or commentary.</t>
  </si>
  <si>
    <t>Peer-reviewed article assessing dietary interventions for cancer survivors.</t>
  </si>
  <si>
    <t>Qualitative study in a reputable journal, not a protocol or commentary.</t>
  </si>
  <si>
    <t>Study protocol identified in title and abstract</t>
  </si>
  <si>
    <t>Peer-reviewed article on nurse-staffing models and outcomes.</t>
  </si>
  <si>
    <t>Peer-reviewed article from Cochrane Library</t>
  </si>
  <si>
    <t>Observational study in a reputable journal, not a protocol or commentary.</t>
  </si>
  <si>
    <t>Appears to be a conference abstract, a form of grey literature.</t>
  </si>
  <si>
    <t>Peer-reviewed modelling study, not a protocol or commentary</t>
  </si>
  <si>
    <t>Peer-reviewed article assessing smoking cessation interventions.</t>
  </si>
  <si>
    <t>Systematic review likely peer-reviewed or grey literature</t>
  </si>
  <si>
    <t>Peer-reviewed article on cost savings analysis</t>
  </si>
  <si>
    <t>Peer-reviewed observational study.</t>
  </si>
  <si>
    <t>Peer-reviewed article on cost-effectiveness analysis.</t>
  </si>
  <si>
    <t>Conference abstract, part of grey literature</t>
  </si>
  <si>
    <t>Narrative review likely editorial/commentary</t>
  </si>
  <si>
    <t>Mixed-methods study, not a protocol or commentary</t>
  </si>
  <si>
    <t>Feasibility study, not a protocol or commentary</t>
  </si>
  <si>
    <t>Peer-reviewed article in BMJ</t>
  </si>
  <si>
    <t>Peer-reviewed article on cost-utility analysis.</t>
  </si>
  <si>
    <t>Research article likely peer-reviewed</t>
  </si>
  <si>
    <t>Qualitative study findings, not a protocol or commentary.</t>
  </si>
  <si>
    <t>Peer-reviewed article from a clinical trial study.</t>
  </si>
  <si>
    <t>Peer-reviewed systematic review and meta-analysis</t>
  </si>
  <si>
    <t>RCT suggests peer-reviewed article</t>
  </si>
  <si>
    <t>Peer-reviewed article from a reputable trial.</t>
  </si>
  <si>
    <t>Peer-reviewed article from Cochrane database.</t>
  </si>
  <si>
    <t>Peer-reviewed article summarizing research on pharmacist roles in COPD management.</t>
  </si>
  <si>
    <t>Peer-reviewed research article</t>
  </si>
  <si>
    <t>Peer-reviewed research article on ovarian cancer surveillance.</t>
  </si>
  <si>
    <t>Peer-reviewed network meta-analysis</t>
  </si>
  <si>
    <t>Peer-reviewed article from a reputable source</t>
  </si>
  <si>
    <t>Cohort study published in a reputable journal.</t>
  </si>
  <si>
    <t>Cochrane Review, likely peer-reviewed.</t>
  </si>
  <si>
    <t>Appears to be a review article, likely peer-reviewed but not primary research.</t>
  </si>
  <si>
    <t>Study protocol, not eligible for inclusion</t>
  </si>
  <si>
    <t>Appears to be a peer-reviewed article with cost utility analysis.</t>
  </si>
  <si>
    <t>Peer-reviewed article with unclear publication type, flagged for review</t>
  </si>
  <si>
    <t>Systematic review and meta-analysis in reputable databases.</t>
  </si>
  <si>
    <t>Study protocol identified in title</t>
  </si>
  <si>
    <t>Published in a reputable journal, not a protocol or commentary</t>
  </si>
  <si>
    <t>Peer-reviewed article on a clinical trial</t>
  </si>
  <si>
    <t>Cochrane Review, likely a protocol or commentary</t>
  </si>
  <si>
    <t>Peer-reviewed Cochrane Review update.</t>
  </si>
  <si>
    <t>Peer-reviewed article on stroke treatment.</t>
  </si>
  <si>
    <t>Peer-reviewed article with network meta-analysis.</t>
  </si>
  <si>
    <t>Peer-reviewed article from a reputable journal.</t>
  </si>
  <si>
    <t>Peer-reviewed RCT published in a reputable journal</t>
  </si>
  <si>
    <t>Study protocol identified in the title and abstract</t>
  </si>
  <si>
    <t>Peer-reviewed article on virtual patient assessment.</t>
  </si>
  <si>
    <t>Study protocol identified in abstract</t>
  </si>
  <si>
    <t>Appears to be a peer-reviewed article on pharmaceutical policy.</t>
  </si>
  <si>
    <t>Peer-reviewed article reviewing emergency care models for cancer patients.</t>
  </si>
  <si>
    <t>Peer-reviewed article, not a protocol or commentary</t>
  </si>
  <si>
    <t>Appears to be a peer-reviewed article with clinical audit results.</t>
  </si>
  <si>
    <t>Peer-reviewed RCT article in a reputable journal</t>
  </si>
  <si>
    <t>Published in a potentially predatory journal</t>
  </si>
  <si>
    <t>Appears to be a peer-reviewed article</t>
  </si>
  <si>
    <t>Peer-reviewed article from Cochrane Database</t>
  </si>
  <si>
    <t>Systematic review in a reputable journal.</t>
  </si>
  <si>
    <t>Peer-reviewed article on cost-effectiveness of intervention</t>
  </si>
  <si>
    <t>Systematic review in a peer-reviewed journal</t>
  </si>
  <si>
    <t>7  False negatives</t>
  </si>
  <si>
    <t>FF_include_stage4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</si>
</sst>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FF0000"/>
      <name val="Aptos Narrow"/>
      <family val="2"/>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xf numFmtId="0" fontId="2" fillId="0" borderId="1" xfId="0" applyFont="1" applyBorder="1"/>
    <xf numFmtId="0" fontId="2" fillId="0" borderId="2" xfId="0" applyFont="1" applyBorder="1"/>
  </cellXfs>
  <cellStyles count="1">
    <cellStyle name="Normal" xfId="0" builtinId="0"/>
  </cellStyles>
  <dxfs count="1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A6B-30B7-4231-94C6-6E4D3269210D}">
  <dimension ref="A1:H154"/>
  <sheetViews>
    <sheetView topLeftCell="A142" workbookViewId="0">
      <selection sqref="A1:H154"/>
    </sheetView>
  </sheetViews>
  <sheetFormatPr defaultRowHeight="14.5" x14ac:dyDescent="0.35"/>
  <sheetData>
    <row r="1" spans="1:8" x14ac:dyDescent="0.35">
      <c r="A1" t="s">
        <v>0</v>
      </c>
      <c r="B1" t="s">
        <v>1</v>
      </c>
      <c r="C1" t="s">
        <v>2</v>
      </c>
      <c r="D1" t="s">
        <v>3</v>
      </c>
      <c r="E1" t="s">
        <v>176</v>
      </c>
      <c r="F1" t="s">
        <v>177</v>
      </c>
      <c r="G1" t="s">
        <v>178</v>
      </c>
      <c r="H1" t="s">
        <v>179</v>
      </c>
    </row>
    <row r="2" spans="1:8" x14ac:dyDescent="0.35">
      <c r="A2" t="s">
        <v>8</v>
      </c>
      <c r="B2">
        <v>2019</v>
      </c>
      <c r="C2" t="s">
        <v>9</v>
      </c>
      <c r="D2" t="s">
        <v>180</v>
      </c>
      <c r="E2" t="b">
        <v>1</v>
      </c>
      <c r="F2" t="s">
        <v>769</v>
      </c>
      <c r="G2" t="s">
        <v>181</v>
      </c>
      <c r="H2">
        <v>0.9</v>
      </c>
    </row>
    <row r="3" spans="1:8" x14ac:dyDescent="0.35">
      <c r="A3" t="s">
        <v>10</v>
      </c>
      <c r="B3">
        <v>2019</v>
      </c>
      <c r="C3" t="s">
        <v>11</v>
      </c>
      <c r="D3" t="s">
        <v>201</v>
      </c>
      <c r="E3" t="b">
        <v>1</v>
      </c>
      <c r="F3" t="s">
        <v>770</v>
      </c>
      <c r="G3" t="s">
        <v>181</v>
      </c>
      <c r="H3">
        <v>0.9</v>
      </c>
    </row>
    <row r="4" spans="1:8" x14ac:dyDescent="0.35">
      <c r="A4" t="s">
        <v>12</v>
      </c>
      <c r="B4">
        <v>2019</v>
      </c>
      <c r="C4" t="s">
        <v>13</v>
      </c>
      <c r="D4" t="s">
        <v>182</v>
      </c>
      <c r="E4" t="b">
        <v>1</v>
      </c>
      <c r="F4" t="s">
        <v>678</v>
      </c>
      <c r="G4" t="s">
        <v>181</v>
      </c>
      <c r="H4">
        <v>0.9</v>
      </c>
    </row>
    <row r="5" spans="1:8" x14ac:dyDescent="0.35">
      <c r="A5" t="s">
        <v>14</v>
      </c>
      <c r="B5">
        <v>2019</v>
      </c>
      <c r="C5" t="s">
        <v>15</v>
      </c>
      <c r="D5" t="s">
        <v>202</v>
      </c>
      <c r="E5" t="b">
        <v>1</v>
      </c>
      <c r="F5" t="s">
        <v>771</v>
      </c>
      <c r="G5" t="s">
        <v>205</v>
      </c>
      <c r="H5">
        <v>0.7</v>
      </c>
    </row>
    <row r="6" spans="1:8" x14ac:dyDescent="0.35">
      <c r="A6" t="s">
        <v>16</v>
      </c>
      <c r="B6">
        <v>2019</v>
      </c>
      <c r="C6" t="s">
        <v>17</v>
      </c>
      <c r="D6" t="s">
        <v>204</v>
      </c>
      <c r="E6" t="b">
        <v>1</v>
      </c>
      <c r="F6" t="s">
        <v>771</v>
      </c>
      <c r="G6" t="s">
        <v>205</v>
      </c>
      <c r="H6">
        <v>0.6</v>
      </c>
    </row>
    <row r="7" spans="1:8" x14ac:dyDescent="0.35">
      <c r="A7" t="s">
        <v>19</v>
      </c>
      <c r="B7">
        <v>2019</v>
      </c>
      <c r="C7" t="s">
        <v>20</v>
      </c>
      <c r="D7" t="s">
        <v>183</v>
      </c>
      <c r="E7" t="b">
        <v>1</v>
      </c>
      <c r="F7" t="s">
        <v>772</v>
      </c>
      <c r="G7" t="s">
        <v>181</v>
      </c>
      <c r="H7">
        <v>0.9</v>
      </c>
    </row>
    <row r="8" spans="1:8" x14ac:dyDescent="0.35">
      <c r="A8" t="s">
        <v>21</v>
      </c>
      <c r="B8">
        <v>2019</v>
      </c>
      <c r="C8" t="s">
        <v>22</v>
      </c>
      <c r="D8" t="s">
        <v>184</v>
      </c>
      <c r="E8" t="b">
        <v>1</v>
      </c>
      <c r="F8" t="s">
        <v>773</v>
      </c>
      <c r="G8" t="s">
        <v>181</v>
      </c>
      <c r="H8">
        <v>0.9</v>
      </c>
    </row>
    <row r="9" spans="1:8" x14ac:dyDescent="0.35">
      <c r="A9" t="s">
        <v>23</v>
      </c>
      <c r="B9">
        <v>2019</v>
      </c>
      <c r="C9" t="s">
        <v>206</v>
      </c>
      <c r="D9" t="s">
        <v>207</v>
      </c>
      <c r="E9" t="b">
        <v>1</v>
      </c>
      <c r="F9" t="s">
        <v>774</v>
      </c>
      <c r="G9" t="s">
        <v>181</v>
      </c>
      <c r="H9">
        <v>0.9</v>
      </c>
    </row>
    <row r="10" spans="1:8" x14ac:dyDescent="0.35">
      <c r="A10" t="s">
        <v>24</v>
      </c>
      <c r="B10">
        <v>2019</v>
      </c>
      <c r="C10" t="s">
        <v>25</v>
      </c>
      <c r="D10" t="s">
        <v>26</v>
      </c>
      <c r="E10" t="b">
        <v>1</v>
      </c>
      <c r="F10" t="s">
        <v>775</v>
      </c>
      <c r="G10" t="s">
        <v>181</v>
      </c>
      <c r="H10">
        <v>0.9</v>
      </c>
    </row>
    <row r="11" spans="1:8" x14ac:dyDescent="0.35">
      <c r="A11" t="s">
        <v>27</v>
      </c>
      <c r="B11">
        <v>2019</v>
      </c>
      <c r="C11" t="s">
        <v>28</v>
      </c>
      <c r="D11" t="s">
        <v>29</v>
      </c>
      <c r="E11" t="b">
        <v>1</v>
      </c>
      <c r="F11" t="s">
        <v>776</v>
      </c>
      <c r="G11" t="s">
        <v>181</v>
      </c>
      <c r="H11">
        <v>0.9</v>
      </c>
    </row>
    <row r="12" spans="1:8" x14ac:dyDescent="0.35">
      <c r="A12" t="s">
        <v>30</v>
      </c>
      <c r="B12">
        <v>2019</v>
      </c>
      <c r="C12" t="s">
        <v>208</v>
      </c>
      <c r="D12" t="s">
        <v>209</v>
      </c>
      <c r="E12" t="b">
        <v>1</v>
      </c>
      <c r="F12" t="s">
        <v>677</v>
      </c>
      <c r="G12" t="s">
        <v>181</v>
      </c>
      <c r="H12">
        <v>0.9</v>
      </c>
    </row>
    <row r="13" spans="1:8" x14ac:dyDescent="0.35">
      <c r="A13" t="s">
        <v>31</v>
      </c>
      <c r="B13">
        <v>2019</v>
      </c>
      <c r="C13" t="s">
        <v>185</v>
      </c>
      <c r="D13" t="s">
        <v>186</v>
      </c>
      <c r="E13" t="b">
        <v>1</v>
      </c>
      <c r="F13" t="s">
        <v>777</v>
      </c>
      <c r="G13" t="s">
        <v>181</v>
      </c>
      <c r="H13">
        <v>0.9</v>
      </c>
    </row>
    <row r="14" spans="1:8" x14ac:dyDescent="0.35">
      <c r="A14" t="s">
        <v>32</v>
      </c>
      <c r="B14">
        <v>2019</v>
      </c>
      <c r="C14" t="s">
        <v>33</v>
      </c>
      <c r="D14" t="s">
        <v>187</v>
      </c>
      <c r="E14" t="b">
        <v>1</v>
      </c>
      <c r="F14" t="s">
        <v>778</v>
      </c>
      <c r="G14" t="s">
        <v>181</v>
      </c>
      <c r="H14">
        <v>0.9</v>
      </c>
    </row>
    <row r="15" spans="1:8" x14ac:dyDescent="0.35">
      <c r="A15" t="s">
        <v>42</v>
      </c>
      <c r="B15">
        <v>2019</v>
      </c>
      <c r="C15" t="s">
        <v>43</v>
      </c>
      <c r="D15" t="s">
        <v>44</v>
      </c>
      <c r="E15" t="b">
        <v>1</v>
      </c>
      <c r="F15" t="s">
        <v>779</v>
      </c>
      <c r="G15" t="s">
        <v>181</v>
      </c>
      <c r="H15">
        <v>0.9</v>
      </c>
    </row>
    <row r="16" spans="1:8" x14ac:dyDescent="0.35">
      <c r="A16" t="s">
        <v>45</v>
      </c>
      <c r="B16">
        <v>2019</v>
      </c>
      <c r="C16" t="s">
        <v>46</v>
      </c>
      <c r="D16" t="s">
        <v>188</v>
      </c>
      <c r="E16" t="b">
        <v>1</v>
      </c>
      <c r="F16" t="s">
        <v>780</v>
      </c>
      <c r="G16" t="s">
        <v>181</v>
      </c>
      <c r="H16">
        <v>0.9</v>
      </c>
    </row>
    <row r="17" spans="1:8" x14ac:dyDescent="0.35">
      <c r="A17" t="s">
        <v>47</v>
      </c>
      <c r="B17">
        <v>2019</v>
      </c>
      <c r="C17" t="s">
        <v>48</v>
      </c>
      <c r="D17" t="s">
        <v>189</v>
      </c>
      <c r="E17" t="b">
        <v>1</v>
      </c>
      <c r="F17" t="s">
        <v>781</v>
      </c>
      <c r="G17" t="s">
        <v>181</v>
      </c>
      <c r="H17">
        <v>1</v>
      </c>
    </row>
    <row r="18" spans="1:8" x14ac:dyDescent="0.35">
      <c r="A18" t="s">
        <v>49</v>
      </c>
      <c r="B18">
        <v>2019</v>
      </c>
      <c r="C18" t="s">
        <v>210</v>
      </c>
      <c r="D18" t="s">
        <v>211</v>
      </c>
      <c r="E18" t="b">
        <v>1</v>
      </c>
      <c r="F18" t="s">
        <v>773</v>
      </c>
      <c r="G18" t="s">
        <v>181</v>
      </c>
      <c r="H18">
        <v>0.9</v>
      </c>
    </row>
    <row r="19" spans="1:8" x14ac:dyDescent="0.35">
      <c r="A19" t="s">
        <v>50</v>
      </c>
      <c r="B19">
        <v>2019</v>
      </c>
      <c r="C19" t="s">
        <v>212</v>
      </c>
      <c r="D19" t="s">
        <v>213</v>
      </c>
      <c r="E19" t="b">
        <v>1</v>
      </c>
      <c r="F19" t="s">
        <v>782</v>
      </c>
      <c r="G19" t="s">
        <v>181</v>
      </c>
      <c r="H19">
        <v>0.9</v>
      </c>
    </row>
    <row r="20" spans="1:8" x14ac:dyDescent="0.35">
      <c r="A20" t="s">
        <v>57</v>
      </c>
      <c r="B20">
        <v>2019</v>
      </c>
      <c r="C20" t="s">
        <v>58</v>
      </c>
      <c r="D20" t="s">
        <v>214</v>
      </c>
      <c r="E20" t="b">
        <v>1</v>
      </c>
      <c r="F20" t="s">
        <v>783</v>
      </c>
      <c r="G20" t="s">
        <v>181</v>
      </c>
      <c r="H20">
        <v>0.9</v>
      </c>
    </row>
    <row r="21" spans="1:8" x14ac:dyDescent="0.35">
      <c r="A21" t="s">
        <v>60</v>
      </c>
      <c r="B21">
        <v>2019</v>
      </c>
      <c r="C21" t="s">
        <v>61</v>
      </c>
      <c r="D21" t="s">
        <v>215</v>
      </c>
      <c r="E21" t="b">
        <v>1</v>
      </c>
      <c r="F21" t="s">
        <v>784</v>
      </c>
      <c r="G21" t="s">
        <v>181</v>
      </c>
      <c r="H21">
        <v>0.9</v>
      </c>
    </row>
    <row r="22" spans="1:8" x14ac:dyDescent="0.35">
      <c r="A22" t="s">
        <v>62</v>
      </c>
      <c r="B22">
        <v>2019</v>
      </c>
      <c r="C22" t="s">
        <v>63</v>
      </c>
      <c r="D22" t="s">
        <v>216</v>
      </c>
      <c r="E22" t="b">
        <v>1</v>
      </c>
      <c r="F22" t="s">
        <v>785</v>
      </c>
      <c r="G22" t="s">
        <v>181</v>
      </c>
      <c r="H22">
        <v>0.9</v>
      </c>
    </row>
    <row r="23" spans="1:8" x14ac:dyDescent="0.35">
      <c r="A23" t="s">
        <v>66</v>
      </c>
      <c r="B23">
        <v>2019</v>
      </c>
      <c r="C23" t="s">
        <v>67</v>
      </c>
      <c r="D23" t="s">
        <v>68</v>
      </c>
      <c r="E23" t="b">
        <v>0</v>
      </c>
      <c r="F23" t="s">
        <v>786</v>
      </c>
      <c r="G23" t="s">
        <v>190</v>
      </c>
      <c r="H23">
        <v>0.9</v>
      </c>
    </row>
    <row r="24" spans="1:8" x14ac:dyDescent="0.35">
      <c r="A24" t="s">
        <v>69</v>
      </c>
      <c r="B24">
        <v>2019</v>
      </c>
      <c r="C24" t="s">
        <v>70</v>
      </c>
      <c r="D24" t="s">
        <v>191</v>
      </c>
      <c r="E24" t="b">
        <v>0</v>
      </c>
      <c r="F24" t="s">
        <v>686</v>
      </c>
      <c r="G24" t="s">
        <v>192</v>
      </c>
      <c r="H24">
        <v>1</v>
      </c>
    </row>
    <row r="25" spans="1:8" ht="409.5" x14ac:dyDescent="0.35">
      <c r="A25" t="s">
        <v>71</v>
      </c>
      <c r="B25">
        <v>2019</v>
      </c>
      <c r="C25" t="s">
        <v>72</v>
      </c>
      <c r="D25" s="1" t="s">
        <v>73</v>
      </c>
      <c r="E25" t="b">
        <v>1</v>
      </c>
      <c r="F25" t="s">
        <v>787</v>
      </c>
      <c r="G25" t="s">
        <v>181</v>
      </c>
      <c r="H25">
        <v>0.9</v>
      </c>
    </row>
    <row r="26" spans="1:8" x14ac:dyDescent="0.35">
      <c r="A26" t="s">
        <v>74</v>
      </c>
      <c r="B26">
        <v>2019</v>
      </c>
      <c r="C26" t="s">
        <v>75</v>
      </c>
      <c r="D26" t="s">
        <v>217</v>
      </c>
      <c r="E26" t="b">
        <v>1</v>
      </c>
      <c r="F26" t="s">
        <v>788</v>
      </c>
      <c r="G26" t="s">
        <v>181</v>
      </c>
      <c r="H26">
        <v>0.9</v>
      </c>
    </row>
    <row r="27" spans="1:8" x14ac:dyDescent="0.35">
      <c r="A27" t="s">
        <v>76</v>
      </c>
      <c r="B27">
        <v>2019</v>
      </c>
      <c r="C27" t="s">
        <v>77</v>
      </c>
      <c r="D27" t="s">
        <v>193</v>
      </c>
      <c r="E27" t="b">
        <v>1</v>
      </c>
      <c r="F27" t="s">
        <v>789</v>
      </c>
      <c r="G27" t="s">
        <v>181</v>
      </c>
      <c r="H27">
        <v>0.9</v>
      </c>
    </row>
    <row r="28" spans="1:8" x14ac:dyDescent="0.35">
      <c r="A28" t="s">
        <v>78</v>
      </c>
      <c r="B28">
        <v>2019</v>
      </c>
      <c r="C28" t="s">
        <v>79</v>
      </c>
      <c r="D28" t="s">
        <v>194</v>
      </c>
      <c r="E28" t="b">
        <v>1</v>
      </c>
      <c r="F28" t="s">
        <v>790</v>
      </c>
      <c r="G28" t="s">
        <v>181</v>
      </c>
      <c r="H28">
        <v>0.9</v>
      </c>
    </row>
    <row r="29" spans="1:8" x14ac:dyDescent="0.35">
      <c r="A29" t="s">
        <v>83</v>
      </c>
      <c r="B29">
        <v>2019</v>
      </c>
      <c r="C29" t="s">
        <v>84</v>
      </c>
      <c r="D29" t="s">
        <v>218</v>
      </c>
      <c r="E29" t="b">
        <v>1</v>
      </c>
      <c r="F29" t="s">
        <v>791</v>
      </c>
      <c r="G29" t="s">
        <v>181</v>
      </c>
      <c r="H29">
        <v>0.9</v>
      </c>
    </row>
    <row r="30" spans="1:8" ht="409.5" x14ac:dyDescent="0.35">
      <c r="A30" t="s">
        <v>85</v>
      </c>
      <c r="B30">
        <v>2019</v>
      </c>
      <c r="C30" t="s">
        <v>86</v>
      </c>
      <c r="D30" s="1" t="s">
        <v>87</v>
      </c>
      <c r="E30" t="b">
        <v>1</v>
      </c>
      <c r="F30" t="s">
        <v>792</v>
      </c>
      <c r="G30" t="s">
        <v>181</v>
      </c>
      <c r="H30">
        <v>0.9</v>
      </c>
    </row>
    <row r="31" spans="1:8" x14ac:dyDescent="0.35">
      <c r="A31" t="s">
        <v>89</v>
      </c>
      <c r="B31">
        <v>2019</v>
      </c>
      <c r="C31" t="s">
        <v>90</v>
      </c>
      <c r="D31" t="s">
        <v>195</v>
      </c>
      <c r="E31" t="b">
        <v>0</v>
      </c>
      <c r="F31" t="s">
        <v>196</v>
      </c>
      <c r="G31" t="s">
        <v>192</v>
      </c>
      <c r="H31">
        <v>1</v>
      </c>
    </row>
    <row r="32" spans="1:8" x14ac:dyDescent="0.35">
      <c r="A32" t="s">
        <v>91</v>
      </c>
      <c r="B32">
        <v>2019</v>
      </c>
      <c r="C32" t="s">
        <v>92</v>
      </c>
      <c r="D32" t="s">
        <v>93</v>
      </c>
      <c r="E32" t="b">
        <v>1</v>
      </c>
      <c r="F32" t="s">
        <v>793</v>
      </c>
      <c r="G32" t="s">
        <v>181</v>
      </c>
      <c r="H32">
        <v>0.9</v>
      </c>
    </row>
    <row r="33" spans="1:8" x14ac:dyDescent="0.35">
      <c r="A33" t="s">
        <v>94</v>
      </c>
      <c r="B33">
        <v>2019</v>
      </c>
      <c r="C33" t="s">
        <v>95</v>
      </c>
      <c r="D33" t="s">
        <v>96</v>
      </c>
      <c r="E33" t="b">
        <v>1</v>
      </c>
      <c r="F33" t="s">
        <v>197</v>
      </c>
      <c r="G33" t="s">
        <v>181</v>
      </c>
      <c r="H33">
        <v>0.9</v>
      </c>
    </row>
    <row r="34" spans="1:8" x14ac:dyDescent="0.35">
      <c r="A34" t="s">
        <v>97</v>
      </c>
      <c r="B34">
        <v>2019</v>
      </c>
      <c r="C34" t="s">
        <v>98</v>
      </c>
      <c r="D34" t="s">
        <v>198</v>
      </c>
      <c r="E34" t="b">
        <v>0</v>
      </c>
      <c r="F34" t="s">
        <v>219</v>
      </c>
      <c r="G34" t="s">
        <v>192</v>
      </c>
      <c r="H34">
        <v>1</v>
      </c>
    </row>
    <row r="35" spans="1:8" x14ac:dyDescent="0.35">
      <c r="A35" t="s">
        <v>99</v>
      </c>
      <c r="B35">
        <v>2019</v>
      </c>
      <c r="C35" t="s">
        <v>100</v>
      </c>
      <c r="D35" t="s">
        <v>101</v>
      </c>
      <c r="E35" t="b">
        <v>1</v>
      </c>
      <c r="F35" t="s">
        <v>794</v>
      </c>
      <c r="G35" t="s">
        <v>181</v>
      </c>
      <c r="H35">
        <v>0.9</v>
      </c>
    </row>
    <row r="36" spans="1:8" x14ac:dyDescent="0.35">
      <c r="A36" t="s">
        <v>103</v>
      </c>
      <c r="B36">
        <v>2019</v>
      </c>
      <c r="C36" t="s">
        <v>104</v>
      </c>
      <c r="D36" t="s">
        <v>105</v>
      </c>
      <c r="E36" t="b">
        <v>1</v>
      </c>
      <c r="F36" t="s">
        <v>795</v>
      </c>
      <c r="G36" t="s">
        <v>181</v>
      </c>
      <c r="H36">
        <v>0.9</v>
      </c>
    </row>
    <row r="37" spans="1:8" x14ac:dyDescent="0.35">
      <c r="A37" t="s">
        <v>106</v>
      </c>
      <c r="B37">
        <v>2019</v>
      </c>
      <c r="C37" t="s">
        <v>107</v>
      </c>
      <c r="D37" t="s">
        <v>220</v>
      </c>
      <c r="E37" t="b">
        <v>1</v>
      </c>
      <c r="F37" t="s">
        <v>796</v>
      </c>
      <c r="G37" t="s">
        <v>181</v>
      </c>
      <c r="H37">
        <v>0.9</v>
      </c>
    </row>
    <row r="38" spans="1:8" x14ac:dyDescent="0.35">
      <c r="A38" t="s">
        <v>221</v>
      </c>
      <c r="B38">
        <v>2019</v>
      </c>
      <c r="C38" t="s">
        <v>222</v>
      </c>
      <c r="D38" t="s">
        <v>223</v>
      </c>
      <c r="E38" t="b">
        <v>1</v>
      </c>
      <c r="F38" t="s">
        <v>797</v>
      </c>
      <c r="G38" t="s">
        <v>181</v>
      </c>
      <c r="H38">
        <v>0.9</v>
      </c>
    </row>
    <row r="39" spans="1:8" x14ac:dyDescent="0.35">
      <c r="A39" t="s">
        <v>224</v>
      </c>
      <c r="B39">
        <v>2019</v>
      </c>
      <c r="C39" t="s">
        <v>671</v>
      </c>
      <c r="D39" t="s">
        <v>672</v>
      </c>
      <c r="E39" t="b">
        <v>1</v>
      </c>
      <c r="F39" t="s">
        <v>798</v>
      </c>
      <c r="G39" t="s">
        <v>181</v>
      </c>
      <c r="H39">
        <v>0.9</v>
      </c>
    </row>
    <row r="40" spans="1:8" x14ac:dyDescent="0.35">
      <c r="A40" t="s">
        <v>230</v>
      </c>
      <c r="B40">
        <v>2019</v>
      </c>
      <c r="C40" t="s">
        <v>231</v>
      </c>
      <c r="D40" t="s">
        <v>673</v>
      </c>
      <c r="E40" t="b">
        <v>1</v>
      </c>
      <c r="F40" t="s">
        <v>799</v>
      </c>
      <c r="G40" t="s">
        <v>181</v>
      </c>
      <c r="H40">
        <v>0.9</v>
      </c>
    </row>
    <row r="41" spans="1:8" x14ac:dyDescent="0.35">
      <c r="A41" t="s">
        <v>233</v>
      </c>
      <c r="B41">
        <v>2019</v>
      </c>
      <c r="C41" t="s">
        <v>234</v>
      </c>
      <c r="D41" t="s">
        <v>235</v>
      </c>
      <c r="E41" t="b">
        <v>1</v>
      </c>
      <c r="F41" t="s">
        <v>771</v>
      </c>
      <c r="G41" t="s">
        <v>205</v>
      </c>
      <c r="H41">
        <v>0.7</v>
      </c>
    </row>
    <row r="42" spans="1:8" x14ac:dyDescent="0.35">
      <c r="A42" t="s">
        <v>236</v>
      </c>
      <c r="B42">
        <v>2019</v>
      </c>
      <c r="C42" t="s">
        <v>237</v>
      </c>
      <c r="D42" t="s">
        <v>238</v>
      </c>
      <c r="E42" t="b">
        <v>1</v>
      </c>
      <c r="F42" t="s">
        <v>771</v>
      </c>
      <c r="G42" t="s">
        <v>205</v>
      </c>
      <c r="H42">
        <v>0.6</v>
      </c>
    </row>
    <row r="43" spans="1:8" x14ac:dyDescent="0.35">
      <c r="A43" t="s">
        <v>239</v>
      </c>
      <c r="B43">
        <v>2019</v>
      </c>
      <c r="C43" t="s">
        <v>240</v>
      </c>
      <c r="D43" t="s">
        <v>675</v>
      </c>
      <c r="E43" t="b">
        <v>1</v>
      </c>
      <c r="F43" t="s">
        <v>800</v>
      </c>
      <c r="G43" t="s">
        <v>181</v>
      </c>
      <c r="H43">
        <v>0.9</v>
      </c>
    </row>
    <row r="44" spans="1:8" x14ac:dyDescent="0.35">
      <c r="A44" t="s">
        <v>242</v>
      </c>
      <c r="B44">
        <v>2019</v>
      </c>
      <c r="C44" t="s">
        <v>243</v>
      </c>
      <c r="D44" t="s">
        <v>676</v>
      </c>
      <c r="E44" t="b">
        <v>1</v>
      </c>
      <c r="F44" t="s">
        <v>677</v>
      </c>
      <c r="G44" t="s">
        <v>181</v>
      </c>
      <c r="H44">
        <v>0.9</v>
      </c>
    </row>
    <row r="45" spans="1:8" x14ac:dyDescent="0.35">
      <c r="A45" t="s">
        <v>245</v>
      </c>
      <c r="B45">
        <v>2019</v>
      </c>
      <c r="C45" t="s">
        <v>246</v>
      </c>
      <c r="D45" t="s">
        <v>247</v>
      </c>
      <c r="E45" t="b">
        <v>1</v>
      </c>
      <c r="F45" t="s">
        <v>778</v>
      </c>
      <c r="G45" t="s">
        <v>181</v>
      </c>
      <c r="H45">
        <v>0.9</v>
      </c>
    </row>
    <row r="46" spans="1:8" x14ac:dyDescent="0.35">
      <c r="A46" t="s">
        <v>251</v>
      </c>
      <c r="B46">
        <v>2019</v>
      </c>
      <c r="C46" t="s">
        <v>252</v>
      </c>
      <c r="D46" t="s">
        <v>679</v>
      </c>
      <c r="E46" t="b">
        <v>1</v>
      </c>
      <c r="F46" t="s">
        <v>801</v>
      </c>
      <c r="G46" t="s">
        <v>181</v>
      </c>
      <c r="H46">
        <v>0.9</v>
      </c>
    </row>
    <row r="47" spans="1:8" x14ac:dyDescent="0.35">
      <c r="A47" t="s">
        <v>254</v>
      </c>
      <c r="B47">
        <v>2019</v>
      </c>
      <c r="C47" t="s">
        <v>255</v>
      </c>
      <c r="D47" t="s">
        <v>680</v>
      </c>
      <c r="E47" t="b">
        <v>1</v>
      </c>
      <c r="F47" t="s">
        <v>802</v>
      </c>
      <c r="G47" t="s">
        <v>181</v>
      </c>
      <c r="H47">
        <v>0.9</v>
      </c>
    </row>
    <row r="48" spans="1:8" x14ac:dyDescent="0.35">
      <c r="A48" t="s">
        <v>257</v>
      </c>
      <c r="B48">
        <v>2019</v>
      </c>
      <c r="C48" t="s">
        <v>258</v>
      </c>
      <c r="D48" t="s">
        <v>259</v>
      </c>
      <c r="E48" t="b">
        <v>0</v>
      </c>
      <c r="F48" t="s">
        <v>803</v>
      </c>
      <c r="G48" t="s">
        <v>192</v>
      </c>
      <c r="H48">
        <v>1</v>
      </c>
    </row>
    <row r="49" spans="1:8" x14ac:dyDescent="0.35">
      <c r="A49" t="s">
        <v>263</v>
      </c>
      <c r="B49">
        <v>2019</v>
      </c>
      <c r="C49" t="s">
        <v>264</v>
      </c>
      <c r="D49" t="s">
        <v>265</v>
      </c>
      <c r="E49" t="b">
        <v>1</v>
      </c>
      <c r="F49" t="s">
        <v>800</v>
      </c>
      <c r="G49" t="s">
        <v>181</v>
      </c>
      <c r="H49">
        <v>0.9</v>
      </c>
    </row>
    <row r="50" spans="1:8" x14ac:dyDescent="0.35">
      <c r="A50" t="s">
        <v>266</v>
      </c>
      <c r="B50">
        <v>2019</v>
      </c>
      <c r="C50" t="s">
        <v>267</v>
      </c>
      <c r="D50" t="s">
        <v>681</v>
      </c>
      <c r="E50" t="b">
        <v>1</v>
      </c>
      <c r="F50" t="s">
        <v>800</v>
      </c>
      <c r="G50" t="s">
        <v>181</v>
      </c>
      <c r="H50">
        <v>0.9</v>
      </c>
    </row>
    <row r="51" spans="1:8" x14ac:dyDescent="0.35">
      <c r="A51" t="s">
        <v>269</v>
      </c>
      <c r="B51">
        <v>2019</v>
      </c>
      <c r="C51" t="s">
        <v>682</v>
      </c>
      <c r="D51" t="s">
        <v>683</v>
      </c>
      <c r="E51" t="b">
        <v>1</v>
      </c>
      <c r="F51" t="s">
        <v>804</v>
      </c>
      <c r="G51" t="s">
        <v>181</v>
      </c>
      <c r="H51">
        <v>0.9</v>
      </c>
    </row>
    <row r="52" spans="1:8" x14ac:dyDescent="0.35">
      <c r="A52" t="s">
        <v>278</v>
      </c>
      <c r="B52">
        <v>2019</v>
      </c>
      <c r="C52" t="s">
        <v>684</v>
      </c>
      <c r="D52" t="s">
        <v>685</v>
      </c>
      <c r="E52" t="b">
        <v>1</v>
      </c>
      <c r="F52" t="s">
        <v>805</v>
      </c>
      <c r="G52" t="s">
        <v>181</v>
      </c>
      <c r="H52">
        <v>0.9</v>
      </c>
    </row>
    <row r="53" spans="1:8" ht="409.5" x14ac:dyDescent="0.35">
      <c r="A53" t="s">
        <v>281</v>
      </c>
      <c r="B53">
        <v>2019</v>
      </c>
      <c r="C53" t="s">
        <v>282</v>
      </c>
      <c r="D53" s="1" t="s">
        <v>283</v>
      </c>
      <c r="E53" t="b">
        <v>1</v>
      </c>
      <c r="F53" t="s">
        <v>806</v>
      </c>
      <c r="G53" t="s">
        <v>181</v>
      </c>
      <c r="H53">
        <v>0.9</v>
      </c>
    </row>
    <row r="54" spans="1:8" x14ac:dyDescent="0.35">
      <c r="A54" t="s">
        <v>287</v>
      </c>
      <c r="B54">
        <v>2019</v>
      </c>
      <c r="C54" t="s">
        <v>288</v>
      </c>
      <c r="D54" t="s">
        <v>289</v>
      </c>
      <c r="E54" t="b">
        <v>0</v>
      </c>
      <c r="F54" t="s">
        <v>803</v>
      </c>
      <c r="G54" t="s">
        <v>192</v>
      </c>
      <c r="H54">
        <v>1</v>
      </c>
    </row>
    <row r="55" spans="1:8" x14ac:dyDescent="0.35">
      <c r="A55" t="s">
        <v>290</v>
      </c>
      <c r="B55">
        <v>2019</v>
      </c>
      <c r="C55" t="s">
        <v>291</v>
      </c>
      <c r="D55" t="s">
        <v>292</v>
      </c>
      <c r="E55" t="b">
        <v>1</v>
      </c>
      <c r="F55" t="s">
        <v>807</v>
      </c>
      <c r="G55" t="s">
        <v>674</v>
      </c>
      <c r="H55">
        <v>0.9</v>
      </c>
    </row>
    <row r="56" spans="1:8" x14ac:dyDescent="0.35">
      <c r="A56" t="s">
        <v>293</v>
      </c>
      <c r="B56">
        <v>2019</v>
      </c>
      <c r="C56" t="s">
        <v>294</v>
      </c>
      <c r="D56" t="s">
        <v>687</v>
      </c>
      <c r="E56" t="b">
        <v>1</v>
      </c>
      <c r="F56" t="s">
        <v>808</v>
      </c>
      <c r="G56" t="s">
        <v>181</v>
      </c>
      <c r="H56">
        <v>0.9</v>
      </c>
    </row>
    <row r="57" spans="1:8" x14ac:dyDescent="0.35">
      <c r="A57" t="s">
        <v>296</v>
      </c>
      <c r="B57">
        <v>2019</v>
      </c>
      <c r="C57" t="s">
        <v>297</v>
      </c>
      <c r="D57" t="s">
        <v>688</v>
      </c>
      <c r="E57" t="b">
        <v>0</v>
      </c>
      <c r="F57" t="s">
        <v>686</v>
      </c>
      <c r="G57" t="s">
        <v>192</v>
      </c>
      <c r="H57">
        <v>1</v>
      </c>
    </row>
    <row r="58" spans="1:8" x14ac:dyDescent="0.35">
      <c r="A58" t="s">
        <v>311</v>
      </c>
      <c r="B58">
        <v>2019</v>
      </c>
      <c r="C58" t="s">
        <v>312</v>
      </c>
      <c r="D58" t="s">
        <v>313</v>
      </c>
      <c r="E58" t="b">
        <v>1</v>
      </c>
      <c r="F58" t="s">
        <v>771</v>
      </c>
      <c r="G58" t="s">
        <v>205</v>
      </c>
      <c r="H58">
        <v>0.6</v>
      </c>
    </row>
    <row r="59" spans="1:8" x14ac:dyDescent="0.35">
      <c r="A59" t="s">
        <v>317</v>
      </c>
      <c r="B59">
        <v>2019</v>
      </c>
      <c r="C59" t="s">
        <v>318</v>
      </c>
      <c r="D59" t="s">
        <v>689</v>
      </c>
      <c r="E59" t="b">
        <v>1</v>
      </c>
      <c r="F59" t="s">
        <v>809</v>
      </c>
      <c r="G59" t="s">
        <v>181</v>
      </c>
      <c r="H59">
        <v>0.9</v>
      </c>
    </row>
    <row r="60" spans="1:8" x14ac:dyDescent="0.35">
      <c r="A60" t="s">
        <v>326</v>
      </c>
      <c r="B60">
        <v>2019</v>
      </c>
      <c r="C60" t="s">
        <v>327</v>
      </c>
      <c r="D60" t="s">
        <v>690</v>
      </c>
      <c r="E60" t="b">
        <v>1</v>
      </c>
      <c r="F60" t="s">
        <v>705</v>
      </c>
      <c r="G60" t="s">
        <v>181</v>
      </c>
      <c r="H60">
        <v>0.9</v>
      </c>
    </row>
    <row r="61" spans="1:8" ht="409.5" x14ac:dyDescent="0.35">
      <c r="A61" t="s">
        <v>329</v>
      </c>
      <c r="B61">
        <v>2019</v>
      </c>
      <c r="C61" t="s">
        <v>330</v>
      </c>
      <c r="D61" s="1" t="s">
        <v>331</v>
      </c>
      <c r="E61" t="b">
        <v>1</v>
      </c>
      <c r="F61" t="s">
        <v>810</v>
      </c>
      <c r="G61" t="s">
        <v>205</v>
      </c>
      <c r="H61">
        <v>0.8</v>
      </c>
    </row>
    <row r="62" spans="1:8" x14ac:dyDescent="0.35">
      <c r="A62" t="s">
        <v>332</v>
      </c>
      <c r="B62">
        <v>2019</v>
      </c>
      <c r="C62" t="s">
        <v>333</v>
      </c>
      <c r="D62" t="s">
        <v>691</v>
      </c>
      <c r="E62" t="b">
        <v>1</v>
      </c>
      <c r="F62" t="s">
        <v>771</v>
      </c>
      <c r="G62" t="s">
        <v>205</v>
      </c>
      <c r="H62">
        <v>0.6</v>
      </c>
    </row>
    <row r="63" spans="1:8" x14ac:dyDescent="0.35">
      <c r="A63" t="s">
        <v>338</v>
      </c>
      <c r="B63">
        <v>2019</v>
      </c>
      <c r="C63" t="s">
        <v>339</v>
      </c>
      <c r="D63" t="s">
        <v>692</v>
      </c>
      <c r="E63" t="b">
        <v>1</v>
      </c>
      <c r="F63" t="s">
        <v>811</v>
      </c>
      <c r="G63" t="s">
        <v>181</v>
      </c>
      <c r="H63">
        <v>0.9</v>
      </c>
    </row>
    <row r="64" spans="1:8" x14ac:dyDescent="0.35">
      <c r="A64" t="s">
        <v>344</v>
      </c>
      <c r="B64">
        <v>2019</v>
      </c>
      <c r="C64" t="s">
        <v>345</v>
      </c>
      <c r="D64" t="s">
        <v>346</v>
      </c>
      <c r="E64" t="b">
        <v>1</v>
      </c>
      <c r="F64" t="s">
        <v>799</v>
      </c>
      <c r="G64" t="s">
        <v>181</v>
      </c>
      <c r="H64">
        <v>0.9</v>
      </c>
    </row>
    <row r="65" spans="1:8" x14ac:dyDescent="0.35">
      <c r="A65" t="s">
        <v>347</v>
      </c>
      <c r="B65">
        <v>2019</v>
      </c>
      <c r="C65" t="s">
        <v>348</v>
      </c>
      <c r="D65" t="s">
        <v>349</v>
      </c>
      <c r="E65" t="b">
        <v>1</v>
      </c>
      <c r="F65" t="s">
        <v>812</v>
      </c>
      <c r="G65" t="s">
        <v>181</v>
      </c>
      <c r="H65">
        <v>0.9</v>
      </c>
    </row>
    <row r="66" spans="1:8" x14ac:dyDescent="0.35">
      <c r="A66" t="s">
        <v>350</v>
      </c>
      <c r="B66">
        <v>2019</v>
      </c>
      <c r="C66" t="s">
        <v>351</v>
      </c>
      <c r="D66" t="s">
        <v>352</v>
      </c>
      <c r="E66" t="b">
        <v>1</v>
      </c>
      <c r="F66" t="s">
        <v>813</v>
      </c>
      <c r="G66" t="s">
        <v>181</v>
      </c>
      <c r="H66">
        <v>0.9</v>
      </c>
    </row>
    <row r="67" spans="1:8" x14ac:dyDescent="0.35">
      <c r="A67" t="s">
        <v>353</v>
      </c>
      <c r="B67">
        <v>2019</v>
      </c>
      <c r="C67" t="s">
        <v>354</v>
      </c>
      <c r="D67" t="s">
        <v>693</v>
      </c>
      <c r="E67" t="b">
        <v>1</v>
      </c>
      <c r="F67" t="s">
        <v>771</v>
      </c>
      <c r="G67" t="s">
        <v>205</v>
      </c>
      <c r="H67">
        <v>0.7</v>
      </c>
    </row>
    <row r="68" spans="1:8" x14ac:dyDescent="0.35">
      <c r="A68" t="s">
        <v>362</v>
      </c>
      <c r="B68">
        <v>2019</v>
      </c>
      <c r="C68" t="s">
        <v>363</v>
      </c>
      <c r="D68" t="s">
        <v>694</v>
      </c>
      <c r="E68" t="b">
        <v>1</v>
      </c>
      <c r="F68" t="s">
        <v>789</v>
      </c>
      <c r="G68" t="s">
        <v>181</v>
      </c>
      <c r="H68">
        <v>0.9</v>
      </c>
    </row>
    <row r="69" spans="1:8" x14ac:dyDescent="0.35">
      <c r="A69" t="s">
        <v>365</v>
      </c>
      <c r="B69">
        <v>2019</v>
      </c>
      <c r="C69" t="s">
        <v>366</v>
      </c>
      <c r="D69" t="s">
        <v>695</v>
      </c>
      <c r="E69" t="b">
        <v>1</v>
      </c>
      <c r="F69" t="s">
        <v>705</v>
      </c>
      <c r="G69" t="s">
        <v>181</v>
      </c>
      <c r="H69">
        <v>0.9</v>
      </c>
    </row>
    <row r="70" spans="1:8" x14ac:dyDescent="0.35">
      <c r="A70" t="s">
        <v>368</v>
      </c>
      <c r="B70">
        <v>2021</v>
      </c>
      <c r="C70" t="s">
        <v>369</v>
      </c>
      <c r="D70" t="s">
        <v>696</v>
      </c>
      <c r="E70" t="b">
        <v>1</v>
      </c>
      <c r="F70" t="s">
        <v>814</v>
      </c>
      <c r="G70" t="s">
        <v>674</v>
      </c>
      <c r="H70">
        <v>0.9</v>
      </c>
    </row>
    <row r="71" spans="1:8" x14ac:dyDescent="0.35">
      <c r="A71" t="s">
        <v>374</v>
      </c>
      <c r="B71">
        <v>2021</v>
      </c>
      <c r="C71" t="s">
        <v>375</v>
      </c>
      <c r="D71" t="s">
        <v>376</v>
      </c>
      <c r="E71" t="b">
        <v>1</v>
      </c>
      <c r="F71" t="s">
        <v>771</v>
      </c>
      <c r="G71" t="s">
        <v>205</v>
      </c>
      <c r="H71">
        <v>0.7</v>
      </c>
    </row>
    <row r="72" spans="1:8" x14ac:dyDescent="0.35">
      <c r="A72" t="s">
        <v>377</v>
      </c>
      <c r="B72">
        <v>2021</v>
      </c>
      <c r="C72" t="s">
        <v>697</v>
      </c>
      <c r="D72" t="s">
        <v>698</v>
      </c>
      <c r="E72" t="b">
        <v>1</v>
      </c>
      <c r="F72" t="s">
        <v>800</v>
      </c>
      <c r="G72" t="s">
        <v>181</v>
      </c>
      <c r="H72">
        <v>0.9</v>
      </c>
    </row>
    <row r="73" spans="1:8" x14ac:dyDescent="0.35">
      <c r="A73" t="s">
        <v>380</v>
      </c>
      <c r="B73">
        <v>2021</v>
      </c>
      <c r="C73" t="s">
        <v>381</v>
      </c>
      <c r="D73" t="s">
        <v>699</v>
      </c>
      <c r="E73" t="b">
        <v>0</v>
      </c>
      <c r="F73" t="s">
        <v>815</v>
      </c>
      <c r="G73" t="s">
        <v>190</v>
      </c>
      <c r="H73">
        <v>0.9</v>
      </c>
    </row>
    <row r="74" spans="1:8" x14ac:dyDescent="0.35">
      <c r="A74" t="s">
        <v>383</v>
      </c>
      <c r="B74">
        <v>2021</v>
      </c>
      <c r="C74" t="s">
        <v>700</v>
      </c>
      <c r="D74" t="s">
        <v>701</v>
      </c>
      <c r="E74" t="b">
        <v>1</v>
      </c>
      <c r="F74" t="s">
        <v>702</v>
      </c>
      <c r="G74" t="s">
        <v>181</v>
      </c>
      <c r="H74">
        <v>0.9</v>
      </c>
    </row>
    <row r="75" spans="1:8" x14ac:dyDescent="0.35">
      <c r="A75" t="s">
        <v>386</v>
      </c>
      <c r="B75">
        <v>2021</v>
      </c>
      <c r="C75" t="s">
        <v>387</v>
      </c>
      <c r="D75" t="s">
        <v>388</v>
      </c>
      <c r="E75" t="b">
        <v>1</v>
      </c>
      <c r="F75" t="s">
        <v>771</v>
      </c>
      <c r="G75" t="s">
        <v>205</v>
      </c>
      <c r="H75">
        <v>0.7</v>
      </c>
    </row>
    <row r="76" spans="1:8" x14ac:dyDescent="0.35">
      <c r="A76" t="s">
        <v>398</v>
      </c>
      <c r="B76">
        <v>2021</v>
      </c>
      <c r="C76" t="s">
        <v>399</v>
      </c>
      <c r="D76" t="s">
        <v>703</v>
      </c>
      <c r="E76" t="b">
        <v>1</v>
      </c>
      <c r="F76" t="s">
        <v>816</v>
      </c>
      <c r="G76" t="s">
        <v>181</v>
      </c>
      <c r="H76">
        <v>0.9</v>
      </c>
    </row>
    <row r="77" spans="1:8" x14ac:dyDescent="0.35">
      <c r="A77" t="s">
        <v>401</v>
      </c>
      <c r="B77">
        <v>2021</v>
      </c>
      <c r="C77" t="s">
        <v>402</v>
      </c>
      <c r="D77" t="s">
        <v>704</v>
      </c>
      <c r="E77" t="b">
        <v>1</v>
      </c>
      <c r="F77" t="s">
        <v>705</v>
      </c>
      <c r="G77" t="s">
        <v>181</v>
      </c>
      <c r="H77">
        <v>0.9</v>
      </c>
    </row>
    <row r="78" spans="1:8" x14ac:dyDescent="0.35">
      <c r="A78" t="s">
        <v>404</v>
      </c>
      <c r="B78">
        <v>2021</v>
      </c>
      <c r="C78" t="s">
        <v>405</v>
      </c>
      <c r="D78" t="s">
        <v>706</v>
      </c>
      <c r="E78" t="b">
        <v>1</v>
      </c>
      <c r="F78" t="s">
        <v>817</v>
      </c>
      <c r="G78" t="s">
        <v>674</v>
      </c>
      <c r="H78">
        <v>0.9</v>
      </c>
    </row>
    <row r="79" spans="1:8" x14ac:dyDescent="0.35">
      <c r="A79" t="s">
        <v>407</v>
      </c>
      <c r="B79">
        <v>2021</v>
      </c>
      <c r="C79" t="s">
        <v>408</v>
      </c>
      <c r="D79" t="s">
        <v>707</v>
      </c>
      <c r="E79" t="b">
        <v>1</v>
      </c>
      <c r="F79" t="s">
        <v>818</v>
      </c>
      <c r="G79" t="s">
        <v>181</v>
      </c>
      <c r="H79">
        <v>0.95</v>
      </c>
    </row>
    <row r="80" spans="1:8" x14ac:dyDescent="0.35">
      <c r="A80" t="s">
        <v>410</v>
      </c>
      <c r="B80">
        <v>2021</v>
      </c>
      <c r="C80" t="s">
        <v>411</v>
      </c>
      <c r="D80" t="s">
        <v>708</v>
      </c>
      <c r="E80" t="b">
        <v>1</v>
      </c>
      <c r="F80" t="s">
        <v>819</v>
      </c>
      <c r="G80" t="s">
        <v>181</v>
      </c>
      <c r="H80">
        <v>0.9</v>
      </c>
    </row>
    <row r="81" spans="1:8" x14ac:dyDescent="0.35">
      <c r="A81" t="s">
        <v>413</v>
      </c>
      <c r="B81">
        <v>2021</v>
      </c>
      <c r="C81" t="s">
        <v>414</v>
      </c>
      <c r="D81" t="s">
        <v>709</v>
      </c>
      <c r="E81" t="b">
        <v>0</v>
      </c>
      <c r="F81" t="s">
        <v>803</v>
      </c>
      <c r="G81" t="s">
        <v>192</v>
      </c>
      <c r="H81">
        <v>1</v>
      </c>
    </row>
    <row r="82" spans="1:8" x14ac:dyDescent="0.35">
      <c r="A82" t="s">
        <v>416</v>
      </c>
      <c r="B82">
        <v>2021</v>
      </c>
      <c r="C82" t="s">
        <v>417</v>
      </c>
      <c r="D82" t="s">
        <v>710</v>
      </c>
      <c r="E82" t="b">
        <v>1</v>
      </c>
      <c r="F82" t="s">
        <v>820</v>
      </c>
      <c r="G82" t="s">
        <v>181</v>
      </c>
      <c r="H82">
        <v>0.9</v>
      </c>
    </row>
    <row r="83" spans="1:8" x14ac:dyDescent="0.35">
      <c r="A83" t="s">
        <v>419</v>
      </c>
      <c r="B83">
        <v>2021</v>
      </c>
      <c r="C83" t="s">
        <v>420</v>
      </c>
      <c r="D83" t="s">
        <v>711</v>
      </c>
      <c r="E83" t="b">
        <v>1</v>
      </c>
      <c r="F83" t="s">
        <v>821</v>
      </c>
      <c r="G83" t="s">
        <v>181</v>
      </c>
      <c r="H83">
        <v>0.9</v>
      </c>
    </row>
    <row r="84" spans="1:8" x14ac:dyDescent="0.35">
      <c r="A84" t="s">
        <v>422</v>
      </c>
      <c r="B84">
        <v>2021</v>
      </c>
      <c r="C84" t="s">
        <v>423</v>
      </c>
      <c r="D84" t="s">
        <v>712</v>
      </c>
      <c r="E84" t="b">
        <v>1</v>
      </c>
      <c r="F84" t="s">
        <v>822</v>
      </c>
      <c r="G84" t="s">
        <v>181</v>
      </c>
      <c r="H84">
        <v>0.9</v>
      </c>
    </row>
    <row r="85" spans="1:8" x14ac:dyDescent="0.35">
      <c r="A85" t="s">
        <v>425</v>
      </c>
      <c r="B85">
        <v>2021</v>
      </c>
      <c r="C85" t="s">
        <v>426</v>
      </c>
      <c r="D85" t="s">
        <v>713</v>
      </c>
      <c r="E85" t="b">
        <v>1</v>
      </c>
      <c r="F85" t="s">
        <v>823</v>
      </c>
      <c r="G85" t="s">
        <v>181</v>
      </c>
      <c r="H85">
        <v>0.9</v>
      </c>
    </row>
    <row r="86" spans="1:8" ht="409.5" x14ac:dyDescent="0.35">
      <c r="A86" t="s">
        <v>428</v>
      </c>
      <c r="B86">
        <v>2021</v>
      </c>
      <c r="C86" t="s">
        <v>429</v>
      </c>
      <c r="D86" s="1" t="s">
        <v>430</v>
      </c>
      <c r="E86" t="b">
        <v>1</v>
      </c>
      <c r="F86" t="s">
        <v>678</v>
      </c>
      <c r="G86" t="s">
        <v>181</v>
      </c>
      <c r="H86">
        <v>0.9</v>
      </c>
    </row>
    <row r="87" spans="1:8" x14ac:dyDescent="0.35">
      <c r="A87" t="s">
        <v>431</v>
      </c>
      <c r="B87">
        <v>2021</v>
      </c>
      <c r="C87" t="s">
        <v>432</v>
      </c>
      <c r="D87" t="s">
        <v>433</v>
      </c>
      <c r="E87" t="b">
        <v>1</v>
      </c>
      <c r="F87" t="s">
        <v>824</v>
      </c>
      <c r="G87" t="s">
        <v>181</v>
      </c>
      <c r="H87">
        <v>0.9</v>
      </c>
    </row>
    <row r="88" spans="1:8" x14ac:dyDescent="0.35">
      <c r="A88" t="s">
        <v>434</v>
      </c>
      <c r="B88">
        <v>2021</v>
      </c>
      <c r="C88" t="s">
        <v>435</v>
      </c>
      <c r="D88" t="s">
        <v>714</v>
      </c>
      <c r="E88" t="b">
        <v>1</v>
      </c>
      <c r="F88" t="s">
        <v>825</v>
      </c>
      <c r="G88" t="s">
        <v>181</v>
      </c>
      <c r="H88">
        <v>0.95</v>
      </c>
    </row>
    <row r="89" spans="1:8" x14ac:dyDescent="0.35">
      <c r="A89" t="s">
        <v>437</v>
      </c>
      <c r="B89">
        <v>2021</v>
      </c>
      <c r="C89" t="s">
        <v>438</v>
      </c>
      <c r="D89" t="s">
        <v>715</v>
      </c>
      <c r="E89" t="b">
        <v>1</v>
      </c>
      <c r="F89" t="s">
        <v>826</v>
      </c>
      <c r="G89" t="s">
        <v>181</v>
      </c>
      <c r="H89">
        <v>0.9</v>
      </c>
    </row>
    <row r="90" spans="1:8" x14ac:dyDescent="0.35">
      <c r="A90" t="s">
        <v>440</v>
      </c>
      <c r="B90">
        <v>2021</v>
      </c>
      <c r="C90" t="s">
        <v>441</v>
      </c>
      <c r="D90" t="s">
        <v>716</v>
      </c>
      <c r="E90" t="b">
        <v>1</v>
      </c>
      <c r="F90" t="s">
        <v>827</v>
      </c>
      <c r="G90" t="s">
        <v>181</v>
      </c>
      <c r="H90">
        <v>0.9</v>
      </c>
    </row>
    <row r="91" spans="1:8" x14ac:dyDescent="0.35">
      <c r="A91" t="s">
        <v>443</v>
      </c>
      <c r="B91">
        <v>2021</v>
      </c>
      <c r="C91" t="s">
        <v>444</v>
      </c>
      <c r="D91" t="s">
        <v>717</v>
      </c>
      <c r="E91" t="b">
        <v>1</v>
      </c>
      <c r="F91" t="s">
        <v>828</v>
      </c>
      <c r="G91" t="s">
        <v>181</v>
      </c>
      <c r="H91">
        <v>0.9</v>
      </c>
    </row>
    <row r="92" spans="1:8" x14ac:dyDescent="0.35">
      <c r="A92" t="s">
        <v>446</v>
      </c>
      <c r="B92">
        <v>2021</v>
      </c>
      <c r="C92" t="s">
        <v>447</v>
      </c>
      <c r="D92" t="s">
        <v>448</v>
      </c>
      <c r="E92" t="b">
        <v>1</v>
      </c>
      <c r="F92" t="s">
        <v>829</v>
      </c>
      <c r="G92" t="s">
        <v>181</v>
      </c>
      <c r="H92">
        <v>0.9</v>
      </c>
    </row>
    <row r="93" spans="1:8" x14ac:dyDescent="0.35">
      <c r="A93" t="s">
        <v>449</v>
      </c>
      <c r="B93">
        <v>2021</v>
      </c>
      <c r="C93" t="s">
        <v>718</v>
      </c>
      <c r="D93" t="s">
        <v>719</v>
      </c>
      <c r="E93" t="b">
        <v>1</v>
      </c>
      <c r="F93" t="s">
        <v>722</v>
      </c>
      <c r="G93" t="s">
        <v>181</v>
      </c>
      <c r="H93">
        <v>0.9</v>
      </c>
    </row>
    <row r="94" spans="1:8" x14ac:dyDescent="0.35">
      <c r="A94" t="s">
        <v>452</v>
      </c>
      <c r="B94">
        <v>2021</v>
      </c>
      <c r="C94" t="s">
        <v>720</v>
      </c>
      <c r="D94" t="s">
        <v>721</v>
      </c>
      <c r="E94" t="b">
        <v>1</v>
      </c>
      <c r="F94" t="s">
        <v>830</v>
      </c>
      <c r="G94" t="s">
        <v>181</v>
      </c>
      <c r="H94">
        <v>0.9</v>
      </c>
    </row>
    <row r="95" spans="1:8" x14ac:dyDescent="0.35">
      <c r="A95" t="s">
        <v>461</v>
      </c>
      <c r="B95">
        <v>2021</v>
      </c>
      <c r="C95" t="s">
        <v>462</v>
      </c>
      <c r="D95" t="s">
        <v>723</v>
      </c>
      <c r="E95" t="b">
        <v>1</v>
      </c>
      <c r="F95" t="s">
        <v>831</v>
      </c>
      <c r="G95" t="s">
        <v>181</v>
      </c>
      <c r="H95">
        <v>0.9</v>
      </c>
    </row>
    <row r="96" spans="1:8" x14ac:dyDescent="0.35">
      <c r="A96" t="s">
        <v>464</v>
      </c>
      <c r="B96">
        <v>2021</v>
      </c>
      <c r="C96" t="s">
        <v>465</v>
      </c>
      <c r="D96" t="s">
        <v>466</v>
      </c>
      <c r="E96" t="b">
        <v>1</v>
      </c>
      <c r="F96" t="s">
        <v>771</v>
      </c>
      <c r="G96" t="s">
        <v>205</v>
      </c>
      <c r="H96">
        <v>0.6</v>
      </c>
    </row>
    <row r="97" spans="1:8" ht="409.5" x14ac:dyDescent="0.35">
      <c r="A97" t="s">
        <v>467</v>
      </c>
      <c r="B97">
        <v>2021</v>
      </c>
      <c r="C97" t="s">
        <v>468</v>
      </c>
      <c r="D97" s="1" t="s">
        <v>469</v>
      </c>
      <c r="E97" t="b">
        <v>1</v>
      </c>
      <c r="F97" t="s">
        <v>832</v>
      </c>
      <c r="G97" t="s">
        <v>181</v>
      </c>
      <c r="H97">
        <v>0.9</v>
      </c>
    </row>
    <row r="98" spans="1:8" x14ac:dyDescent="0.35">
      <c r="A98" t="s">
        <v>470</v>
      </c>
      <c r="B98">
        <v>2021</v>
      </c>
      <c r="C98" t="s">
        <v>471</v>
      </c>
      <c r="D98" t="s">
        <v>724</v>
      </c>
      <c r="E98" t="b">
        <v>0</v>
      </c>
      <c r="F98" t="s">
        <v>803</v>
      </c>
      <c r="G98" t="s">
        <v>192</v>
      </c>
      <c r="H98">
        <v>1</v>
      </c>
    </row>
    <row r="99" spans="1:8" x14ac:dyDescent="0.35">
      <c r="A99" t="s">
        <v>473</v>
      </c>
      <c r="B99">
        <v>2021</v>
      </c>
      <c r="C99" t="s">
        <v>725</v>
      </c>
      <c r="D99" t="s">
        <v>726</v>
      </c>
      <c r="E99" t="b">
        <v>1</v>
      </c>
      <c r="F99" t="s">
        <v>833</v>
      </c>
      <c r="G99" t="s">
        <v>181</v>
      </c>
      <c r="H99">
        <v>0.9</v>
      </c>
    </row>
    <row r="100" spans="1:8" x14ac:dyDescent="0.35">
      <c r="A100" t="s">
        <v>476</v>
      </c>
      <c r="B100">
        <v>2021</v>
      </c>
      <c r="C100" t="s">
        <v>477</v>
      </c>
      <c r="D100" t="s">
        <v>478</v>
      </c>
      <c r="E100" t="b">
        <v>0</v>
      </c>
      <c r="F100" t="s">
        <v>803</v>
      </c>
      <c r="G100" t="s">
        <v>192</v>
      </c>
      <c r="H100">
        <v>1</v>
      </c>
    </row>
    <row r="101" spans="1:8" x14ac:dyDescent="0.35">
      <c r="A101" t="s">
        <v>479</v>
      </c>
      <c r="B101">
        <v>2021</v>
      </c>
      <c r="C101" t="s">
        <v>727</v>
      </c>
      <c r="D101" t="s">
        <v>728</v>
      </c>
      <c r="E101" t="b">
        <v>0</v>
      </c>
      <c r="F101" t="s">
        <v>834</v>
      </c>
      <c r="G101" t="s">
        <v>190</v>
      </c>
      <c r="H101">
        <v>0.8</v>
      </c>
    </row>
    <row r="102" spans="1:8" x14ac:dyDescent="0.35">
      <c r="A102" t="s">
        <v>482</v>
      </c>
      <c r="B102">
        <v>2021</v>
      </c>
      <c r="C102" t="s">
        <v>483</v>
      </c>
      <c r="D102" t="s">
        <v>729</v>
      </c>
      <c r="E102" t="b">
        <v>0</v>
      </c>
      <c r="F102" t="s">
        <v>835</v>
      </c>
      <c r="G102" t="s">
        <v>192</v>
      </c>
      <c r="H102">
        <v>0.9</v>
      </c>
    </row>
    <row r="103" spans="1:8" x14ac:dyDescent="0.35">
      <c r="A103" t="s">
        <v>485</v>
      </c>
      <c r="B103">
        <v>2021</v>
      </c>
      <c r="C103" t="s">
        <v>486</v>
      </c>
      <c r="D103" t="s">
        <v>487</v>
      </c>
      <c r="E103" t="b">
        <v>1</v>
      </c>
      <c r="F103" t="s">
        <v>836</v>
      </c>
      <c r="G103" t="s">
        <v>181</v>
      </c>
      <c r="H103">
        <v>0.9</v>
      </c>
    </row>
    <row r="104" spans="1:8" x14ac:dyDescent="0.35">
      <c r="A104" t="s">
        <v>488</v>
      </c>
      <c r="B104">
        <v>2021</v>
      </c>
      <c r="C104" t="s">
        <v>489</v>
      </c>
      <c r="D104" t="s">
        <v>730</v>
      </c>
      <c r="E104" t="b">
        <v>1</v>
      </c>
      <c r="F104" t="s">
        <v>837</v>
      </c>
      <c r="G104" t="s">
        <v>205</v>
      </c>
      <c r="H104">
        <v>0.8</v>
      </c>
    </row>
    <row r="105" spans="1:8" x14ac:dyDescent="0.35">
      <c r="A105" t="s">
        <v>491</v>
      </c>
      <c r="B105">
        <v>2021</v>
      </c>
      <c r="C105" t="s">
        <v>492</v>
      </c>
      <c r="D105" t="s">
        <v>493</v>
      </c>
      <c r="E105" t="b">
        <v>1</v>
      </c>
      <c r="F105" t="s">
        <v>838</v>
      </c>
      <c r="G105" t="s">
        <v>181</v>
      </c>
      <c r="H105">
        <v>0.9</v>
      </c>
    </row>
    <row r="106" spans="1:8" x14ac:dyDescent="0.35">
      <c r="A106" t="s">
        <v>494</v>
      </c>
      <c r="B106">
        <v>2021</v>
      </c>
      <c r="C106" t="s">
        <v>495</v>
      </c>
      <c r="D106" t="s">
        <v>731</v>
      </c>
      <c r="E106" t="b">
        <v>0</v>
      </c>
      <c r="F106" t="s">
        <v>803</v>
      </c>
      <c r="G106" t="s">
        <v>192</v>
      </c>
      <c r="H106">
        <v>1</v>
      </c>
    </row>
    <row r="107" spans="1:8" x14ac:dyDescent="0.35">
      <c r="A107" t="s">
        <v>497</v>
      </c>
      <c r="B107">
        <v>2021</v>
      </c>
      <c r="C107" t="s">
        <v>498</v>
      </c>
      <c r="D107" t="s">
        <v>499</v>
      </c>
      <c r="E107" t="b">
        <v>0</v>
      </c>
      <c r="F107" t="s">
        <v>839</v>
      </c>
      <c r="G107" t="s">
        <v>192</v>
      </c>
      <c r="H107">
        <v>1</v>
      </c>
    </row>
    <row r="108" spans="1:8" x14ac:dyDescent="0.35">
      <c r="A108" t="s">
        <v>500</v>
      </c>
      <c r="B108">
        <v>2021</v>
      </c>
      <c r="C108" t="s">
        <v>501</v>
      </c>
      <c r="D108" t="s">
        <v>732</v>
      </c>
      <c r="E108" t="b">
        <v>0</v>
      </c>
      <c r="F108" t="s">
        <v>803</v>
      </c>
      <c r="G108" t="s">
        <v>192</v>
      </c>
      <c r="H108">
        <v>1</v>
      </c>
    </row>
    <row r="109" spans="1:8" x14ac:dyDescent="0.35">
      <c r="A109" t="s">
        <v>506</v>
      </c>
      <c r="B109">
        <v>2021</v>
      </c>
      <c r="C109" t="s">
        <v>507</v>
      </c>
      <c r="D109" t="s">
        <v>733</v>
      </c>
      <c r="E109" t="b">
        <v>1</v>
      </c>
      <c r="F109" t="s">
        <v>840</v>
      </c>
      <c r="G109" t="s">
        <v>181</v>
      </c>
      <c r="H109">
        <v>0.9</v>
      </c>
    </row>
    <row r="110" spans="1:8" x14ac:dyDescent="0.35">
      <c r="A110" t="s">
        <v>509</v>
      </c>
      <c r="B110">
        <v>2021</v>
      </c>
      <c r="C110" t="s">
        <v>510</v>
      </c>
      <c r="D110" t="s">
        <v>734</v>
      </c>
      <c r="E110" t="b">
        <v>1</v>
      </c>
      <c r="F110" t="s">
        <v>771</v>
      </c>
      <c r="G110" t="s">
        <v>205</v>
      </c>
      <c r="H110">
        <v>0.7</v>
      </c>
    </row>
    <row r="111" spans="1:8" x14ac:dyDescent="0.35">
      <c r="A111" t="s">
        <v>512</v>
      </c>
      <c r="B111">
        <v>2021</v>
      </c>
      <c r="C111" t="s">
        <v>735</v>
      </c>
      <c r="D111" t="s">
        <v>736</v>
      </c>
      <c r="E111" t="b">
        <v>1</v>
      </c>
      <c r="F111" t="s">
        <v>705</v>
      </c>
      <c r="G111" t="s">
        <v>181</v>
      </c>
      <c r="H111">
        <v>0.95</v>
      </c>
    </row>
    <row r="112" spans="1:8" x14ac:dyDescent="0.35">
      <c r="A112" t="s">
        <v>515</v>
      </c>
      <c r="B112">
        <v>2021</v>
      </c>
      <c r="C112" t="s">
        <v>516</v>
      </c>
      <c r="D112" t="s">
        <v>517</v>
      </c>
      <c r="E112" t="b">
        <v>1</v>
      </c>
      <c r="F112" t="s">
        <v>678</v>
      </c>
      <c r="G112" t="s">
        <v>181</v>
      </c>
      <c r="H112">
        <v>0.9</v>
      </c>
    </row>
    <row r="113" spans="1:8" x14ac:dyDescent="0.35">
      <c r="A113" t="s">
        <v>518</v>
      </c>
      <c r="B113">
        <v>2021</v>
      </c>
      <c r="C113" t="s">
        <v>519</v>
      </c>
      <c r="D113" t="s">
        <v>499</v>
      </c>
      <c r="E113" t="b">
        <v>1</v>
      </c>
      <c r="F113" t="s">
        <v>771</v>
      </c>
      <c r="G113" t="s">
        <v>205</v>
      </c>
      <c r="H113">
        <v>0.7</v>
      </c>
    </row>
    <row r="114" spans="1:8" x14ac:dyDescent="0.35">
      <c r="A114" t="s">
        <v>520</v>
      </c>
      <c r="B114">
        <v>2021</v>
      </c>
      <c r="C114" t="s">
        <v>521</v>
      </c>
      <c r="D114" t="s">
        <v>737</v>
      </c>
      <c r="E114" t="b">
        <v>1</v>
      </c>
      <c r="F114" t="s">
        <v>841</v>
      </c>
      <c r="G114" t="s">
        <v>181</v>
      </c>
      <c r="H114">
        <v>0.9</v>
      </c>
    </row>
    <row r="115" spans="1:8" x14ac:dyDescent="0.35">
      <c r="A115" t="s">
        <v>523</v>
      </c>
      <c r="B115">
        <v>2021</v>
      </c>
      <c r="C115" t="s">
        <v>524</v>
      </c>
      <c r="D115" t="s">
        <v>738</v>
      </c>
      <c r="E115" t="b">
        <v>0</v>
      </c>
      <c r="F115" t="s">
        <v>842</v>
      </c>
      <c r="G115" t="s">
        <v>192</v>
      </c>
      <c r="H115">
        <v>0.9</v>
      </c>
    </row>
    <row r="116" spans="1:8" x14ac:dyDescent="0.35">
      <c r="A116" t="s">
        <v>526</v>
      </c>
      <c r="B116">
        <v>2021</v>
      </c>
      <c r="C116" t="s">
        <v>527</v>
      </c>
      <c r="D116" t="s">
        <v>739</v>
      </c>
      <c r="E116" t="b">
        <v>1</v>
      </c>
      <c r="F116" t="s">
        <v>843</v>
      </c>
      <c r="G116" t="s">
        <v>181</v>
      </c>
      <c r="H116">
        <v>0.9</v>
      </c>
    </row>
    <row r="117" spans="1:8" x14ac:dyDescent="0.35">
      <c r="A117" t="s">
        <v>529</v>
      </c>
      <c r="B117">
        <v>2021</v>
      </c>
      <c r="C117" t="s">
        <v>530</v>
      </c>
      <c r="D117" t="s">
        <v>740</v>
      </c>
      <c r="E117" t="b">
        <v>1</v>
      </c>
      <c r="F117" t="s">
        <v>799</v>
      </c>
      <c r="G117" t="s">
        <v>181</v>
      </c>
      <c r="H117">
        <v>0.9</v>
      </c>
    </row>
    <row r="118" spans="1:8" x14ac:dyDescent="0.35">
      <c r="A118" t="s">
        <v>532</v>
      </c>
      <c r="B118">
        <v>2021</v>
      </c>
      <c r="C118" t="s">
        <v>533</v>
      </c>
      <c r="D118" t="s">
        <v>534</v>
      </c>
      <c r="E118" t="b">
        <v>1</v>
      </c>
      <c r="F118" t="s">
        <v>771</v>
      </c>
      <c r="G118" t="s">
        <v>205</v>
      </c>
      <c r="H118">
        <v>0.6</v>
      </c>
    </row>
    <row r="119" spans="1:8" x14ac:dyDescent="0.35">
      <c r="A119" t="s">
        <v>535</v>
      </c>
      <c r="B119">
        <v>2021</v>
      </c>
      <c r="C119" t="s">
        <v>536</v>
      </c>
      <c r="D119" t="s">
        <v>537</v>
      </c>
      <c r="E119" t="b">
        <v>1</v>
      </c>
      <c r="F119" t="s">
        <v>741</v>
      </c>
      <c r="G119" t="s">
        <v>181</v>
      </c>
      <c r="H119">
        <v>0.9</v>
      </c>
    </row>
    <row r="120" spans="1:8" x14ac:dyDescent="0.35">
      <c r="A120" t="s">
        <v>538</v>
      </c>
      <c r="B120">
        <v>2021</v>
      </c>
      <c r="C120" t="s">
        <v>742</v>
      </c>
      <c r="D120" t="s">
        <v>743</v>
      </c>
      <c r="E120" t="b">
        <v>1</v>
      </c>
      <c r="F120" t="s">
        <v>844</v>
      </c>
      <c r="G120" t="s">
        <v>181</v>
      </c>
      <c r="H120">
        <v>0.9</v>
      </c>
    </row>
    <row r="121" spans="1:8" x14ac:dyDescent="0.35">
      <c r="A121" t="s">
        <v>541</v>
      </c>
      <c r="B121">
        <v>2021</v>
      </c>
      <c r="C121" t="s">
        <v>744</v>
      </c>
      <c r="D121" t="s">
        <v>745</v>
      </c>
      <c r="E121" t="b">
        <v>1</v>
      </c>
      <c r="F121" t="s">
        <v>845</v>
      </c>
      <c r="G121" t="s">
        <v>181</v>
      </c>
      <c r="H121">
        <v>0.9</v>
      </c>
    </row>
    <row r="122" spans="1:8" x14ac:dyDescent="0.35">
      <c r="A122" t="s">
        <v>544</v>
      </c>
      <c r="B122">
        <v>2021</v>
      </c>
      <c r="C122" t="s">
        <v>545</v>
      </c>
      <c r="D122" t="s">
        <v>746</v>
      </c>
      <c r="E122" t="b">
        <v>1</v>
      </c>
      <c r="F122" t="s">
        <v>846</v>
      </c>
      <c r="G122" t="s">
        <v>181</v>
      </c>
      <c r="H122">
        <v>0.95</v>
      </c>
    </row>
    <row r="123" spans="1:8" ht="409.5" x14ac:dyDescent="0.35">
      <c r="A123" t="s">
        <v>547</v>
      </c>
      <c r="B123">
        <v>2021</v>
      </c>
      <c r="C123" t="s">
        <v>548</v>
      </c>
      <c r="D123" s="1" t="s">
        <v>549</v>
      </c>
      <c r="E123" t="b">
        <v>1</v>
      </c>
      <c r="F123" t="s">
        <v>847</v>
      </c>
      <c r="G123" t="s">
        <v>181</v>
      </c>
      <c r="H123">
        <v>0.95</v>
      </c>
    </row>
    <row r="124" spans="1:8" x14ac:dyDescent="0.35">
      <c r="A124" t="s">
        <v>550</v>
      </c>
      <c r="B124">
        <v>2021</v>
      </c>
      <c r="C124" t="s">
        <v>551</v>
      </c>
      <c r="D124" t="s">
        <v>747</v>
      </c>
      <c r="E124" t="b">
        <v>0</v>
      </c>
      <c r="F124" t="s">
        <v>848</v>
      </c>
      <c r="G124" t="s">
        <v>192</v>
      </c>
      <c r="H124">
        <v>1</v>
      </c>
    </row>
    <row r="125" spans="1:8" x14ac:dyDescent="0.35">
      <c r="A125" t="s">
        <v>553</v>
      </c>
      <c r="B125">
        <v>2021</v>
      </c>
      <c r="C125" t="s">
        <v>554</v>
      </c>
      <c r="D125" t="s">
        <v>748</v>
      </c>
      <c r="E125" t="b">
        <v>1</v>
      </c>
      <c r="F125" t="s">
        <v>800</v>
      </c>
      <c r="G125" t="s">
        <v>181</v>
      </c>
      <c r="H125">
        <v>0.9</v>
      </c>
    </row>
    <row r="126" spans="1:8" x14ac:dyDescent="0.35">
      <c r="A126" t="s">
        <v>556</v>
      </c>
      <c r="B126">
        <v>2021</v>
      </c>
      <c r="C126" t="s">
        <v>557</v>
      </c>
      <c r="D126" t="s">
        <v>558</v>
      </c>
      <c r="E126" t="b">
        <v>1</v>
      </c>
      <c r="F126" t="s">
        <v>849</v>
      </c>
      <c r="G126" t="s">
        <v>181</v>
      </c>
      <c r="H126">
        <v>0.9</v>
      </c>
    </row>
    <row r="127" spans="1:8" x14ac:dyDescent="0.35">
      <c r="A127" t="s">
        <v>559</v>
      </c>
      <c r="B127">
        <v>2021</v>
      </c>
      <c r="C127" t="s">
        <v>749</v>
      </c>
      <c r="D127" t="s">
        <v>750</v>
      </c>
      <c r="E127" t="b">
        <v>1</v>
      </c>
      <c r="F127" t="s">
        <v>771</v>
      </c>
      <c r="G127" t="s">
        <v>205</v>
      </c>
      <c r="H127">
        <v>0.6</v>
      </c>
    </row>
    <row r="128" spans="1:8" x14ac:dyDescent="0.35">
      <c r="A128" t="s">
        <v>562</v>
      </c>
      <c r="B128">
        <v>2021</v>
      </c>
      <c r="C128" t="s">
        <v>563</v>
      </c>
      <c r="D128" t="s">
        <v>564</v>
      </c>
      <c r="E128" t="b">
        <v>1</v>
      </c>
      <c r="F128" t="s">
        <v>751</v>
      </c>
      <c r="G128" t="s">
        <v>674</v>
      </c>
      <c r="H128">
        <v>0.8</v>
      </c>
    </row>
    <row r="129" spans="1:8" x14ac:dyDescent="0.35">
      <c r="A129" t="s">
        <v>565</v>
      </c>
      <c r="B129">
        <v>2021</v>
      </c>
      <c r="C129" t="s">
        <v>566</v>
      </c>
      <c r="D129" t="s">
        <v>752</v>
      </c>
      <c r="E129" t="b">
        <v>1</v>
      </c>
      <c r="F129" t="s">
        <v>771</v>
      </c>
      <c r="G129" t="s">
        <v>205</v>
      </c>
      <c r="H129">
        <v>0.5</v>
      </c>
    </row>
    <row r="130" spans="1:8" x14ac:dyDescent="0.35">
      <c r="A130" t="s">
        <v>568</v>
      </c>
      <c r="B130">
        <v>2021</v>
      </c>
      <c r="C130" t="s">
        <v>569</v>
      </c>
      <c r="D130" t="s">
        <v>753</v>
      </c>
      <c r="E130" t="b">
        <v>1</v>
      </c>
      <c r="F130" t="s">
        <v>789</v>
      </c>
      <c r="G130" t="s">
        <v>181</v>
      </c>
      <c r="H130">
        <v>0.95</v>
      </c>
    </row>
    <row r="131" spans="1:8" ht="409.5" x14ac:dyDescent="0.35">
      <c r="A131" t="s">
        <v>571</v>
      </c>
      <c r="B131">
        <v>2021</v>
      </c>
      <c r="C131" t="s">
        <v>572</v>
      </c>
      <c r="D131" s="1" t="s">
        <v>573</v>
      </c>
      <c r="E131" t="b">
        <v>0</v>
      </c>
      <c r="F131" t="s">
        <v>850</v>
      </c>
      <c r="G131" t="s">
        <v>192</v>
      </c>
      <c r="H131">
        <v>0.9</v>
      </c>
    </row>
    <row r="132" spans="1:8" x14ac:dyDescent="0.35">
      <c r="A132" t="s">
        <v>574</v>
      </c>
      <c r="B132">
        <v>2021</v>
      </c>
      <c r="C132" t="s">
        <v>754</v>
      </c>
      <c r="D132" t="s">
        <v>755</v>
      </c>
      <c r="E132" t="b">
        <v>1</v>
      </c>
      <c r="F132" t="s">
        <v>846</v>
      </c>
      <c r="G132" t="s">
        <v>181</v>
      </c>
      <c r="H132">
        <v>0.9</v>
      </c>
    </row>
    <row r="133" spans="1:8" x14ac:dyDescent="0.35">
      <c r="A133" t="s">
        <v>583</v>
      </c>
      <c r="B133">
        <v>2021</v>
      </c>
      <c r="C133" t="s">
        <v>584</v>
      </c>
      <c r="D133" t="s">
        <v>585</v>
      </c>
      <c r="E133" t="b">
        <v>1</v>
      </c>
      <c r="F133" t="s">
        <v>851</v>
      </c>
      <c r="G133" t="s">
        <v>181</v>
      </c>
      <c r="H133">
        <v>0.9</v>
      </c>
    </row>
    <row r="134" spans="1:8" x14ac:dyDescent="0.35">
      <c r="A134" t="s">
        <v>588</v>
      </c>
      <c r="B134">
        <v>2021</v>
      </c>
      <c r="C134" t="s">
        <v>589</v>
      </c>
      <c r="D134" t="s">
        <v>756</v>
      </c>
      <c r="E134" t="b">
        <v>1</v>
      </c>
      <c r="F134" t="s">
        <v>805</v>
      </c>
      <c r="G134" t="s">
        <v>181</v>
      </c>
      <c r="H134">
        <v>0.9</v>
      </c>
    </row>
    <row r="135" spans="1:8" x14ac:dyDescent="0.35">
      <c r="A135" t="s">
        <v>591</v>
      </c>
      <c r="B135">
        <v>2021</v>
      </c>
      <c r="C135" t="s">
        <v>757</v>
      </c>
      <c r="D135" t="s">
        <v>758</v>
      </c>
      <c r="E135" t="b">
        <v>1</v>
      </c>
      <c r="F135" t="s">
        <v>203</v>
      </c>
      <c r="G135" t="s">
        <v>181</v>
      </c>
      <c r="H135">
        <v>0.9</v>
      </c>
    </row>
    <row r="136" spans="1:8" x14ac:dyDescent="0.35">
      <c r="A136" t="s">
        <v>594</v>
      </c>
      <c r="B136">
        <v>2021</v>
      </c>
      <c r="C136" t="s">
        <v>595</v>
      </c>
      <c r="D136" t="s">
        <v>596</v>
      </c>
      <c r="E136" t="b">
        <v>1</v>
      </c>
      <c r="F136" t="s">
        <v>852</v>
      </c>
      <c r="G136" t="s">
        <v>181</v>
      </c>
      <c r="H136">
        <v>0.9</v>
      </c>
    </row>
    <row r="137" spans="1:8" x14ac:dyDescent="0.35">
      <c r="A137" t="s">
        <v>597</v>
      </c>
      <c r="B137">
        <v>2021</v>
      </c>
      <c r="C137" t="s">
        <v>598</v>
      </c>
      <c r="D137" t="s">
        <v>759</v>
      </c>
      <c r="E137" t="b">
        <v>1</v>
      </c>
      <c r="F137" t="s">
        <v>789</v>
      </c>
      <c r="G137" t="s">
        <v>181</v>
      </c>
      <c r="H137">
        <v>0.9</v>
      </c>
    </row>
    <row r="138" spans="1:8" x14ac:dyDescent="0.35">
      <c r="A138" t="s">
        <v>600</v>
      </c>
      <c r="B138">
        <v>2021</v>
      </c>
      <c r="C138" t="s">
        <v>601</v>
      </c>
      <c r="D138" t="s">
        <v>760</v>
      </c>
      <c r="E138" t="b">
        <v>1</v>
      </c>
      <c r="F138" t="s">
        <v>853</v>
      </c>
      <c r="G138" t="s">
        <v>181</v>
      </c>
      <c r="H138">
        <v>0.9</v>
      </c>
    </row>
    <row r="139" spans="1:8" ht="409.5" x14ac:dyDescent="0.35">
      <c r="A139" t="s">
        <v>603</v>
      </c>
      <c r="B139">
        <v>2021</v>
      </c>
      <c r="C139" t="s">
        <v>601</v>
      </c>
      <c r="D139" s="1" t="s">
        <v>604</v>
      </c>
      <c r="E139" t="b">
        <v>1</v>
      </c>
      <c r="F139" t="s">
        <v>854</v>
      </c>
      <c r="G139" t="s">
        <v>181</v>
      </c>
      <c r="H139">
        <v>0.9</v>
      </c>
    </row>
    <row r="140" spans="1:8" x14ac:dyDescent="0.35">
      <c r="A140" t="s">
        <v>605</v>
      </c>
      <c r="B140">
        <v>2021</v>
      </c>
      <c r="C140" t="s">
        <v>606</v>
      </c>
      <c r="D140" t="s">
        <v>607</v>
      </c>
      <c r="E140" t="b">
        <v>1</v>
      </c>
      <c r="F140" t="s">
        <v>771</v>
      </c>
      <c r="G140" t="s">
        <v>205</v>
      </c>
      <c r="H140">
        <v>0.6</v>
      </c>
    </row>
    <row r="141" spans="1:8" ht="409.5" x14ac:dyDescent="0.35">
      <c r="A141" t="s">
        <v>608</v>
      </c>
      <c r="B141">
        <v>2025</v>
      </c>
      <c r="C141" t="s">
        <v>609</v>
      </c>
      <c r="D141" s="1" t="s">
        <v>610</v>
      </c>
      <c r="E141" t="b">
        <v>1</v>
      </c>
      <c r="F141" t="s">
        <v>855</v>
      </c>
      <c r="G141" t="s">
        <v>181</v>
      </c>
      <c r="H141">
        <v>0.95</v>
      </c>
    </row>
    <row r="142" spans="1:8" x14ac:dyDescent="0.35">
      <c r="A142" t="s">
        <v>611</v>
      </c>
      <c r="B142">
        <v>2025</v>
      </c>
      <c r="C142" t="s">
        <v>609</v>
      </c>
      <c r="D142" t="s">
        <v>761</v>
      </c>
      <c r="E142" t="b">
        <v>1</v>
      </c>
      <c r="F142" t="s">
        <v>855</v>
      </c>
      <c r="G142" t="s">
        <v>181</v>
      </c>
      <c r="H142">
        <v>0.9</v>
      </c>
    </row>
    <row r="143" spans="1:8" x14ac:dyDescent="0.35">
      <c r="A143" t="s">
        <v>613</v>
      </c>
      <c r="B143">
        <v>2025</v>
      </c>
      <c r="C143" t="s">
        <v>614</v>
      </c>
      <c r="D143" t="s">
        <v>762</v>
      </c>
      <c r="E143" t="b">
        <v>0</v>
      </c>
      <c r="F143" t="s">
        <v>856</v>
      </c>
      <c r="G143" t="s">
        <v>181</v>
      </c>
      <c r="H143">
        <v>0.9</v>
      </c>
    </row>
    <row r="144" spans="1:8" x14ac:dyDescent="0.35">
      <c r="A144" t="s">
        <v>619</v>
      </c>
      <c r="B144">
        <v>2025</v>
      </c>
      <c r="C144" t="s">
        <v>620</v>
      </c>
      <c r="D144" t="s">
        <v>621</v>
      </c>
      <c r="E144" t="b">
        <v>1</v>
      </c>
      <c r="F144" t="s">
        <v>857</v>
      </c>
      <c r="G144" t="s">
        <v>181</v>
      </c>
      <c r="H144">
        <v>0.9</v>
      </c>
    </row>
    <row r="145" spans="1:8" x14ac:dyDescent="0.35">
      <c r="A145" t="s">
        <v>622</v>
      </c>
      <c r="B145">
        <v>2025</v>
      </c>
      <c r="C145" t="s">
        <v>623</v>
      </c>
      <c r="D145" t="s">
        <v>624</v>
      </c>
      <c r="E145" t="b">
        <v>1</v>
      </c>
      <c r="F145" t="s">
        <v>798</v>
      </c>
      <c r="G145" t="s">
        <v>181</v>
      </c>
      <c r="H145">
        <v>0.9</v>
      </c>
    </row>
    <row r="146" spans="1:8" x14ac:dyDescent="0.35">
      <c r="A146" t="s">
        <v>625</v>
      </c>
      <c r="B146">
        <v>2025</v>
      </c>
      <c r="C146" t="s">
        <v>763</v>
      </c>
      <c r="D146" t="s">
        <v>764</v>
      </c>
      <c r="E146" t="b">
        <v>1</v>
      </c>
      <c r="F146" t="s">
        <v>858</v>
      </c>
      <c r="G146" t="s">
        <v>181</v>
      </c>
      <c r="H146">
        <v>0.9</v>
      </c>
    </row>
    <row r="147" spans="1:8" x14ac:dyDescent="0.35">
      <c r="A147" t="s">
        <v>628</v>
      </c>
      <c r="B147">
        <v>2025</v>
      </c>
      <c r="C147" t="s">
        <v>629</v>
      </c>
      <c r="D147" t="s">
        <v>630</v>
      </c>
      <c r="E147" t="b">
        <v>1</v>
      </c>
      <c r="F147" t="s">
        <v>771</v>
      </c>
      <c r="G147" t="s">
        <v>205</v>
      </c>
      <c r="H147">
        <v>0.7</v>
      </c>
    </row>
    <row r="148" spans="1:8" x14ac:dyDescent="0.35">
      <c r="A148" t="s">
        <v>634</v>
      </c>
      <c r="B148">
        <v>2025</v>
      </c>
      <c r="C148" t="s">
        <v>635</v>
      </c>
      <c r="D148" t="s">
        <v>765</v>
      </c>
      <c r="E148" t="b">
        <v>1</v>
      </c>
      <c r="F148" t="s">
        <v>702</v>
      </c>
      <c r="G148" t="s">
        <v>181</v>
      </c>
      <c r="H148">
        <v>0.9</v>
      </c>
    </row>
    <row r="149" spans="1:8" x14ac:dyDescent="0.35">
      <c r="A149" t="s">
        <v>637</v>
      </c>
      <c r="B149">
        <v>2025</v>
      </c>
      <c r="C149" t="s">
        <v>638</v>
      </c>
      <c r="D149" t="s">
        <v>639</v>
      </c>
      <c r="E149" t="b">
        <v>1</v>
      </c>
      <c r="F149" t="s">
        <v>678</v>
      </c>
      <c r="G149" t="s">
        <v>181</v>
      </c>
      <c r="H149">
        <v>0.9</v>
      </c>
    </row>
    <row r="150" spans="1:8" x14ac:dyDescent="0.35">
      <c r="A150" t="s">
        <v>640</v>
      </c>
      <c r="B150">
        <v>2025</v>
      </c>
      <c r="C150" t="s">
        <v>641</v>
      </c>
      <c r="D150" t="s">
        <v>766</v>
      </c>
      <c r="E150" t="b">
        <v>1</v>
      </c>
      <c r="F150" t="s">
        <v>859</v>
      </c>
      <c r="G150" t="s">
        <v>181</v>
      </c>
      <c r="H150">
        <v>0.9</v>
      </c>
    </row>
    <row r="151" spans="1:8" x14ac:dyDescent="0.35">
      <c r="A151" t="s">
        <v>643</v>
      </c>
      <c r="B151">
        <v>2025</v>
      </c>
      <c r="C151" t="s">
        <v>644</v>
      </c>
      <c r="D151" t="s">
        <v>645</v>
      </c>
      <c r="E151" t="b">
        <v>1</v>
      </c>
      <c r="F151" t="s">
        <v>860</v>
      </c>
      <c r="G151" t="s">
        <v>181</v>
      </c>
      <c r="H151">
        <v>0.9</v>
      </c>
    </row>
    <row r="152" spans="1:8" x14ac:dyDescent="0.35">
      <c r="A152" t="s">
        <v>646</v>
      </c>
      <c r="B152">
        <v>2025</v>
      </c>
      <c r="C152" t="s">
        <v>647</v>
      </c>
      <c r="D152" t="s">
        <v>767</v>
      </c>
      <c r="E152" t="b">
        <v>1</v>
      </c>
      <c r="F152" t="s">
        <v>861</v>
      </c>
      <c r="G152" t="s">
        <v>181</v>
      </c>
      <c r="H152">
        <v>0.9</v>
      </c>
    </row>
    <row r="153" spans="1:8" x14ac:dyDescent="0.35">
      <c r="A153" t="s">
        <v>658</v>
      </c>
      <c r="B153">
        <v>2025</v>
      </c>
      <c r="C153" t="s">
        <v>659</v>
      </c>
      <c r="D153" t="s">
        <v>660</v>
      </c>
      <c r="E153" t="b">
        <v>1</v>
      </c>
      <c r="F153" t="s">
        <v>771</v>
      </c>
      <c r="G153" t="s">
        <v>205</v>
      </c>
      <c r="H153">
        <v>0.7</v>
      </c>
    </row>
    <row r="154" spans="1:8" x14ac:dyDescent="0.35">
      <c r="A154" t="s">
        <v>661</v>
      </c>
      <c r="B154">
        <v>2025</v>
      </c>
      <c r="C154" t="s">
        <v>662</v>
      </c>
      <c r="D154" t="s">
        <v>768</v>
      </c>
      <c r="E154" t="b">
        <v>1</v>
      </c>
      <c r="F154" t="s">
        <v>677</v>
      </c>
      <c r="G154" t="s">
        <v>181</v>
      </c>
      <c r="H154">
        <v>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6000-B170-40EA-8241-FE1490451DA5}">
  <dimension ref="A1:A154"/>
  <sheetViews>
    <sheetView workbookViewId="0">
      <selection sqref="A1:A154"/>
    </sheetView>
  </sheetViews>
  <sheetFormatPr defaultRowHeight="14.5" x14ac:dyDescent="0.35"/>
  <sheetData>
    <row r="1" spans="1:1" x14ac:dyDescent="0.35">
      <c r="A1" t="s">
        <v>0</v>
      </c>
    </row>
    <row r="2" spans="1:1" x14ac:dyDescent="0.35">
      <c r="A2" t="s">
        <v>8</v>
      </c>
    </row>
    <row r="3" spans="1:1" x14ac:dyDescent="0.35">
      <c r="A3" t="s">
        <v>10</v>
      </c>
    </row>
    <row r="4" spans="1:1" x14ac:dyDescent="0.35">
      <c r="A4" t="s">
        <v>12</v>
      </c>
    </row>
    <row r="5" spans="1:1" x14ac:dyDescent="0.35">
      <c r="A5" t="s">
        <v>14</v>
      </c>
    </row>
    <row r="6" spans="1:1" x14ac:dyDescent="0.35">
      <c r="A6" t="s">
        <v>16</v>
      </c>
    </row>
    <row r="7" spans="1:1" x14ac:dyDescent="0.35">
      <c r="A7" t="s">
        <v>19</v>
      </c>
    </row>
    <row r="8" spans="1:1" x14ac:dyDescent="0.35">
      <c r="A8" t="s">
        <v>21</v>
      </c>
    </row>
    <row r="9" spans="1:1" x14ac:dyDescent="0.35">
      <c r="A9" t="s">
        <v>23</v>
      </c>
    </row>
    <row r="10" spans="1:1" x14ac:dyDescent="0.35">
      <c r="A10" t="s">
        <v>24</v>
      </c>
    </row>
    <row r="11" spans="1:1" x14ac:dyDescent="0.35">
      <c r="A11" t="s">
        <v>27</v>
      </c>
    </row>
    <row r="12" spans="1:1" x14ac:dyDescent="0.35">
      <c r="A12" t="s">
        <v>30</v>
      </c>
    </row>
    <row r="13" spans="1:1" x14ac:dyDescent="0.35">
      <c r="A13" t="s">
        <v>31</v>
      </c>
    </row>
    <row r="14" spans="1:1" x14ac:dyDescent="0.35">
      <c r="A14" t="s">
        <v>32</v>
      </c>
    </row>
    <row r="15" spans="1:1" x14ac:dyDescent="0.35">
      <c r="A15" t="s">
        <v>42</v>
      </c>
    </row>
    <row r="16" spans="1:1" x14ac:dyDescent="0.35">
      <c r="A16" t="s">
        <v>45</v>
      </c>
    </row>
    <row r="17" spans="1:1" x14ac:dyDescent="0.35">
      <c r="A17" t="s">
        <v>47</v>
      </c>
    </row>
    <row r="18" spans="1:1" x14ac:dyDescent="0.35">
      <c r="A18" t="s">
        <v>49</v>
      </c>
    </row>
    <row r="19" spans="1:1" x14ac:dyDescent="0.35">
      <c r="A19" t="s">
        <v>50</v>
      </c>
    </row>
    <row r="20" spans="1:1" x14ac:dyDescent="0.35">
      <c r="A20" t="s">
        <v>57</v>
      </c>
    </row>
    <row r="21" spans="1:1" x14ac:dyDescent="0.35">
      <c r="A21" t="s">
        <v>60</v>
      </c>
    </row>
    <row r="22" spans="1:1" x14ac:dyDescent="0.35">
      <c r="A22" t="s">
        <v>62</v>
      </c>
    </row>
    <row r="23" spans="1:1" x14ac:dyDescent="0.35">
      <c r="A23" t="s">
        <v>66</v>
      </c>
    </row>
    <row r="24" spans="1:1" x14ac:dyDescent="0.35">
      <c r="A24" t="s">
        <v>69</v>
      </c>
    </row>
    <row r="25" spans="1:1" x14ac:dyDescent="0.35">
      <c r="A25" t="s">
        <v>71</v>
      </c>
    </row>
    <row r="26" spans="1:1" x14ac:dyDescent="0.35">
      <c r="A26" t="s">
        <v>74</v>
      </c>
    </row>
    <row r="27" spans="1:1" x14ac:dyDescent="0.35">
      <c r="A27" t="s">
        <v>76</v>
      </c>
    </row>
    <row r="28" spans="1:1" x14ac:dyDescent="0.35">
      <c r="A28" t="s">
        <v>78</v>
      </c>
    </row>
    <row r="29" spans="1:1" x14ac:dyDescent="0.35">
      <c r="A29" t="s">
        <v>83</v>
      </c>
    </row>
    <row r="30" spans="1:1" x14ac:dyDescent="0.35">
      <c r="A30" t="s">
        <v>85</v>
      </c>
    </row>
    <row r="31" spans="1:1" x14ac:dyDescent="0.35">
      <c r="A31" t="s">
        <v>89</v>
      </c>
    </row>
    <row r="32" spans="1:1" x14ac:dyDescent="0.35">
      <c r="A32" t="s">
        <v>91</v>
      </c>
    </row>
    <row r="33" spans="1:1" x14ac:dyDescent="0.35">
      <c r="A33" t="s">
        <v>94</v>
      </c>
    </row>
    <row r="34" spans="1:1" x14ac:dyDescent="0.35">
      <c r="A34" t="s">
        <v>97</v>
      </c>
    </row>
    <row r="35" spans="1:1" x14ac:dyDescent="0.35">
      <c r="A35" t="s">
        <v>99</v>
      </c>
    </row>
    <row r="36" spans="1:1" x14ac:dyDescent="0.35">
      <c r="A36" t="s">
        <v>103</v>
      </c>
    </row>
    <row r="37" spans="1:1" x14ac:dyDescent="0.35">
      <c r="A37" t="s">
        <v>106</v>
      </c>
    </row>
    <row r="38" spans="1:1" x14ac:dyDescent="0.35">
      <c r="A38" t="s">
        <v>221</v>
      </c>
    </row>
    <row r="39" spans="1:1" x14ac:dyDescent="0.35">
      <c r="A39" t="s">
        <v>224</v>
      </c>
    </row>
    <row r="40" spans="1:1" x14ac:dyDescent="0.35">
      <c r="A40" t="s">
        <v>230</v>
      </c>
    </row>
    <row r="41" spans="1:1" x14ac:dyDescent="0.35">
      <c r="A41" t="s">
        <v>233</v>
      </c>
    </row>
    <row r="42" spans="1:1" x14ac:dyDescent="0.35">
      <c r="A42" t="s">
        <v>236</v>
      </c>
    </row>
    <row r="43" spans="1:1" x14ac:dyDescent="0.35">
      <c r="A43" t="s">
        <v>239</v>
      </c>
    </row>
    <row r="44" spans="1:1" x14ac:dyDescent="0.35">
      <c r="A44" t="s">
        <v>242</v>
      </c>
    </row>
    <row r="45" spans="1:1" x14ac:dyDescent="0.35">
      <c r="A45" t="s">
        <v>245</v>
      </c>
    </row>
    <row r="46" spans="1:1" x14ac:dyDescent="0.35">
      <c r="A46" t="s">
        <v>251</v>
      </c>
    </row>
    <row r="47" spans="1:1" x14ac:dyDescent="0.35">
      <c r="A47" t="s">
        <v>254</v>
      </c>
    </row>
    <row r="48" spans="1:1" x14ac:dyDescent="0.35">
      <c r="A48" t="s">
        <v>257</v>
      </c>
    </row>
    <row r="49" spans="1:1" x14ac:dyDescent="0.35">
      <c r="A49" t="s">
        <v>263</v>
      </c>
    </row>
    <row r="50" spans="1:1" x14ac:dyDescent="0.35">
      <c r="A50" t="s">
        <v>266</v>
      </c>
    </row>
    <row r="51" spans="1:1" x14ac:dyDescent="0.35">
      <c r="A51" t="s">
        <v>269</v>
      </c>
    </row>
    <row r="52" spans="1:1" x14ac:dyDescent="0.35">
      <c r="A52" t="s">
        <v>278</v>
      </c>
    </row>
    <row r="53" spans="1:1" x14ac:dyDescent="0.35">
      <c r="A53" t="s">
        <v>281</v>
      </c>
    </row>
    <row r="54" spans="1:1" x14ac:dyDescent="0.35">
      <c r="A54" t="s">
        <v>287</v>
      </c>
    </row>
    <row r="55" spans="1:1" x14ac:dyDescent="0.35">
      <c r="A55" t="s">
        <v>290</v>
      </c>
    </row>
    <row r="56" spans="1:1" x14ac:dyDescent="0.35">
      <c r="A56" t="s">
        <v>293</v>
      </c>
    </row>
    <row r="57" spans="1:1" x14ac:dyDescent="0.35">
      <c r="A57" t="s">
        <v>296</v>
      </c>
    </row>
    <row r="58" spans="1:1" x14ac:dyDescent="0.35">
      <c r="A58" t="s">
        <v>311</v>
      </c>
    </row>
    <row r="59" spans="1:1" x14ac:dyDescent="0.35">
      <c r="A59" t="s">
        <v>317</v>
      </c>
    </row>
    <row r="60" spans="1:1" x14ac:dyDescent="0.35">
      <c r="A60" t="s">
        <v>326</v>
      </c>
    </row>
    <row r="61" spans="1:1" x14ac:dyDescent="0.35">
      <c r="A61" t="s">
        <v>329</v>
      </c>
    </row>
    <row r="62" spans="1:1" x14ac:dyDescent="0.35">
      <c r="A62" t="s">
        <v>332</v>
      </c>
    </row>
    <row r="63" spans="1:1" x14ac:dyDescent="0.35">
      <c r="A63" t="s">
        <v>338</v>
      </c>
    </row>
    <row r="64" spans="1:1" x14ac:dyDescent="0.35">
      <c r="A64" t="s">
        <v>344</v>
      </c>
    </row>
    <row r="65" spans="1:1" x14ac:dyDescent="0.35">
      <c r="A65" t="s">
        <v>347</v>
      </c>
    </row>
    <row r="66" spans="1:1" x14ac:dyDescent="0.35">
      <c r="A66" t="s">
        <v>350</v>
      </c>
    </row>
    <row r="67" spans="1:1" x14ac:dyDescent="0.35">
      <c r="A67" t="s">
        <v>353</v>
      </c>
    </row>
    <row r="68" spans="1:1" x14ac:dyDescent="0.35">
      <c r="A68" t="s">
        <v>362</v>
      </c>
    </row>
    <row r="69" spans="1:1" x14ac:dyDescent="0.35">
      <c r="A69" t="s">
        <v>365</v>
      </c>
    </row>
    <row r="70" spans="1:1" x14ac:dyDescent="0.35">
      <c r="A70" t="s">
        <v>368</v>
      </c>
    </row>
    <row r="71" spans="1:1" x14ac:dyDescent="0.35">
      <c r="A71" t="s">
        <v>374</v>
      </c>
    </row>
    <row r="72" spans="1:1" x14ac:dyDescent="0.35">
      <c r="A72" t="s">
        <v>377</v>
      </c>
    </row>
    <row r="73" spans="1:1" x14ac:dyDescent="0.35">
      <c r="A73" t="s">
        <v>380</v>
      </c>
    </row>
    <row r="74" spans="1:1" x14ac:dyDescent="0.35">
      <c r="A74" t="s">
        <v>383</v>
      </c>
    </row>
    <row r="75" spans="1:1" x14ac:dyDescent="0.35">
      <c r="A75" t="s">
        <v>386</v>
      </c>
    </row>
    <row r="76" spans="1:1" x14ac:dyDescent="0.35">
      <c r="A76" t="s">
        <v>398</v>
      </c>
    </row>
    <row r="77" spans="1:1" x14ac:dyDescent="0.35">
      <c r="A77" t="s">
        <v>401</v>
      </c>
    </row>
    <row r="78" spans="1:1" x14ac:dyDescent="0.35">
      <c r="A78" t="s">
        <v>404</v>
      </c>
    </row>
    <row r="79" spans="1:1" x14ac:dyDescent="0.35">
      <c r="A79" t="s">
        <v>407</v>
      </c>
    </row>
    <row r="80" spans="1:1" x14ac:dyDescent="0.35">
      <c r="A80" t="s">
        <v>410</v>
      </c>
    </row>
    <row r="81" spans="1:1" x14ac:dyDescent="0.35">
      <c r="A81" t="s">
        <v>413</v>
      </c>
    </row>
    <row r="82" spans="1:1" x14ac:dyDescent="0.35">
      <c r="A82" t="s">
        <v>416</v>
      </c>
    </row>
    <row r="83" spans="1:1" x14ac:dyDescent="0.35">
      <c r="A83" t="s">
        <v>419</v>
      </c>
    </row>
    <row r="84" spans="1:1" x14ac:dyDescent="0.35">
      <c r="A84" t="s">
        <v>422</v>
      </c>
    </row>
    <row r="85" spans="1:1" x14ac:dyDescent="0.35">
      <c r="A85" t="s">
        <v>425</v>
      </c>
    </row>
    <row r="86" spans="1:1" x14ac:dyDescent="0.35">
      <c r="A86" t="s">
        <v>428</v>
      </c>
    </row>
    <row r="87" spans="1:1" x14ac:dyDescent="0.35">
      <c r="A87" t="s">
        <v>431</v>
      </c>
    </row>
    <row r="88" spans="1:1" x14ac:dyDescent="0.35">
      <c r="A88" t="s">
        <v>434</v>
      </c>
    </row>
    <row r="89" spans="1:1" x14ac:dyDescent="0.35">
      <c r="A89" t="s">
        <v>437</v>
      </c>
    </row>
    <row r="90" spans="1:1" x14ac:dyDescent="0.35">
      <c r="A90" t="s">
        <v>440</v>
      </c>
    </row>
    <row r="91" spans="1:1" x14ac:dyDescent="0.35">
      <c r="A91" t="s">
        <v>443</v>
      </c>
    </row>
    <row r="92" spans="1:1" x14ac:dyDescent="0.35">
      <c r="A92" t="s">
        <v>446</v>
      </c>
    </row>
    <row r="93" spans="1:1" x14ac:dyDescent="0.35">
      <c r="A93" t="s">
        <v>449</v>
      </c>
    </row>
    <row r="94" spans="1:1" x14ac:dyDescent="0.35">
      <c r="A94" t="s">
        <v>452</v>
      </c>
    </row>
    <row r="95" spans="1:1" x14ac:dyDescent="0.35">
      <c r="A95" t="s">
        <v>461</v>
      </c>
    </row>
    <row r="96" spans="1:1" x14ac:dyDescent="0.35">
      <c r="A96" t="s">
        <v>464</v>
      </c>
    </row>
    <row r="97" spans="1:1" x14ac:dyDescent="0.35">
      <c r="A97" t="s">
        <v>467</v>
      </c>
    </row>
    <row r="98" spans="1:1" x14ac:dyDescent="0.35">
      <c r="A98" t="s">
        <v>470</v>
      </c>
    </row>
    <row r="99" spans="1:1" x14ac:dyDescent="0.35">
      <c r="A99" t="s">
        <v>473</v>
      </c>
    </row>
    <row r="100" spans="1:1" x14ac:dyDescent="0.35">
      <c r="A100" t="s">
        <v>476</v>
      </c>
    </row>
    <row r="101" spans="1:1" x14ac:dyDescent="0.35">
      <c r="A101" t="s">
        <v>479</v>
      </c>
    </row>
    <row r="102" spans="1:1" x14ac:dyDescent="0.35">
      <c r="A102" t="s">
        <v>482</v>
      </c>
    </row>
    <row r="103" spans="1:1" x14ac:dyDescent="0.35">
      <c r="A103" t="s">
        <v>485</v>
      </c>
    </row>
    <row r="104" spans="1:1" x14ac:dyDescent="0.35">
      <c r="A104" t="s">
        <v>488</v>
      </c>
    </row>
    <row r="105" spans="1:1" x14ac:dyDescent="0.35">
      <c r="A105" t="s">
        <v>491</v>
      </c>
    </row>
    <row r="106" spans="1:1" x14ac:dyDescent="0.35">
      <c r="A106" t="s">
        <v>494</v>
      </c>
    </row>
    <row r="107" spans="1:1" x14ac:dyDescent="0.35">
      <c r="A107" t="s">
        <v>497</v>
      </c>
    </row>
    <row r="108" spans="1:1" x14ac:dyDescent="0.35">
      <c r="A108" t="s">
        <v>500</v>
      </c>
    </row>
    <row r="109" spans="1:1" x14ac:dyDescent="0.35">
      <c r="A109" t="s">
        <v>506</v>
      </c>
    </row>
    <row r="110" spans="1:1" x14ac:dyDescent="0.35">
      <c r="A110" t="s">
        <v>509</v>
      </c>
    </row>
    <row r="111" spans="1:1" x14ac:dyDescent="0.35">
      <c r="A111" t="s">
        <v>512</v>
      </c>
    </row>
    <row r="112" spans="1:1" x14ac:dyDescent="0.35">
      <c r="A112" t="s">
        <v>515</v>
      </c>
    </row>
    <row r="113" spans="1:1" x14ac:dyDescent="0.35">
      <c r="A113" t="s">
        <v>518</v>
      </c>
    </row>
    <row r="114" spans="1:1" x14ac:dyDescent="0.35">
      <c r="A114" t="s">
        <v>520</v>
      </c>
    </row>
    <row r="115" spans="1:1" x14ac:dyDescent="0.35">
      <c r="A115" t="s">
        <v>523</v>
      </c>
    </row>
    <row r="116" spans="1:1" x14ac:dyDescent="0.35">
      <c r="A116" t="s">
        <v>526</v>
      </c>
    </row>
    <row r="117" spans="1:1" x14ac:dyDescent="0.35">
      <c r="A117" t="s">
        <v>529</v>
      </c>
    </row>
    <row r="118" spans="1:1" x14ac:dyDescent="0.35">
      <c r="A118" t="s">
        <v>532</v>
      </c>
    </row>
    <row r="119" spans="1:1" x14ac:dyDescent="0.35">
      <c r="A119" t="s">
        <v>535</v>
      </c>
    </row>
    <row r="120" spans="1:1" x14ac:dyDescent="0.35">
      <c r="A120" t="s">
        <v>538</v>
      </c>
    </row>
    <row r="121" spans="1:1" x14ac:dyDescent="0.35">
      <c r="A121" t="s">
        <v>541</v>
      </c>
    </row>
    <row r="122" spans="1:1" x14ac:dyDescent="0.35">
      <c r="A122" t="s">
        <v>544</v>
      </c>
    </row>
    <row r="123" spans="1:1" x14ac:dyDescent="0.35">
      <c r="A123" t="s">
        <v>547</v>
      </c>
    </row>
    <row r="124" spans="1:1" x14ac:dyDescent="0.35">
      <c r="A124" t="s">
        <v>550</v>
      </c>
    </row>
    <row r="125" spans="1:1" x14ac:dyDescent="0.35">
      <c r="A125" t="s">
        <v>553</v>
      </c>
    </row>
    <row r="126" spans="1:1" x14ac:dyDescent="0.35">
      <c r="A126" t="s">
        <v>556</v>
      </c>
    </row>
    <row r="127" spans="1:1" x14ac:dyDescent="0.35">
      <c r="A127" t="s">
        <v>559</v>
      </c>
    </row>
    <row r="128" spans="1:1" x14ac:dyDescent="0.35">
      <c r="A128" t="s">
        <v>562</v>
      </c>
    </row>
    <row r="129" spans="1:1" x14ac:dyDescent="0.35">
      <c r="A129" t="s">
        <v>565</v>
      </c>
    </row>
    <row r="130" spans="1:1" x14ac:dyDescent="0.35">
      <c r="A130" t="s">
        <v>568</v>
      </c>
    </row>
    <row r="131" spans="1:1" x14ac:dyDescent="0.35">
      <c r="A131" t="s">
        <v>571</v>
      </c>
    </row>
    <row r="132" spans="1:1" x14ac:dyDescent="0.35">
      <c r="A132" t="s">
        <v>574</v>
      </c>
    </row>
    <row r="133" spans="1:1" x14ac:dyDescent="0.35">
      <c r="A133" t="s">
        <v>583</v>
      </c>
    </row>
    <row r="134" spans="1:1" x14ac:dyDescent="0.35">
      <c r="A134" t="s">
        <v>588</v>
      </c>
    </row>
    <row r="135" spans="1:1" x14ac:dyDescent="0.35">
      <c r="A135" t="s">
        <v>591</v>
      </c>
    </row>
    <row r="136" spans="1:1" x14ac:dyDescent="0.35">
      <c r="A136" t="s">
        <v>594</v>
      </c>
    </row>
    <row r="137" spans="1:1" x14ac:dyDescent="0.35">
      <c r="A137" t="s">
        <v>597</v>
      </c>
    </row>
    <row r="138" spans="1:1" x14ac:dyDescent="0.35">
      <c r="A138" t="s">
        <v>600</v>
      </c>
    </row>
    <row r="139" spans="1:1" x14ac:dyDescent="0.35">
      <c r="A139" t="s">
        <v>603</v>
      </c>
    </row>
    <row r="140" spans="1:1" x14ac:dyDescent="0.35">
      <c r="A140" t="s">
        <v>605</v>
      </c>
    </row>
    <row r="141" spans="1:1" x14ac:dyDescent="0.35">
      <c r="A141" t="s">
        <v>608</v>
      </c>
    </row>
    <row r="142" spans="1:1" x14ac:dyDescent="0.35">
      <c r="A142" t="s">
        <v>611</v>
      </c>
    </row>
    <row r="143" spans="1:1" x14ac:dyDescent="0.35">
      <c r="A143" t="s">
        <v>613</v>
      </c>
    </row>
    <row r="144" spans="1:1" x14ac:dyDescent="0.35">
      <c r="A144" t="s">
        <v>619</v>
      </c>
    </row>
    <row r="145" spans="1:1" x14ac:dyDescent="0.35">
      <c r="A145" t="s">
        <v>622</v>
      </c>
    </row>
    <row r="146" spans="1:1" x14ac:dyDescent="0.35">
      <c r="A146" t="s">
        <v>625</v>
      </c>
    </row>
    <row r="147" spans="1:1" x14ac:dyDescent="0.35">
      <c r="A147" t="s">
        <v>628</v>
      </c>
    </row>
    <row r="148" spans="1:1" x14ac:dyDescent="0.35">
      <c r="A148" t="s">
        <v>634</v>
      </c>
    </row>
    <row r="149" spans="1:1" x14ac:dyDescent="0.35">
      <c r="A149" t="s">
        <v>637</v>
      </c>
    </row>
    <row r="150" spans="1:1" x14ac:dyDescent="0.35">
      <c r="A150" t="s">
        <v>640</v>
      </c>
    </row>
    <row r="151" spans="1:1" x14ac:dyDescent="0.35">
      <c r="A151" t="s">
        <v>643</v>
      </c>
    </row>
    <row r="152" spans="1:1" x14ac:dyDescent="0.35">
      <c r="A152" t="s">
        <v>646</v>
      </c>
    </row>
    <row r="153" spans="1:1" x14ac:dyDescent="0.35">
      <c r="A153" t="s">
        <v>658</v>
      </c>
    </row>
    <row r="154" spans="1:1" x14ac:dyDescent="0.35">
      <c r="A154" t="s">
        <v>661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4052-2545-45A0-857B-B79114EE9774}">
  <sheetPr filterMode="1"/>
  <dimension ref="A1:H201"/>
  <sheetViews>
    <sheetView workbookViewId="0">
      <selection activeCell="E1" sqref="E1:G1048576"/>
    </sheetView>
  </sheetViews>
  <sheetFormatPr defaultRowHeight="14.5" x14ac:dyDescent="0.35"/>
  <sheetData>
    <row r="1" spans="1:8" ht="15" thickBot="1" x14ac:dyDescent="0.4">
      <c r="A1" t="s">
        <v>108</v>
      </c>
      <c r="B1" t="s">
        <v>1</v>
      </c>
      <c r="C1" t="s">
        <v>2</v>
      </c>
      <c r="D1" t="s">
        <v>3</v>
      </c>
      <c r="E1" s="3" t="s">
        <v>109</v>
      </c>
      <c r="F1" s="4" t="s">
        <v>110</v>
      </c>
      <c r="G1" t="s">
        <v>175</v>
      </c>
      <c r="H1" t="s">
        <v>174</v>
      </c>
    </row>
    <row r="2" spans="1:8" hidden="1" x14ac:dyDescent="0.35">
      <c r="A2" t="s">
        <v>4</v>
      </c>
      <c r="B2">
        <v>2019</v>
      </c>
      <c r="C2" t="s">
        <v>5</v>
      </c>
      <c r="D2" t="s">
        <v>111</v>
      </c>
      <c r="E2" t="s">
        <v>112</v>
      </c>
      <c r="F2" t="s">
        <v>199</v>
      </c>
      <c r="G2" t="b">
        <f>IF(E2="Include", TRUE, FALSE)</f>
        <v>1</v>
      </c>
      <c r="H2" t="e">
        <f>VLOOKUP(A2,ID_Lookup!$A:$A,1,FALSE)</f>
        <v>#N/A</v>
      </c>
    </row>
    <row r="3" spans="1:8" hidden="1" x14ac:dyDescent="0.35">
      <c r="A3" t="s">
        <v>6</v>
      </c>
      <c r="B3">
        <v>2019</v>
      </c>
      <c r="C3" t="s">
        <v>7</v>
      </c>
      <c r="D3" t="s">
        <v>113</v>
      </c>
      <c r="E3" t="s">
        <v>112</v>
      </c>
      <c r="F3" t="s">
        <v>199</v>
      </c>
      <c r="G3" t="b">
        <f t="shared" ref="G3:G66" si="0">IF(E3="Include", TRUE, FALSE)</f>
        <v>1</v>
      </c>
      <c r="H3" t="e">
        <f>VLOOKUP(A3,ID_Lookup!$A:$A,1,FALSE)</f>
        <v>#N/A</v>
      </c>
    </row>
    <row r="4" spans="1:8" x14ac:dyDescent="0.35">
      <c r="A4" t="s">
        <v>8</v>
      </c>
      <c r="B4">
        <v>2019</v>
      </c>
      <c r="C4" t="s">
        <v>9</v>
      </c>
      <c r="D4" t="s">
        <v>114</v>
      </c>
      <c r="E4" t="s">
        <v>112</v>
      </c>
      <c r="F4" t="s">
        <v>199</v>
      </c>
      <c r="G4" t="b">
        <f t="shared" si="0"/>
        <v>1</v>
      </c>
      <c r="H4" t="str">
        <f>VLOOKUP(A4,ID_Lookup!$A:$A,1,FALSE)</f>
        <v>J502</v>
      </c>
    </row>
    <row r="5" spans="1:8" x14ac:dyDescent="0.35">
      <c r="A5" t="s">
        <v>10</v>
      </c>
      <c r="B5">
        <v>2019</v>
      </c>
      <c r="C5" t="s">
        <v>11</v>
      </c>
      <c r="D5" t="s">
        <v>115</v>
      </c>
      <c r="E5" t="s">
        <v>112</v>
      </c>
      <c r="F5" t="s">
        <v>199</v>
      </c>
      <c r="G5" t="b">
        <f t="shared" si="0"/>
        <v>1</v>
      </c>
      <c r="H5" t="str">
        <f>VLOOKUP(A5,ID_Lookup!$A:$A,1,FALSE)</f>
        <v>J503</v>
      </c>
    </row>
    <row r="6" spans="1:8" x14ac:dyDescent="0.35">
      <c r="A6" t="s">
        <v>12</v>
      </c>
      <c r="B6">
        <v>2019</v>
      </c>
      <c r="C6" t="s">
        <v>13</v>
      </c>
      <c r="D6" t="s">
        <v>116</v>
      </c>
      <c r="E6" t="s">
        <v>112</v>
      </c>
      <c r="F6" t="s">
        <v>199</v>
      </c>
      <c r="G6" t="b">
        <f t="shared" si="0"/>
        <v>1</v>
      </c>
      <c r="H6" t="str">
        <f>VLOOKUP(A6,ID_Lookup!$A:$A,1,FALSE)</f>
        <v>J504</v>
      </c>
    </row>
    <row r="7" spans="1:8" x14ac:dyDescent="0.35">
      <c r="A7" t="s">
        <v>14</v>
      </c>
      <c r="B7">
        <v>2019</v>
      </c>
      <c r="C7" t="s">
        <v>15</v>
      </c>
      <c r="D7" t="s">
        <v>117</v>
      </c>
      <c r="E7" t="s">
        <v>112</v>
      </c>
      <c r="F7" t="s">
        <v>199</v>
      </c>
      <c r="G7" t="b">
        <f t="shared" si="0"/>
        <v>1</v>
      </c>
      <c r="H7" t="str">
        <f>VLOOKUP(A7,ID_Lookup!$A:$A,1,FALSE)</f>
        <v>J505</v>
      </c>
    </row>
    <row r="8" spans="1:8" x14ac:dyDescent="0.35">
      <c r="A8" t="s">
        <v>16</v>
      </c>
      <c r="B8">
        <v>2019</v>
      </c>
      <c r="C8" t="s">
        <v>17</v>
      </c>
      <c r="D8" t="s">
        <v>118</v>
      </c>
      <c r="E8" t="s">
        <v>112</v>
      </c>
      <c r="F8" t="s">
        <v>199</v>
      </c>
      <c r="G8" t="b">
        <f t="shared" si="0"/>
        <v>1</v>
      </c>
      <c r="H8" t="str">
        <f>VLOOKUP(A8,ID_Lookup!$A:$A,1,FALSE)</f>
        <v>J506</v>
      </c>
    </row>
    <row r="9" spans="1:8" hidden="1" x14ac:dyDescent="0.35">
      <c r="A9" t="s">
        <v>18</v>
      </c>
      <c r="B9">
        <v>2019</v>
      </c>
      <c r="C9" t="s">
        <v>119</v>
      </c>
      <c r="D9" t="s">
        <v>120</v>
      </c>
      <c r="E9" t="s">
        <v>112</v>
      </c>
      <c r="F9" t="s">
        <v>199</v>
      </c>
      <c r="G9" t="b">
        <f t="shared" si="0"/>
        <v>1</v>
      </c>
      <c r="H9" t="e">
        <f>VLOOKUP(A9,ID_Lookup!$A:$A,1,FALSE)</f>
        <v>#N/A</v>
      </c>
    </row>
    <row r="10" spans="1:8" x14ac:dyDescent="0.35">
      <c r="A10" t="s">
        <v>19</v>
      </c>
      <c r="B10">
        <v>2019</v>
      </c>
      <c r="C10" t="s">
        <v>20</v>
      </c>
      <c r="D10" t="s">
        <v>121</v>
      </c>
      <c r="E10" t="s">
        <v>112</v>
      </c>
      <c r="F10" t="s">
        <v>199</v>
      </c>
      <c r="G10" t="b">
        <f t="shared" si="0"/>
        <v>1</v>
      </c>
      <c r="H10" t="str">
        <f>VLOOKUP(A10,ID_Lookup!$A:$A,1,FALSE)</f>
        <v>J508</v>
      </c>
    </row>
    <row r="11" spans="1:8" x14ac:dyDescent="0.35">
      <c r="A11" t="s">
        <v>21</v>
      </c>
      <c r="B11">
        <v>2019</v>
      </c>
      <c r="C11" t="s">
        <v>22</v>
      </c>
      <c r="D11" t="s">
        <v>122</v>
      </c>
      <c r="E11" t="s">
        <v>112</v>
      </c>
      <c r="F11" t="s">
        <v>199</v>
      </c>
      <c r="G11" t="b">
        <f t="shared" si="0"/>
        <v>1</v>
      </c>
      <c r="H11" t="str">
        <f>VLOOKUP(A11,ID_Lookup!$A:$A,1,FALSE)</f>
        <v>J509</v>
      </c>
    </row>
    <row r="12" spans="1:8" x14ac:dyDescent="0.35">
      <c r="A12" t="s">
        <v>23</v>
      </c>
      <c r="B12">
        <v>2019</v>
      </c>
      <c r="C12" t="s">
        <v>123</v>
      </c>
      <c r="D12" t="s">
        <v>124</v>
      </c>
      <c r="E12" t="s">
        <v>112</v>
      </c>
      <c r="F12" t="s">
        <v>199</v>
      </c>
      <c r="G12" t="b">
        <f t="shared" si="0"/>
        <v>1</v>
      </c>
      <c r="H12" t="str">
        <f>VLOOKUP(A12,ID_Lookup!$A:$A,1,FALSE)</f>
        <v>J510</v>
      </c>
    </row>
    <row r="13" spans="1:8" x14ac:dyDescent="0.35">
      <c r="A13" t="s">
        <v>24</v>
      </c>
      <c r="B13">
        <v>2019</v>
      </c>
      <c r="C13" t="s">
        <v>25</v>
      </c>
      <c r="D13" t="s">
        <v>26</v>
      </c>
      <c r="E13" t="s">
        <v>112</v>
      </c>
      <c r="F13" t="s">
        <v>199</v>
      </c>
      <c r="G13" t="b">
        <f t="shared" si="0"/>
        <v>1</v>
      </c>
      <c r="H13" t="str">
        <f>VLOOKUP(A13,ID_Lookup!$A:$A,1,FALSE)</f>
        <v>J511</v>
      </c>
    </row>
    <row r="14" spans="1:8" x14ac:dyDescent="0.35">
      <c r="A14" t="s">
        <v>27</v>
      </c>
      <c r="B14">
        <v>2019</v>
      </c>
      <c r="C14" t="s">
        <v>28</v>
      </c>
      <c r="D14" t="s">
        <v>29</v>
      </c>
      <c r="E14" t="s">
        <v>112</v>
      </c>
      <c r="F14" t="s">
        <v>199</v>
      </c>
      <c r="G14" t="b">
        <f t="shared" si="0"/>
        <v>1</v>
      </c>
      <c r="H14" t="str">
        <f>VLOOKUP(A14,ID_Lookup!$A:$A,1,FALSE)</f>
        <v>J512</v>
      </c>
    </row>
    <row r="15" spans="1:8" x14ac:dyDescent="0.35">
      <c r="A15" t="s">
        <v>30</v>
      </c>
      <c r="B15">
        <v>2019</v>
      </c>
      <c r="C15" t="s">
        <v>125</v>
      </c>
      <c r="D15" t="s">
        <v>126</v>
      </c>
      <c r="E15" t="s">
        <v>112</v>
      </c>
      <c r="F15" t="s">
        <v>199</v>
      </c>
      <c r="G15" t="b">
        <f t="shared" si="0"/>
        <v>1</v>
      </c>
      <c r="H15" t="str">
        <f>VLOOKUP(A15,ID_Lookup!$A:$A,1,FALSE)</f>
        <v>J513</v>
      </c>
    </row>
    <row r="16" spans="1:8" x14ac:dyDescent="0.35">
      <c r="A16" t="s">
        <v>31</v>
      </c>
      <c r="B16">
        <v>2019</v>
      </c>
      <c r="C16" t="s">
        <v>127</v>
      </c>
      <c r="D16" t="s">
        <v>128</v>
      </c>
      <c r="E16" t="s">
        <v>112</v>
      </c>
      <c r="F16" t="s">
        <v>199</v>
      </c>
      <c r="G16" t="b">
        <f t="shared" si="0"/>
        <v>1</v>
      </c>
      <c r="H16" t="str">
        <f>VLOOKUP(A16,ID_Lookup!$A:$A,1,FALSE)</f>
        <v>J514</v>
      </c>
    </row>
    <row r="17" spans="1:8" x14ac:dyDescent="0.35">
      <c r="A17" t="s">
        <v>32</v>
      </c>
      <c r="B17">
        <v>2019</v>
      </c>
      <c r="C17" t="s">
        <v>33</v>
      </c>
      <c r="D17" t="s">
        <v>129</v>
      </c>
      <c r="E17" t="s">
        <v>112</v>
      </c>
      <c r="F17" t="s">
        <v>199</v>
      </c>
      <c r="G17" t="b">
        <f t="shared" si="0"/>
        <v>1</v>
      </c>
      <c r="H17" t="str">
        <f>VLOOKUP(A17,ID_Lookup!$A:$A,1,FALSE)</f>
        <v>J515</v>
      </c>
    </row>
    <row r="18" spans="1:8" hidden="1" x14ac:dyDescent="0.35">
      <c r="A18" t="s">
        <v>34</v>
      </c>
      <c r="B18">
        <v>2019</v>
      </c>
      <c r="C18" t="s">
        <v>35</v>
      </c>
      <c r="D18" t="s">
        <v>130</v>
      </c>
      <c r="E18" t="s">
        <v>112</v>
      </c>
      <c r="F18" t="s">
        <v>199</v>
      </c>
      <c r="G18" t="b">
        <f t="shared" si="0"/>
        <v>1</v>
      </c>
      <c r="H18" t="e">
        <f>VLOOKUP(A18,ID_Lookup!$A:$A,1,FALSE)</f>
        <v>#N/A</v>
      </c>
    </row>
    <row r="19" spans="1:8" s="2" customFormat="1" hidden="1" x14ac:dyDescent="0.35">
      <c r="A19" s="2" t="s">
        <v>36</v>
      </c>
      <c r="B19" s="2">
        <v>2019</v>
      </c>
      <c r="C19" s="2" t="s">
        <v>37</v>
      </c>
      <c r="D19" s="2" t="s">
        <v>131</v>
      </c>
      <c r="E19" t="s">
        <v>112</v>
      </c>
      <c r="F19" t="s">
        <v>199</v>
      </c>
      <c r="G19" t="b">
        <f t="shared" si="0"/>
        <v>1</v>
      </c>
      <c r="H19" t="e">
        <f>VLOOKUP(A19,ID_Lookup!$A:$A,1,FALSE)</f>
        <v>#N/A</v>
      </c>
    </row>
    <row r="20" spans="1:8" hidden="1" x14ac:dyDescent="0.35">
      <c r="A20" t="s">
        <v>38</v>
      </c>
      <c r="B20">
        <v>2019</v>
      </c>
      <c r="C20" t="s">
        <v>39</v>
      </c>
      <c r="D20" t="s">
        <v>132</v>
      </c>
      <c r="E20" t="s">
        <v>112</v>
      </c>
      <c r="F20" t="s">
        <v>199</v>
      </c>
      <c r="G20" t="b">
        <f t="shared" si="0"/>
        <v>1</v>
      </c>
      <c r="H20" t="e">
        <f>VLOOKUP(A20,ID_Lookup!$A:$A,1,FALSE)</f>
        <v>#N/A</v>
      </c>
    </row>
    <row r="21" spans="1:8" hidden="1" x14ac:dyDescent="0.35">
      <c r="A21" t="s">
        <v>40</v>
      </c>
      <c r="B21">
        <v>2019</v>
      </c>
      <c r="C21" t="s">
        <v>41</v>
      </c>
      <c r="D21" t="s">
        <v>133</v>
      </c>
      <c r="E21" t="s">
        <v>112</v>
      </c>
      <c r="F21" t="s">
        <v>199</v>
      </c>
      <c r="G21" t="b">
        <f t="shared" si="0"/>
        <v>1</v>
      </c>
      <c r="H21" t="e">
        <f>VLOOKUP(A21,ID_Lookup!$A:$A,1,FALSE)</f>
        <v>#N/A</v>
      </c>
    </row>
    <row r="22" spans="1:8" x14ac:dyDescent="0.35">
      <c r="A22" t="s">
        <v>42</v>
      </c>
      <c r="B22">
        <v>2019</v>
      </c>
      <c r="C22" t="s">
        <v>43</v>
      </c>
      <c r="D22" t="s">
        <v>44</v>
      </c>
      <c r="E22" t="s">
        <v>112</v>
      </c>
      <c r="F22" t="s">
        <v>199</v>
      </c>
      <c r="G22" t="b">
        <f t="shared" si="0"/>
        <v>1</v>
      </c>
      <c r="H22" t="str">
        <f>VLOOKUP(A22,ID_Lookup!$A:$A,1,FALSE)</f>
        <v>J520</v>
      </c>
    </row>
    <row r="23" spans="1:8" x14ac:dyDescent="0.35">
      <c r="A23" t="s">
        <v>45</v>
      </c>
      <c r="B23">
        <v>2019</v>
      </c>
      <c r="C23" t="s">
        <v>46</v>
      </c>
      <c r="D23" t="s">
        <v>134</v>
      </c>
      <c r="E23" t="s">
        <v>112</v>
      </c>
      <c r="F23" t="s">
        <v>199</v>
      </c>
      <c r="G23" t="b">
        <f t="shared" si="0"/>
        <v>1</v>
      </c>
      <c r="H23" t="str">
        <f>VLOOKUP(A23,ID_Lookup!$A:$A,1,FALSE)</f>
        <v>J521</v>
      </c>
    </row>
    <row r="24" spans="1:8" x14ac:dyDescent="0.35">
      <c r="A24" t="s">
        <v>47</v>
      </c>
      <c r="B24">
        <v>2019</v>
      </c>
      <c r="C24" t="s">
        <v>48</v>
      </c>
      <c r="D24" t="s">
        <v>135</v>
      </c>
      <c r="E24" t="s">
        <v>112</v>
      </c>
      <c r="F24" t="s">
        <v>199</v>
      </c>
      <c r="G24" t="b">
        <f t="shared" si="0"/>
        <v>1</v>
      </c>
      <c r="H24" t="str">
        <f>VLOOKUP(A24,ID_Lookup!$A:$A,1,FALSE)</f>
        <v>J522</v>
      </c>
    </row>
    <row r="25" spans="1:8" x14ac:dyDescent="0.35">
      <c r="A25" t="s">
        <v>49</v>
      </c>
      <c r="B25">
        <v>2019</v>
      </c>
      <c r="C25" t="s">
        <v>136</v>
      </c>
      <c r="D25" t="s">
        <v>137</v>
      </c>
      <c r="E25" t="s">
        <v>112</v>
      </c>
      <c r="F25" t="s">
        <v>199</v>
      </c>
      <c r="G25" t="b">
        <f t="shared" si="0"/>
        <v>1</v>
      </c>
      <c r="H25" t="str">
        <f>VLOOKUP(A25,ID_Lookup!$A:$A,1,FALSE)</f>
        <v>J523</v>
      </c>
    </row>
    <row r="26" spans="1:8" x14ac:dyDescent="0.35">
      <c r="A26" t="s">
        <v>50</v>
      </c>
      <c r="B26">
        <v>2019</v>
      </c>
      <c r="C26" t="s">
        <v>138</v>
      </c>
      <c r="D26" t="s">
        <v>139</v>
      </c>
      <c r="E26" t="s">
        <v>112</v>
      </c>
      <c r="F26" t="s">
        <v>199</v>
      </c>
      <c r="G26" t="b">
        <f t="shared" si="0"/>
        <v>1</v>
      </c>
      <c r="H26" t="str">
        <f>VLOOKUP(A26,ID_Lookup!$A:$A,1,FALSE)</f>
        <v>J524</v>
      </c>
    </row>
    <row r="27" spans="1:8" hidden="1" x14ac:dyDescent="0.35">
      <c r="A27" t="s">
        <v>51</v>
      </c>
      <c r="B27">
        <v>2019</v>
      </c>
      <c r="C27" t="s">
        <v>52</v>
      </c>
      <c r="D27" t="s">
        <v>53</v>
      </c>
      <c r="E27" t="s">
        <v>112</v>
      </c>
      <c r="F27" t="s">
        <v>199</v>
      </c>
      <c r="G27" t="b">
        <f t="shared" si="0"/>
        <v>1</v>
      </c>
      <c r="H27" t="e">
        <f>VLOOKUP(A27,ID_Lookup!$A:$A,1,FALSE)</f>
        <v>#N/A</v>
      </c>
    </row>
    <row r="28" spans="1:8" hidden="1" x14ac:dyDescent="0.35">
      <c r="A28" t="s">
        <v>54</v>
      </c>
      <c r="B28">
        <v>2019</v>
      </c>
      <c r="C28" t="s">
        <v>55</v>
      </c>
      <c r="D28" t="s">
        <v>56</v>
      </c>
      <c r="E28" t="s">
        <v>112</v>
      </c>
      <c r="F28" t="s">
        <v>199</v>
      </c>
      <c r="G28" t="b">
        <f t="shared" si="0"/>
        <v>1</v>
      </c>
      <c r="H28" t="e">
        <f>VLOOKUP(A28,ID_Lookup!$A:$A,1,FALSE)</f>
        <v>#N/A</v>
      </c>
    </row>
    <row r="29" spans="1:8" x14ac:dyDescent="0.35">
      <c r="A29" t="s">
        <v>57</v>
      </c>
      <c r="B29">
        <v>2019</v>
      </c>
      <c r="C29" t="s">
        <v>58</v>
      </c>
      <c r="D29" t="s">
        <v>140</v>
      </c>
      <c r="E29" t="s">
        <v>112</v>
      </c>
      <c r="F29" t="s">
        <v>199</v>
      </c>
      <c r="G29" t="b">
        <f t="shared" si="0"/>
        <v>1</v>
      </c>
      <c r="H29" t="str">
        <f>VLOOKUP(A29,ID_Lookup!$A:$A,1,FALSE)</f>
        <v>J527</v>
      </c>
    </row>
    <row r="30" spans="1:8" hidden="1" x14ac:dyDescent="0.35">
      <c r="A30" t="s">
        <v>59</v>
      </c>
      <c r="B30">
        <v>2019</v>
      </c>
      <c r="C30" t="s">
        <v>141</v>
      </c>
      <c r="D30" t="s">
        <v>142</v>
      </c>
      <c r="E30" t="s">
        <v>112</v>
      </c>
      <c r="F30" t="s">
        <v>199</v>
      </c>
      <c r="G30" t="b">
        <f t="shared" si="0"/>
        <v>1</v>
      </c>
      <c r="H30" t="e">
        <f>VLOOKUP(A30,ID_Lookup!$A:$A,1,FALSE)</f>
        <v>#N/A</v>
      </c>
    </row>
    <row r="31" spans="1:8" x14ac:dyDescent="0.35">
      <c r="A31" t="s">
        <v>60</v>
      </c>
      <c r="B31">
        <v>2019</v>
      </c>
      <c r="C31" t="s">
        <v>61</v>
      </c>
      <c r="D31" t="s">
        <v>143</v>
      </c>
      <c r="E31" t="s">
        <v>112</v>
      </c>
      <c r="F31" t="s">
        <v>199</v>
      </c>
      <c r="G31" t="b">
        <f t="shared" si="0"/>
        <v>1</v>
      </c>
      <c r="H31" t="str">
        <f>VLOOKUP(A31,ID_Lookup!$A:$A,1,FALSE)</f>
        <v>J529</v>
      </c>
    </row>
    <row r="32" spans="1:8" x14ac:dyDescent="0.35">
      <c r="A32" t="s">
        <v>62</v>
      </c>
      <c r="B32">
        <v>2019</v>
      </c>
      <c r="C32" t="s">
        <v>63</v>
      </c>
      <c r="D32" t="s">
        <v>144</v>
      </c>
      <c r="E32" t="s">
        <v>112</v>
      </c>
      <c r="F32" t="s">
        <v>199</v>
      </c>
      <c r="G32" t="b">
        <f t="shared" si="0"/>
        <v>1</v>
      </c>
      <c r="H32" t="str">
        <f>VLOOKUP(A32,ID_Lookup!$A:$A,1,FALSE)</f>
        <v>J530</v>
      </c>
    </row>
    <row r="33" spans="1:8" hidden="1" x14ac:dyDescent="0.35">
      <c r="A33" t="s">
        <v>64</v>
      </c>
      <c r="B33">
        <v>2019</v>
      </c>
      <c r="C33" t="s">
        <v>65</v>
      </c>
      <c r="D33" t="s">
        <v>145</v>
      </c>
      <c r="E33" t="s">
        <v>112</v>
      </c>
      <c r="F33" t="s">
        <v>199</v>
      </c>
      <c r="G33" t="b">
        <f t="shared" si="0"/>
        <v>1</v>
      </c>
      <c r="H33" t="e">
        <f>VLOOKUP(A33,ID_Lookup!$A:$A,1,FALSE)</f>
        <v>#N/A</v>
      </c>
    </row>
    <row r="34" spans="1:8" x14ac:dyDescent="0.35">
      <c r="A34" t="s">
        <v>66</v>
      </c>
      <c r="B34">
        <v>2019</v>
      </c>
      <c r="C34" t="s">
        <v>67</v>
      </c>
      <c r="D34" t="s">
        <v>68</v>
      </c>
      <c r="E34" t="s">
        <v>112</v>
      </c>
      <c r="F34" t="s">
        <v>199</v>
      </c>
      <c r="G34" t="b">
        <f t="shared" si="0"/>
        <v>1</v>
      </c>
      <c r="H34" t="str">
        <f>VLOOKUP(A34,ID_Lookup!$A:$A,1,FALSE)</f>
        <v>J532</v>
      </c>
    </row>
    <row r="35" spans="1:8" x14ac:dyDescent="0.35">
      <c r="A35" t="s">
        <v>69</v>
      </c>
      <c r="B35">
        <v>2019</v>
      </c>
      <c r="C35" t="s">
        <v>70</v>
      </c>
      <c r="D35" t="s">
        <v>146</v>
      </c>
      <c r="E35" t="s">
        <v>173</v>
      </c>
      <c r="F35" t="s">
        <v>192</v>
      </c>
      <c r="G35" t="b">
        <f t="shared" si="0"/>
        <v>0</v>
      </c>
      <c r="H35" t="str">
        <f>VLOOKUP(A35,ID_Lookup!$A:$A,1,FALSE)</f>
        <v>J533</v>
      </c>
    </row>
    <row r="36" spans="1:8" ht="409.5" x14ac:dyDescent="0.35">
      <c r="A36" t="s">
        <v>71</v>
      </c>
      <c r="B36">
        <v>2019</v>
      </c>
      <c r="C36" t="s">
        <v>72</v>
      </c>
      <c r="D36" s="1" t="s">
        <v>73</v>
      </c>
      <c r="E36" t="s">
        <v>112</v>
      </c>
      <c r="F36" t="s">
        <v>199</v>
      </c>
      <c r="G36" t="b">
        <f t="shared" si="0"/>
        <v>1</v>
      </c>
      <c r="H36" t="str">
        <f>VLOOKUP(A36,ID_Lookup!$A:$A,1,FALSE)</f>
        <v>J534</v>
      </c>
    </row>
    <row r="37" spans="1:8" x14ac:dyDescent="0.35">
      <c r="A37" t="s">
        <v>74</v>
      </c>
      <c r="B37">
        <v>2019</v>
      </c>
      <c r="C37" t="s">
        <v>75</v>
      </c>
      <c r="D37" t="s">
        <v>147</v>
      </c>
      <c r="E37" t="s">
        <v>112</v>
      </c>
      <c r="F37" t="s">
        <v>199</v>
      </c>
      <c r="G37" t="b">
        <f t="shared" si="0"/>
        <v>1</v>
      </c>
      <c r="H37" t="str">
        <f>VLOOKUP(A37,ID_Lookup!$A:$A,1,FALSE)</f>
        <v>J535</v>
      </c>
    </row>
    <row r="38" spans="1:8" x14ac:dyDescent="0.35">
      <c r="A38" t="s">
        <v>76</v>
      </c>
      <c r="B38">
        <v>2019</v>
      </c>
      <c r="C38" t="s">
        <v>77</v>
      </c>
      <c r="D38" t="s">
        <v>148</v>
      </c>
      <c r="E38" t="s">
        <v>112</v>
      </c>
      <c r="F38" t="s">
        <v>199</v>
      </c>
      <c r="G38" t="b">
        <f t="shared" si="0"/>
        <v>1</v>
      </c>
      <c r="H38" t="str">
        <f>VLOOKUP(A38,ID_Lookup!$A:$A,1,FALSE)</f>
        <v>J536</v>
      </c>
    </row>
    <row r="39" spans="1:8" x14ac:dyDescent="0.35">
      <c r="A39" t="s">
        <v>78</v>
      </c>
      <c r="B39">
        <v>2019</v>
      </c>
      <c r="C39" t="s">
        <v>79</v>
      </c>
      <c r="D39" t="s">
        <v>149</v>
      </c>
      <c r="E39" t="s">
        <v>112</v>
      </c>
      <c r="F39" t="s">
        <v>199</v>
      </c>
      <c r="G39" t="b">
        <f t="shared" si="0"/>
        <v>1</v>
      </c>
      <c r="H39" t="str">
        <f>VLOOKUP(A39,ID_Lookup!$A:$A,1,FALSE)</f>
        <v>J537</v>
      </c>
    </row>
    <row r="40" spans="1:8" hidden="1" x14ac:dyDescent="0.35">
      <c r="A40" t="s">
        <v>80</v>
      </c>
      <c r="B40">
        <v>2019</v>
      </c>
      <c r="C40" t="s">
        <v>81</v>
      </c>
      <c r="D40" t="s">
        <v>150</v>
      </c>
      <c r="E40" t="s">
        <v>112</v>
      </c>
      <c r="F40" t="s">
        <v>199</v>
      </c>
      <c r="G40" t="b">
        <f t="shared" si="0"/>
        <v>1</v>
      </c>
      <c r="H40" t="e">
        <f>VLOOKUP(A40,ID_Lookup!$A:$A,1,FALSE)</f>
        <v>#N/A</v>
      </c>
    </row>
    <row r="41" spans="1:8" hidden="1" x14ac:dyDescent="0.35">
      <c r="A41" t="s">
        <v>82</v>
      </c>
      <c r="B41">
        <v>2019</v>
      </c>
      <c r="C41" t="s">
        <v>151</v>
      </c>
      <c r="D41" t="s">
        <v>152</v>
      </c>
      <c r="E41" t="s">
        <v>112</v>
      </c>
      <c r="F41" t="s">
        <v>199</v>
      </c>
      <c r="G41" t="b">
        <f t="shared" si="0"/>
        <v>1</v>
      </c>
      <c r="H41" t="e">
        <f>VLOOKUP(A41,ID_Lookup!$A:$A,1,FALSE)</f>
        <v>#N/A</v>
      </c>
    </row>
    <row r="42" spans="1:8" x14ac:dyDescent="0.35">
      <c r="A42" t="s">
        <v>83</v>
      </c>
      <c r="B42">
        <v>2019</v>
      </c>
      <c r="C42" t="s">
        <v>84</v>
      </c>
      <c r="D42" t="s">
        <v>153</v>
      </c>
      <c r="E42" t="s">
        <v>112</v>
      </c>
      <c r="F42" t="s">
        <v>199</v>
      </c>
      <c r="G42" t="b">
        <f t="shared" si="0"/>
        <v>1</v>
      </c>
      <c r="H42" t="str">
        <f>VLOOKUP(A42,ID_Lookup!$A:$A,1,FALSE)</f>
        <v>J540</v>
      </c>
    </row>
    <row r="43" spans="1:8" ht="409.5" x14ac:dyDescent="0.35">
      <c r="A43" t="s">
        <v>85</v>
      </c>
      <c r="B43">
        <v>2019</v>
      </c>
      <c r="C43" t="s">
        <v>86</v>
      </c>
      <c r="D43" s="1" t="s">
        <v>87</v>
      </c>
      <c r="E43" t="s">
        <v>112</v>
      </c>
      <c r="F43" t="s">
        <v>199</v>
      </c>
      <c r="G43" t="b">
        <f t="shared" si="0"/>
        <v>1</v>
      </c>
      <c r="H43" t="str">
        <f>VLOOKUP(A43,ID_Lookup!$A:$A,1,FALSE)</f>
        <v>J541</v>
      </c>
    </row>
    <row r="44" spans="1:8" hidden="1" x14ac:dyDescent="0.35">
      <c r="A44" t="s">
        <v>88</v>
      </c>
      <c r="B44">
        <v>2019</v>
      </c>
      <c r="C44" t="s">
        <v>154</v>
      </c>
      <c r="D44" t="s">
        <v>155</v>
      </c>
      <c r="E44" t="s">
        <v>112</v>
      </c>
      <c r="F44" t="s">
        <v>199</v>
      </c>
      <c r="G44" t="b">
        <f t="shared" si="0"/>
        <v>1</v>
      </c>
      <c r="H44" t="e">
        <f>VLOOKUP(A44,ID_Lookup!$A:$A,1,FALSE)</f>
        <v>#N/A</v>
      </c>
    </row>
    <row r="45" spans="1:8" x14ac:dyDescent="0.35">
      <c r="A45" t="s">
        <v>89</v>
      </c>
      <c r="B45">
        <v>2019</v>
      </c>
      <c r="C45" t="s">
        <v>90</v>
      </c>
      <c r="D45" t="s">
        <v>156</v>
      </c>
      <c r="E45" t="s">
        <v>173</v>
      </c>
      <c r="F45" t="s">
        <v>192</v>
      </c>
      <c r="G45" t="b">
        <f t="shared" si="0"/>
        <v>0</v>
      </c>
      <c r="H45" t="str">
        <f>VLOOKUP(A45,ID_Lookup!$A:$A,1,FALSE)</f>
        <v>J543</v>
      </c>
    </row>
    <row r="46" spans="1:8" x14ac:dyDescent="0.35">
      <c r="A46" t="s">
        <v>91</v>
      </c>
      <c r="B46">
        <v>2019</v>
      </c>
      <c r="C46" t="s">
        <v>92</v>
      </c>
      <c r="D46" t="s">
        <v>93</v>
      </c>
      <c r="E46" t="s">
        <v>112</v>
      </c>
      <c r="F46" t="s">
        <v>199</v>
      </c>
      <c r="G46" t="b">
        <f t="shared" si="0"/>
        <v>1</v>
      </c>
      <c r="H46" t="str">
        <f>VLOOKUP(A46,ID_Lookup!$A:$A,1,FALSE)</f>
        <v>J544</v>
      </c>
    </row>
    <row r="47" spans="1:8" x14ac:dyDescent="0.35">
      <c r="A47" t="s">
        <v>94</v>
      </c>
      <c r="B47">
        <v>2019</v>
      </c>
      <c r="C47" t="s">
        <v>95</v>
      </c>
      <c r="D47" t="s">
        <v>96</v>
      </c>
      <c r="E47" t="s">
        <v>112</v>
      </c>
      <c r="F47" t="s">
        <v>199</v>
      </c>
      <c r="G47" t="b">
        <f t="shared" si="0"/>
        <v>1</v>
      </c>
      <c r="H47" t="str">
        <f>VLOOKUP(A47,ID_Lookup!$A:$A,1,FALSE)</f>
        <v>J545</v>
      </c>
    </row>
    <row r="48" spans="1:8" x14ac:dyDescent="0.35">
      <c r="A48" t="s">
        <v>97</v>
      </c>
      <c r="B48">
        <v>2019</v>
      </c>
      <c r="C48" t="s">
        <v>98</v>
      </c>
      <c r="D48" t="s">
        <v>157</v>
      </c>
      <c r="E48" t="s">
        <v>173</v>
      </c>
      <c r="F48" t="s">
        <v>200</v>
      </c>
      <c r="G48" t="b">
        <f t="shared" si="0"/>
        <v>0</v>
      </c>
      <c r="H48" t="str">
        <f>VLOOKUP(A48,ID_Lookup!$A:$A,1,FALSE)</f>
        <v>J546</v>
      </c>
    </row>
    <row r="49" spans="1:8" x14ac:dyDescent="0.35">
      <c r="A49" t="s">
        <v>99</v>
      </c>
      <c r="B49">
        <v>2019</v>
      </c>
      <c r="C49" t="s">
        <v>100</v>
      </c>
      <c r="D49" t="s">
        <v>101</v>
      </c>
      <c r="E49" t="s">
        <v>112</v>
      </c>
      <c r="F49" t="s">
        <v>199</v>
      </c>
      <c r="G49" t="b">
        <f t="shared" si="0"/>
        <v>1</v>
      </c>
      <c r="H49" t="str">
        <f>VLOOKUP(A49,ID_Lookup!$A:$A,1,FALSE)</f>
        <v>J547</v>
      </c>
    </row>
    <row r="50" spans="1:8" hidden="1" x14ac:dyDescent="0.35">
      <c r="A50" t="s">
        <v>102</v>
      </c>
      <c r="B50">
        <v>2019</v>
      </c>
      <c r="C50" t="s">
        <v>158</v>
      </c>
      <c r="D50" t="s">
        <v>159</v>
      </c>
      <c r="E50" t="s">
        <v>112</v>
      </c>
      <c r="F50" t="s">
        <v>199</v>
      </c>
      <c r="G50" t="b">
        <f t="shared" si="0"/>
        <v>1</v>
      </c>
      <c r="H50" t="e">
        <f>VLOOKUP(A50,ID_Lookup!$A:$A,1,FALSE)</f>
        <v>#N/A</v>
      </c>
    </row>
    <row r="51" spans="1:8" x14ac:dyDescent="0.35">
      <c r="A51" t="s">
        <v>103</v>
      </c>
      <c r="B51">
        <v>2019</v>
      </c>
      <c r="C51" t="s">
        <v>104</v>
      </c>
      <c r="D51" t="s">
        <v>105</v>
      </c>
      <c r="E51" t="s">
        <v>112</v>
      </c>
      <c r="F51" t="s">
        <v>199</v>
      </c>
      <c r="G51" t="b">
        <f t="shared" si="0"/>
        <v>1</v>
      </c>
      <c r="H51" t="str">
        <f>VLOOKUP(A51,ID_Lookup!$A:$A,1,FALSE)</f>
        <v>J549</v>
      </c>
    </row>
    <row r="52" spans="1:8" x14ac:dyDescent="0.35">
      <c r="A52" t="s">
        <v>106</v>
      </c>
      <c r="B52">
        <v>2019</v>
      </c>
      <c r="C52" t="s">
        <v>107</v>
      </c>
      <c r="D52" t="s">
        <v>160</v>
      </c>
      <c r="E52" t="s">
        <v>112</v>
      </c>
      <c r="F52" t="s">
        <v>199</v>
      </c>
      <c r="G52" t="b">
        <f t="shared" si="0"/>
        <v>1</v>
      </c>
      <c r="H52" t="str">
        <f>VLOOKUP(A52,ID_Lookup!$A:$A,1,FALSE)</f>
        <v>J550</v>
      </c>
    </row>
    <row r="53" spans="1:8" x14ac:dyDescent="0.35">
      <c r="A53" t="s">
        <v>221</v>
      </c>
      <c r="B53">
        <v>2019</v>
      </c>
      <c r="C53" t="s">
        <v>222</v>
      </c>
      <c r="D53" t="s">
        <v>223</v>
      </c>
      <c r="E53" t="s">
        <v>112</v>
      </c>
      <c r="F53" t="s">
        <v>199</v>
      </c>
      <c r="G53" t="b">
        <f t="shared" si="0"/>
        <v>1</v>
      </c>
      <c r="H53" t="str">
        <f>VLOOKUP(A53,ID_Lookup!$A:$A,1,FALSE)</f>
        <v>J551</v>
      </c>
    </row>
    <row r="54" spans="1:8" x14ac:dyDescent="0.35">
      <c r="A54" t="s">
        <v>224</v>
      </c>
      <c r="B54">
        <v>2019</v>
      </c>
      <c r="C54" t="s">
        <v>225</v>
      </c>
      <c r="D54" t="s">
        <v>226</v>
      </c>
      <c r="E54" t="s">
        <v>112</v>
      </c>
      <c r="F54" t="s">
        <v>199</v>
      </c>
      <c r="G54" t="b">
        <f t="shared" si="0"/>
        <v>1</v>
      </c>
      <c r="H54" t="str">
        <f>VLOOKUP(A54,ID_Lookup!$A:$A,1,FALSE)</f>
        <v>J552</v>
      </c>
    </row>
    <row r="55" spans="1:8" hidden="1" x14ac:dyDescent="0.35">
      <c r="A55" t="s">
        <v>227</v>
      </c>
      <c r="B55">
        <v>2019</v>
      </c>
      <c r="C55" t="s">
        <v>228</v>
      </c>
      <c r="D55" t="s">
        <v>229</v>
      </c>
      <c r="E55" t="s">
        <v>112</v>
      </c>
      <c r="F55" t="s">
        <v>199</v>
      </c>
      <c r="G55" t="b">
        <f t="shared" si="0"/>
        <v>1</v>
      </c>
      <c r="H55" t="e">
        <f>VLOOKUP(A55,ID_Lookup!$A:$A,1,FALSE)</f>
        <v>#N/A</v>
      </c>
    </row>
    <row r="56" spans="1:8" x14ac:dyDescent="0.35">
      <c r="A56" t="s">
        <v>230</v>
      </c>
      <c r="B56">
        <v>2019</v>
      </c>
      <c r="C56" t="s">
        <v>231</v>
      </c>
      <c r="D56" t="s">
        <v>232</v>
      </c>
      <c r="E56" t="s">
        <v>112</v>
      </c>
      <c r="F56" t="s">
        <v>199</v>
      </c>
      <c r="G56" t="b">
        <f t="shared" si="0"/>
        <v>1</v>
      </c>
      <c r="H56" t="str">
        <f>VLOOKUP(A56,ID_Lookup!$A:$A,1,FALSE)</f>
        <v>J554</v>
      </c>
    </row>
    <row r="57" spans="1:8" x14ac:dyDescent="0.35">
      <c r="A57" t="s">
        <v>233</v>
      </c>
      <c r="B57">
        <v>2019</v>
      </c>
      <c r="C57" t="s">
        <v>234</v>
      </c>
      <c r="D57" t="s">
        <v>235</v>
      </c>
      <c r="E57" t="s">
        <v>112</v>
      </c>
      <c r="F57" t="s">
        <v>199</v>
      </c>
      <c r="G57" t="b">
        <f t="shared" si="0"/>
        <v>1</v>
      </c>
      <c r="H57" t="str">
        <f>VLOOKUP(A57,ID_Lookup!$A:$A,1,FALSE)</f>
        <v>J555</v>
      </c>
    </row>
    <row r="58" spans="1:8" x14ac:dyDescent="0.35">
      <c r="A58" t="s">
        <v>236</v>
      </c>
      <c r="B58">
        <v>2019</v>
      </c>
      <c r="C58" t="s">
        <v>237</v>
      </c>
      <c r="D58" t="s">
        <v>238</v>
      </c>
      <c r="E58" t="s">
        <v>112</v>
      </c>
      <c r="F58" t="s">
        <v>199</v>
      </c>
      <c r="G58" t="b">
        <f t="shared" si="0"/>
        <v>1</v>
      </c>
      <c r="H58" t="str">
        <f>VLOOKUP(A58,ID_Lookup!$A:$A,1,FALSE)</f>
        <v>J556</v>
      </c>
    </row>
    <row r="59" spans="1:8" x14ac:dyDescent="0.35">
      <c r="A59" t="s">
        <v>239</v>
      </c>
      <c r="B59">
        <v>2019</v>
      </c>
      <c r="C59" t="s">
        <v>240</v>
      </c>
      <c r="D59" t="s">
        <v>241</v>
      </c>
      <c r="E59" t="s">
        <v>112</v>
      </c>
      <c r="F59" t="s">
        <v>199</v>
      </c>
      <c r="G59" t="b">
        <f t="shared" si="0"/>
        <v>1</v>
      </c>
      <c r="H59" t="str">
        <f>VLOOKUP(A59,ID_Lookup!$A:$A,1,FALSE)</f>
        <v>J557</v>
      </c>
    </row>
    <row r="60" spans="1:8" x14ac:dyDescent="0.35">
      <c r="A60" t="s">
        <v>242</v>
      </c>
      <c r="B60">
        <v>2019</v>
      </c>
      <c r="C60" t="s">
        <v>243</v>
      </c>
      <c r="D60" t="s">
        <v>244</v>
      </c>
      <c r="E60" t="s">
        <v>112</v>
      </c>
      <c r="F60" t="s">
        <v>199</v>
      </c>
      <c r="G60" t="b">
        <f t="shared" si="0"/>
        <v>1</v>
      </c>
      <c r="H60" t="str">
        <f>VLOOKUP(A60,ID_Lookup!$A:$A,1,FALSE)</f>
        <v>J558</v>
      </c>
    </row>
    <row r="61" spans="1:8" x14ac:dyDescent="0.35">
      <c r="A61" t="s">
        <v>245</v>
      </c>
      <c r="B61">
        <v>2019</v>
      </c>
      <c r="C61" t="s">
        <v>246</v>
      </c>
      <c r="D61" t="s">
        <v>247</v>
      </c>
      <c r="E61" t="s">
        <v>112</v>
      </c>
      <c r="F61" t="s">
        <v>199</v>
      </c>
      <c r="G61" t="b">
        <f t="shared" si="0"/>
        <v>1</v>
      </c>
      <c r="H61" t="str">
        <f>VLOOKUP(A61,ID_Lookup!$A:$A,1,FALSE)</f>
        <v>J559</v>
      </c>
    </row>
    <row r="62" spans="1:8" hidden="1" x14ac:dyDescent="0.35">
      <c r="A62" t="s">
        <v>248</v>
      </c>
      <c r="B62">
        <v>2019</v>
      </c>
      <c r="C62" t="s">
        <v>249</v>
      </c>
      <c r="D62" t="s">
        <v>250</v>
      </c>
      <c r="E62" t="s">
        <v>112</v>
      </c>
      <c r="F62" t="s">
        <v>199</v>
      </c>
      <c r="G62" t="b">
        <f t="shared" si="0"/>
        <v>1</v>
      </c>
      <c r="H62" t="e">
        <f>VLOOKUP(A62,ID_Lookup!$A:$A,1,FALSE)</f>
        <v>#N/A</v>
      </c>
    </row>
    <row r="63" spans="1:8" x14ac:dyDescent="0.35">
      <c r="A63" t="s">
        <v>251</v>
      </c>
      <c r="B63">
        <v>2019</v>
      </c>
      <c r="C63" t="s">
        <v>252</v>
      </c>
      <c r="D63" t="s">
        <v>253</v>
      </c>
      <c r="E63" t="s">
        <v>112</v>
      </c>
      <c r="F63" t="s">
        <v>199</v>
      </c>
      <c r="G63" t="b">
        <f t="shared" si="0"/>
        <v>1</v>
      </c>
      <c r="H63" t="str">
        <f>VLOOKUP(A63,ID_Lookup!$A:$A,1,FALSE)</f>
        <v>J561</v>
      </c>
    </row>
    <row r="64" spans="1:8" x14ac:dyDescent="0.35">
      <c r="A64" t="s">
        <v>254</v>
      </c>
      <c r="B64">
        <v>2019</v>
      </c>
      <c r="C64" t="s">
        <v>255</v>
      </c>
      <c r="D64" t="s">
        <v>256</v>
      </c>
      <c r="E64" t="s">
        <v>112</v>
      </c>
      <c r="F64" t="s">
        <v>199</v>
      </c>
      <c r="G64" t="b">
        <f t="shared" si="0"/>
        <v>1</v>
      </c>
      <c r="H64" t="str">
        <f>VLOOKUP(A64,ID_Lookup!$A:$A,1,FALSE)</f>
        <v>J562</v>
      </c>
    </row>
    <row r="65" spans="1:8" x14ac:dyDescent="0.35">
      <c r="A65" t="s">
        <v>257</v>
      </c>
      <c r="B65">
        <v>2019</v>
      </c>
      <c r="C65" t="s">
        <v>258</v>
      </c>
      <c r="D65" t="s">
        <v>259</v>
      </c>
      <c r="E65" t="s">
        <v>173</v>
      </c>
      <c r="F65" t="s">
        <v>192</v>
      </c>
      <c r="G65" t="b">
        <f t="shared" si="0"/>
        <v>0</v>
      </c>
      <c r="H65" t="str">
        <f>VLOOKUP(A65,ID_Lookup!$A:$A,1,FALSE)</f>
        <v>J563</v>
      </c>
    </row>
    <row r="66" spans="1:8" hidden="1" x14ac:dyDescent="0.35">
      <c r="A66" t="s">
        <v>260</v>
      </c>
      <c r="B66">
        <v>2019</v>
      </c>
      <c r="C66" t="s">
        <v>261</v>
      </c>
      <c r="D66" t="s">
        <v>262</v>
      </c>
      <c r="E66" t="s">
        <v>112</v>
      </c>
      <c r="F66" t="s">
        <v>199</v>
      </c>
      <c r="G66" t="b">
        <f t="shared" si="0"/>
        <v>1</v>
      </c>
      <c r="H66" t="e">
        <f>VLOOKUP(A66,ID_Lookup!$A:$A,1,FALSE)</f>
        <v>#N/A</v>
      </c>
    </row>
    <row r="67" spans="1:8" x14ac:dyDescent="0.35">
      <c r="A67" t="s">
        <v>263</v>
      </c>
      <c r="B67">
        <v>2019</v>
      </c>
      <c r="C67" t="s">
        <v>264</v>
      </c>
      <c r="D67" t="s">
        <v>265</v>
      </c>
      <c r="E67" t="s">
        <v>112</v>
      </c>
      <c r="F67" t="s">
        <v>199</v>
      </c>
      <c r="G67" t="b">
        <f t="shared" ref="G67:G130" si="1">IF(E67="Include", TRUE, FALSE)</f>
        <v>1</v>
      </c>
      <c r="H67" t="str">
        <f>VLOOKUP(A67,ID_Lookup!$A:$A,1,FALSE)</f>
        <v>J565</v>
      </c>
    </row>
    <row r="68" spans="1:8" x14ac:dyDescent="0.35">
      <c r="A68" t="s">
        <v>266</v>
      </c>
      <c r="B68">
        <v>2019</v>
      </c>
      <c r="C68" t="s">
        <v>267</v>
      </c>
      <c r="D68" t="s">
        <v>268</v>
      </c>
      <c r="E68" t="s">
        <v>112</v>
      </c>
      <c r="F68" t="s">
        <v>199</v>
      </c>
      <c r="G68" t="b">
        <f t="shared" si="1"/>
        <v>1</v>
      </c>
      <c r="H68" t="str">
        <f>VLOOKUP(A68,ID_Lookup!$A:$A,1,FALSE)</f>
        <v>J566</v>
      </c>
    </row>
    <row r="69" spans="1:8" x14ac:dyDescent="0.35">
      <c r="A69" t="s">
        <v>269</v>
      </c>
      <c r="B69">
        <v>2019</v>
      </c>
      <c r="C69" t="s">
        <v>270</v>
      </c>
      <c r="D69" t="s">
        <v>271</v>
      </c>
      <c r="E69" t="s">
        <v>112</v>
      </c>
      <c r="F69" t="s">
        <v>199</v>
      </c>
      <c r="G69" t="b">
        <f t="shared" si="1"/>
        <v>1</v>
      </c>
      <c r="H69" t="str">
        <f>VLOOKUP(A69,ID_Lookup!$A:$A,1,FALSE)</f>
        <v>J567</v>
      </c>
    </row>
    <row r="70" spans="1:8" hidden="1" x14ac:dyDescent="0.35">
      <c r="A70" t="s">
        <v>272</v>
      </c>
      <c r="B70">
        <v>2019</v>
      </c>
      <c r="C70" t="s">
        <v>273</v>
      </c>
      <c r="D70" t="s">
        <v>274</v>
      </c>
      <c r="E70" t="s">
        <v>112</v>
      </c>
      <c r="F70" t="s">
        <v>664</v>
      </c>
      <c r="G70" t="b">
        <f t="shared" si="1"/>
        <v>1</v>
      </c>
      <c r="H70" t="e">
        <f>VLOOKUP(A70,ID_Lookup!$A:$A,1,FALSE)</f>
        <v>#N/A</v>
      </c>
    </row>
    <row r="71" spans="1:8" hidden="1" x14ac:dyDescent="0.35">
      <c r="A71" t="s">
        <v>275</v>
      </c>
      <c r="B71">
        <v>2019</v>
      </c>
      <c r="C71" t="s">
        <v>276</v>
      </c>
      <c r="D71" t="s">
        <v>277</v>
      </c>
      <c r="E71" t="s">
        <v>112</v>
      </c>
      <c r="F71" t="s">
        <v>199</v>
      </c>
      <c r="G71" t="b">
        <f t="shared" si="1"/>
        <v>1</v>
      </c>
      <c r="H71" t="e">
        <f>VLOOKUP(A71,ID_Lookup!$A:$A,1,FALSE)</f>
        <v>#N/A</v>
      </c>
    </row>
    <row r="72" spans="1:8" x14ac:dyDescent="0.35">
      <c r="A72" t="s">
        <v>278</v>
      </c>
      <c r="B72">
        <v>2019</v>
      </c>
      <c r="C72" t="s">
        <v>279</v>
      </c>
      <c r="D72" t="s">
        <v>280</v>
      </c>
      <c r="E72" t="s">
        <v>112</v>
      </c>
      <c r="F72" t="s">
        <v>199</v>
      </c>
      <c r="G72" t="b">
        <f t="shared" si="1"/>
        <v>1</v>
      </c>
      <c r="H72" t="str">
        <f>VLOOKUP(A72,ID_Lookup!$A:$A,1,FALSE)</f>
        <v>J570</v>
      </c>
    </row>
    <row r="73" spans="1:8" x14ac:dyDescent="0.35">
      <c r="A73" t="s">
        <v>281</v>
      </c>
      <c r="B73">
        <v>2019</v>
      </c>
      <c r="C73" t="s">
        <v>282</v>
      </c>
      <c r="D73" t="s">
        <v>283</v>
      </c>
      <c r="E73" t="s">
        <v>112</v>
      </c>
      <c r="F73" t="s">
        <v>199</v>
      </c>
      <c r="G73" t="b">
        <f t="shared" si="1"/>
        <v>1</v>
      </c>
      <c r="H73" t="str">
        <f>VLOOKUP(A73,ID_Lookup!$A:$A,1,FALSE)</f>
        <v>J571</v>
      </c>
    </row>
    <row r="74" spans="1:8" hidden="1" x14ac:dyDescent="0.35">
      <c r="A74" t="s">
        <v>284</v>
      </c>
      <c r="B74">
        <v>2019</v>
      </c>
      <c r="C74" t="s">
        <v>285</v>
      </c>
      <c r="D74" t="s">
        <v>286</v>
      </c>
      <c r="E74" t="s">
        <v>112</v>
      </c>
      <c r="F74" t="s">
        <v>199</v>
      </c>
      <c r="G74" t="b">
        <f t="shared" si="1"/>
        <v>1</v>
      </c>
      <c r="H74" t="e">
        <f>VLOOKUP(A74,ID_Lookup!$A:$A,1,FALSE)</f>
        <v>#N/A</v>
      </c>
    </row>
    <row r="75" spans="1:8" x14ac:dyDescent="0.35">
      <c r="A75" t="s">
        <v>287</v>
      </c>
      <c r="B75">
        <v>2019</v>
      </c>
      <c r="C75" t="s">
        <v>288</v>
      </c>
      <c r="D75" t="s">
        <v>289</v>
      </c>
      <c r="E75" t="s">
        <v>173</v>
      </c>
      <c r="F75" t="s">
        <v>192</v>
      </c>
      <c r="G75" t="b">
        <f t="shared" si="1"/>
        <v>0</v>
      </c>
      <c r="H75" t="str">
        <f>VLOOKUP(A75,ID_Lookup!$A:$A,1,FALSE)</f>
        <v>J573</v>
      </c>
    </row>
    <row r="76" spans="1:8" x14ac:dyDescent="0.35">
      <c r="A76" t="s">
        <v>290</v>
      </c>
      <c r="B76">
        <v>2019</v>
      </c>
      <c r="C76" t="s">
        <v>291</v>
      </c>
      <c r="D76" t="s">
        <v>292</v>
      </c>
      <c r="E76" t="s">
        <v>112</v>
      </c>
      <c r="F76" t="s">
        <v>199</v>
      </c>
      <c r="G76" t="b">
        <f t="shared" si="1"/>
        <v>1</v>
      </c>
      <c r="H76" t="str">
        <f>VLOOKUP(A76,ID_Lookup!$A:$A,1,FALSE)</f>
        <v>J574</v>
      </c>
    </row>
    <row r="77" spans="1:8" x14ac:dyDescent="0.35">
      <c r="A77" t="s">
        <v>293</v>
      </c>
      <c r="B77">
        <v>2019</v>
      </c>
      <c r="C77" t="s">
        <v>294</v>
      </c>
      <c r="D77" t="s">
        <v>295</v>
      </c>
      <c r="E77" t="s">
        <v>112</v>
      </c>
      <c r="F77" t="s">
        <v>199</v>
      </c>
      <c r="G77" t="b">
        <f t="shared" si="1"/>
        <v>1</v>
      </c>
      <c r="H77" t="str">
        <f>VLOOKUP(A77,ID_Lookup!$A:$A,1,FALSE)</f>
        <v>J575</v>
      </c>
    </row>
    <row r="78" spans="1:8" x14ac:dyDescent="0.35">
      <c r="A78" t="s">
        <v>296</v>
      </c>
      <c r="B78">
        <v>2019</v>
      </c>
      <c r="C78" t="s">
        <v>297</v>
      </c>
      <c r="D78" t="s">
        <v>298</v>
      </c>
      <c r="E78" t="s">
        <v>173</v>
      </c>
      <c r="F78" t="s">
        <v>192</v>
      </c>
      <c r="G78" t="b">
        <f t="shared" si="1"/>
        <v>0</v>
      </c>
      <c r="H78" t="str">
        <f>VLOOKUP(A78,ID_Lookup!$A:$A,1,FALSE)</f>
        <v>J576</v>
      </c>
    </row>
    <row r="79" spans="1:8" hidden="1" x14ac:dyDescent="0.35">
      <c r="A79" t="s">
        <v>299</v>
      </c>
      <c r="B79">
        <v>2019</v>
      </c>
      <c r="C79" t="s">
        <v>300</v>
      </c>
      <c r="D79" t="s">
        <v>301</v>
      </c>
      <c r="E79" t="s">
        <v>112</v>
      </c>
      <c r="F79" t="s">
        <v>199</v>
      </c>
      <c r="G79" t="b">
        <f t="shared" si="1"/>
        <v>1</v>
      </c>
      <c r="H79" t="e">
        <f>VLOOKUP(A79,ID_Lookup!$A:$A,1,FALSE)</f>
        <v>#N/A</v>
      </c>
    </row>
    <row r="80" spans="1:8" hidden="1" x14ac:dyDescent="0.35">
      <c r="A80" t="s">
        <v>302</v>
      </c>
      <c r="B80">
        <v>2019</v>
      </c>
      <c r="C80" t="s">
        <v>303</v>
      </c>
      <c r="D80" t="s">
        <v>304</v>
      </c>
      <c r="E80" t="s">
        <v>112</v>
      </c>
      <c r="F80" t="s">
        <v>199</v>
      </c>
      <c r="G80" t="b">
        <f t="shared" si="1"/>
        <v>1</v>
      </c>
      <c r="H80" t="e">
        <f>VLOOKUP(A80,ID_Lookup!$A:$A,1,FALSE)</f>
        <v>#N/A</v>
      </c>
    </row>
    <row r="81" spans="1:8" hidden="1" x14ac:dyDescent="0.35">
      <c r="A81" t="s">
        <v>305</v>
      </c>
      <c r="B81">
        <v>2019</v>
      </c>
      <c r="C81" t="s">
        <v>306</v>
      </c>
      <c r="D81" t="s">
        <v>307</v>
      </c>
      <c r="E81" t="s">
        <v>112</v>
      </c>
      <c r="F81" t="s">
        <v>199</v>
      </c>
      <c r="G81" t="b">
        <f t="shared" si="1"/>
        <v>1</v>
      </c>
      <c r="H81" t="e">
        <f>VLOOKUP(A81,ID_Lookup!$A:$A,1,FALSE)</f>
        <v>#N/A</v>
      </c>
    </row>
    <row r="82" spans="1:8" hidden="1" x14ac:dyDescent="0.35">
      <c r="A82" t="s">
        <v>308</v>
      </c>
      <c r="B82">
        <v>2019</v>
      </c>
      <c r="C82" t="s">
        <v>309</v>
      </c>
      <c r="D82" t="s">
        <v>310</v>
      </c>
      <c r="E82" t="s">
        <v>112</v>
      </c>
      <c r="F82" t="s">
        <v>199</v>
      </c>
      <c r="G82" t="b">
        <f t="shared" si="1"/>
        <v>1</v>
      </c>
      <c r="H82" t="e">
        <f>VLOOKUP(A82,ID_Lookup!$A:$A,1,FALSE)</f>
        <v>#N/A</v>
      </c>
    </row>
    <row r="83" spans="1:8" x14ac:dyDescent="0.35">
      <c r="A83" t="s">
        <v>311</v>
      </c>
      <c r="B83">
        <v>2019</v>
      </c>
      <c r="C83" t="s">
        <v>312</v>
      </c>
      <c r="D83" t="s">
        <v>313</v>
      </c>
      <c r="E83" t="s">
        <v>112</v>
      </c>
      <c r="F83" t="s">
        <v>665</v>
      </c>
      <c r="G83" t="b">
        <f t="shared" si="1"/>
        <v>1</v>
      </c>
      <c r="H83" t="str">
        <f>VLOOKUP(A83,ID_Lookup!$A:$A,1,FALSE)</f>
        <v>J581</v>
      </c>
    </row>
    <row r="84" spans="1:8" hidden="1" x14ac:dyDescent="0.35">
      <c r="A84" t="s">
        <v>314</v>
      </c>
      <c r="B84">
        <v>2019</v>
      </c>
      <c r="C84" t="s">
        <v>315</v>
      </c>
      <c r="D84" t="s">
        <v>316</v>
      </c>
      <c r="E84" t="s">
        <v>112</v>
      </c>
      <c r="F84" t="s">
        <v>666</v>
      </c>
      <c r="G84" t="b">
        <f t="shared" si="1"/>
        <v>1</v>
      </c>
      <c r="H84" t="e">
        <f>VLOOKUP(A84,ID_Lookup!$A:$A,1,FALSE)</f>
        <v>#N/A</v>
      </c>
    </row>
    <row r="85" spans="1:8" x14ac:dyDescent="0.35">
      <c r="A85" t="s">
        <v>317</v>
      </c>
      <c r="B85">
        <v>2019</v>
      </c>
      <c r="C85" t="s">
        <v>318</v>
      </c>
      <c r="D85" t="s">
        <v>319</v>
      </c>
      <c r="E85" t="s">
        <v>112</v>
      </c>
      <c r="F85" t="s">
        <v>199</v>
      </c>
      <c r="G85" t="b">
        <f t="shared" si="1"/>
        <v>1</v>
      </c>
      <c r="H85" t="str">
        <f>VLOOKUP(A85,ID_Lookup!$A:$A,1,FALSE)</f>
        <v>J583</v>
      </c>
    </row>
    <row r="86" spans="1:8" hidden="1" x14ac:dyDescent="0.35">
      <c r="A86" t="s">
        <v>320</v>
      </c>
      <c r="B86">
        <v>2019</v>
      </c>
      <c r="C86" t="s">
        <v>321</v>
      </c>
      <c r="D86" t="s">
        <v>322</v>
      </c>
      <c r="E86" t="s">
        <v>112</v>
      </c>
      <c r="F86" t="s">
        <v>199</v>
      </c>
      <c r="G86" t="b">
        <f t="shared" si="1"/>
        <v>1</v>
      </c>
      <c r="H86" t="e">
        <f>VLOOKUP(A86,ID_Lookup!$A:$A,1,FALSE)</f>
        <v>#N/A</v>
      </c>
    </row>
    <row r="87" spans="1:8" hidden="1" x14ac:dyDescent="0.35">
      <c r="A87" t="s">
        <v>323</v>
      </c>
      <c r="B87">
        <v>2019</v>
      </c>
      <c r="C87" t="s">
        <v>324</v>
      </c>
      <c r="D87" t="s">
        <v>325</v>
      </c>
      <c r="E87" t="s">
        <v>112</v>
      </c>
      <c r="F87" t="s">
        <v>199</v>
      </c>
      <c r="G87" t="b">
        <f t="shared" si="1"/>
        <v>1</v>
      </c>
      <c r="H87" t="e">
        <f>VLOOKUP(A87,ID_Lookup!$A:$A,1,FALSE)</f>
        <v>#N/A</v>
      </c>
    </row>
    <row r="88" spans="1:8" x14ac:dyDescent="0.35">
      <c r="A88" t="s">
        <v>326</v>
      </c>
      <c r="B88">
        <v>2019</v>
      </c>
      <c r="C88" t="s">
        <v>327</v>
      </c>
      <c r="D88" t="s">
        <v>328</v>
      </c>
      <c r="E88" t="s">
        <v>112</v>
      </c>
      <c r="F88" t="s">
        <v>199</v>
      </c>
      <c r="G88" t="b">
        <f t="shared" si="1"/>
        <v>1</v>
      </c>
      <c r="H88" t="str">
        <f>VLOOKUP(A88,ID_Lookup!$A:$A,1,FALSE)</f>
        <v>J586</v>
      </c>
    </row>
    <row r="89" spans="1:8" x14ac:dyDescent="0.35">
      <c r="A89" t="s">
        <v>329</v>
      </c>
      <c r="B89">
        <v>2019</v>
      </c>
      <c r="C89" t="s">
        <v>330</v>
      </c>
      <c r="D89" t="s">
        <v>331</v>
      </c>
      <c r="E89" t="s">
        <v>112</v>
      </c>
      <c r="F89" t="s">
        <v>199</v>
      </c>
      <c r="G89" t="b">
        <f t="shared" si="1"/>
        <v>1</v>
      </c>
      <c r="H89" t="str">
        <f>VLOOKUP(A89,ID_Lookup!$A:$A,1,FALSE)</f>
        <v>J587</v>
      </c>
    </row>
    <row r="90" spans="1:8" x14ac:dyDescent="0.35">
      <c r="A90" t="s">
        <v>332</v>
      </c>
      <c r="B90">
        <v>2019</v>
      </c>
      <c r="C90" t="s">
        <v>333</v>
      </c>
      <c r="D90" t="s">
        <v>334</v>
      </c>
      <c r="E90" t="s">
        <v>112</v>
      </c>
      <c r="F90" t="s">
        <v>199</v>
      </c>
      <c r="G90" t="b">
        <f t="shared" si="1"/>
        <v>1</v>
      </c>
      <c r="H90" t="str">
        <f>VLOOKUP(A90,ID_Lookup!$A:$A,1,FALSE)</f>
        <v>J588</v>
      </c>
    </row>
    <row r="91" spans="1:8" hidden="1" x14ac:dyDescent="0.35">
      <c r="A91" t="s">
        <v>335</v>
      </c>
      <c r="B91">
        <v>2019</v>
      </c>
      <c r="C91" t="s">
        <v>336</v>
      </c>
      <c r="D91" t="s">
        <v>337</v>
      </c>
      <c r="E91" t="s">
        <v>173</v>
      </c>
      <c r="F91" t="s">
        <v>667</v>
      </c>
      <c r="G91" t="b">
        <f t="shared" si="1"/>
        <v>0</v>
      </c>
      <c r="H91" t="e">
        <f>VLOOKUP(A91,ID_Lookup!$A:$A,1,FALSE)</f>
        <v>#N/A</v>
      </c>
    </row>
    <row r="92" spans="1:8" x14ac:dyDescent="0.35">
      <c r="A92" t="s">
        <v>338</v>
      </c>
      <c r="B92">
        <v>2019</v>
      </c>
      <c r="C92" t="s">
        <v>339</v>
      </c>
      <c r="D92" t="s">
        <v>340</v>
      </c>
      <c r="E92" t="s">
        <v>112</v>
      </c>
      <c r="F92" t="s">
        <v>199</v>
      </c>
      <c r="G92" t="b">
        <f t="shared" si="1"/>
        <v>1</v>
      </c>
      <c r="H92" t="str">
        <f>VLOOKUP(A92,ID_Lookup!$A:$A,1,FALSE)</f>
        <v>J590</v>
      </c>
    </row>
    <row r="93" spans="1:8" hidden="1" x14ac:dyDescent="0.35">
      <c r="A93" t="s">
        <v>341</v>
      </c>
      <c r="B93">
        <v>2019</v>
      </c>
      <c r="C93" t="s">
        <v>342</v>
      </c>
      <c r="D93" t="s">
        <v>343</v>
      </c>
      <c r="E93" t="s">
        <v>112</v>
      </c>
      <c r="F93" t="s">
        <v>199</v>
      </c>
      <c r="G93" t="b">
        <f t="shared" si="1"/>
        <v>1</v>
      </c>
      <c r="H93" t="e">
        <f>VLOOKUP(A93,ID_Lookup!$A:$A,1,FALSE)</f>
        <v>#N/A</v>
      </c>
    </row>
    <row r="94" spans="1:8" x14ac:dyDescent="0.35">
      <c r="A94" t="s">
        <v>344</v>
      </c>
      <c r="B94">
        <v>2019</v>
      </c>
      <c r="C94" t="s">
        <v>345</v>
      </c>
      <c r="D94" t="s">
        <v>346</v>
      </c>
      <c r="E94" t="s">
        <v>112</v>
      </c>
      <c r="F94" t="s">
        <v>199</v>
      </c>
      <c r="G94" t="b">
        <f t="shared" si="1"/>
        <v>1</v>
      </c>
      <c r="H94" t="str">
        <f>VLOOKUP(A94,ID_Lookup!$A:$A,1,FALSE)</f>
        <v>J592</v>
      </c>
    </row>
    <row r="95" spans="1:8" x14ac:dyDescent="0.35">
      <c r="A95" t="s">
        <v>347</v>
      </c>
      <c r="B95">
        <v>2019</v>
      </c>
      <c r="C95" t="s">
        <v>348</v>
      </c>
      <c r="D95" t="s">
        <v>349</v>
      </c>
      <c r="E95" t="s">
        <v>112</v>
      </c>
      <c r="F95" t="s">
        <v>199</v>
      </c>
      <c r="G95" t="b">
        <f t="shared" si="1"/>
        <v>1</v>
      </c>
      <c r="H95" t="str">
        <f>VLOOKUP(A95,ID_Lookup!$A:$A,1,FALSE)</f>
        <v>J593</v>
      </c>
    </row>
    <row r="96" spans="1:8" x14ac:dyDescent="0.35">
      <c r="A96" t="s">
        <v>350</v>
      </c>
      <c r="B96">
        <v>2019</v>
      </c>
      <c r="C96" t="s">
        <v>351</v>
      </c>
      <c r="D96" t="s">
        <v>352</v>
      </c>
      <c r="E96" t="s">
        <v>112</v>
      </c>
      <c r="F96" t="s">
        <v>199</v>
      </c>
      <c r="G96" t="b">
        <f t="shared" si="1"/>
        <v>1</v>
      </c>
      <c r="H96" t="str">
        <f>VLOOKUP(A96,ID_Lookup!$A:$A,1,FALSE)</f>
        <v>J594</v>
      </c>
    </row>
    <row r="97" spans="1:8" x14ac:dyDescent="0.35">
      <c r="A97" t="s">
        <v>353</v>
      </c>
      <c r="B97">
        <v>2019</v>
      </c>
      <c r="C97" t="s">
        <v>354</v>
      </c>
      <c r="D97" t="s">
        <v>355</v>
      </c>
      <c r="E97" t="s">
        <v>112</v>
      </c>
      <c r="F97" t="s">
        <v>199</v>
      </c>
      <c r="G97" t="b">
        <f t="shared" si="1"/>
        <v>1</v>
      </c>
      <c r="H97" t="str">
        <f>VLOOKUP(A97,ID_Lookup!$A:$A,1,FALSE)</f>
        <v>J595</v>
      </c>
    </row>
    <row r="98" spans="1:8" hidden="1" x14ac:dyDescent="0.35">
      <c r="A98" t="s">
        <v>356</v>
      </c>
      <c r="B98">
        <v>2019</v>
      </c>
      <c r="C98" t="s">
        <v>357</v>
      </c>
      <c r="D98" t="s">
        <v>358</v>
      </c>
      <c r="E98" t="s">
        <v>173</v>
      </c>
      <c r="F98" t="s">
        <v>192</v>
      </c>
      <c r="G98" t="b">
        <f t="shared" si="1"/>
        <v>0</v>
      </c>
      <c r="H98" t="e">
        <f>VLOOKUP(A98,ID_Lookup!$A:$A,1,FALSE)</f>
        <v>#N/A</v>
      </c>
    </row>
    <row r="99" spans="1:8" hidden="1" x14ac:dyDescent="0.35">
      <c r="A99" t="s">
        <v>359</v>
      </c>
      <c r="B99">
        <v>2019</v>
      </c>
      <c r="C99" t="s">
        <v>360</v>
      </c>
      <c r="D99" t="s">
        <v>361</v>
      </c>
      <c r="E99" t="s">
        <v>112</v>
      </c>
      <c r="F99" t="s">
        <v>199</v>
      </c>
      <c r="G99" t="b">
        <f t="shared" si="1"/>
        <v>1</v>
      </c>
      <c r="H99" t="e">
        <f>VLOOKUP(A99,ID_Lookup!$A:$A,1,FALSE)</f>
        <v>#N/A</v>
      </c>
    </row>
    <row r="100" spans="1:8" x14ac:dyDescent="0.35">
      <c r="A100" t="s">
        <v>362</v>
      </c>
      <c r="B100">
        <v>2019</v>
      </c>
      <c r="C100" t="s">
        <v>363</v>
      </c>
      <c r="D100" t="s">
        <v>364</v>
      </c>
      <c r="E100" t="s">
        <v>112</v>
      </c>
      <c r="F100" t="s">
        <v>199</v>
      </c>
      <c r="G100" t="b">
        <f t="shared" si="1"/>
        <v>1</v>
      </c>
      <c r="H100" t="str">
        <f>VLOOKUP(A100,ID_Lookup!$A:$A,1,FALSE)</f>
        <v>J598</v>
      </c>
    </row>
    <row r="101" spans="1:8" x14ac:dyDescent="0.35">
      <c r="A101" t="s">
        <v>365</v>
      </c>
      <c r="B101">
        <v>2019</v>
      </c>
      <c r="C101" t="s">
        <v>366</v>
      </c>
      <c r="D101" t="s">
        <v>367</v>
      </c>
      <c r="E101" t="s">
        <v>112</v>
      </c>
      <c r="F101" t="s">
        <v>199</v>
      </c>
      <c r="G101" t="b">
        <f t="shared" si="1"/>
        <v>1</v>
      </c>
      <c r="H101" t="str">
        <f>VLOOKUP(A101,ID_Lookup!$A:$A,1,FALSE)</f>
        <v>J599</v>
      </c>
    </row>
    <row r="102" spans="1:8" x14ac:dyDescent="0.35">
      <c r="A102" t="s">
        <v>368</v>
      </c>
      <c r="B102">
        <v>2021</v>
      </c>
      <c r="C102" t="s">
        <v>369</v>
      </c>
      <c r="D102" t="s">
        <v>370</v>
      </c>
      <c r="E102" t="s">
        <v>112</v>
      </c>
      <c r="F102" t="s">
        <v>199</v>
      </c>
      <c r="G102" t="b">
        <f t="shared" si="1"/>
        <v>1</v>
      </c>
      <c r="H102" t="str">
        <f>VLOOKUP(A102,ID_Lookup!$A:$A,1,FALSE)</f>
        <v>J2830</v>
      </c>
    </row>
    <row r="103" spans="1:8" hidden="1" x14ac:dyDescent="0.35">
      <c r="A103" t="s">
        <v>371</v>
      </c>
      <c r="B103">
        <v>2021</v>
      </c>
      <c r="C103" t="s">
        <v>372</v>
      </c>
      <c r="D103" t="s">
        <v>373</v>
      </c>
      <c r="E103" t="s">
        <v>112</v>
      </c>
      <c r="F103" t="s">
        <v>199</v>
      </c>
      <c r="G103" t="b">
        <f t="shared" si="1"/>
        <v>1</v>
      </c>
      <c r="H103" t="e">
        <f>VLOOKUP(A103,ID_Lookup!$A:$A,1,FALSE)</f>
        <v>#N/A</v>
      </c>
    </row>
    <row r="104" spans="1:8" x14ac:dyDescent="0.35">
      <c r="A104" t="s">
        <v>374</v>
      </c>
      <c r="B104">
        <v>2021</v>
      </c>
      <c r="C104" t="s">
        <v>375</v>
      </c>
      <c r="D104" t="s">
        <v>376</v>
      </c>
      <c r="E104" t="s">
        <v>112</v>
      </c>
      <c r="F104" t="s">
        <v>199</v>
      </c>
      <c r="G104" t="b">
        <f t="shared" si="1"/>
        <v>1</v>
      </c>
      <c r="H104" t="str">
        <f>VLOOKUP(A104,ID_Lookup!$A:$A,1,FALSE)</f>
        <v>J2832</v>
      </c>
    </row>
    <row r="105" spans="1:8" x14ac:dyDescent="0.35">
      <c r="A105" t="s">
        <v>377</v>
      </c>
      <c r="B105">
        <v>2021</v>
      </c>
      <c r="C105" t="s">
        <v>378</v>
      </c>
      <c r="D105" t="s">
        <v>379</v>
      </c>
      <c r="E105" t="s">
        <v>112</v>
      </c>
      <c r="F105" t="s">
        <v>199</v>
      </c>
      <c r="G105" t="b">
        <f t="shared" si="1"/>
        <v>1</v>
      </c>
      <c r="H105" t="str">
        <f>VLOOKUP(A105,ID_Lookup!$A:$A,1,FALSE)</f>
        <v>J2833</v>
      </c>
    </row>
    <row r="106" spans="1:8" x14ac:dyDescent="0.35">
      <c r="A106" t="s">
        <v>380</v>
      </c>
      <c r="B106">
        <v>2021</v>
      </c>
      <c r="C106" t="s">
        <v>381</v>
      </c>
      <c r="D106" t="s">
        <v>382</v>
      </c>
      <c r="E106" t="s">
        <v>112</v>
      </c>
      <c r="F106" t="s">
        <v>199</v>
      </c>
      <c r="G106" t="b">
        <f t="shared" si="1"/>
        <v>1</v>
      </c>
      <c r="H106" t="str">
        <f>VLOOKUP(A106,ID_Lookup!$A:$A,1,FALSE)</f>
        <v>J2834</v>
      </c>
    </row>
    <row r="107" spans="1:8" x14ac:dyDescent="0.35">
      <c r="A107" t="s">
        <v>383</v>
      </c>
      <c r="B107">
        <v>2021</v>
      </c>
      <c r="C107" t="s">
        <v>384</v>
      </c>
      <c r="D107" t="s">
        <v>385</v>
      </c>
      <c r="E107" t="s">
        <v>112</v>
      </c>
      <c r="F107" t="s">
        <v>199</v>
      </c>
      <c r="G107" t="b">
        <f t="shared" si="1"/>
        <v>1</v>
      </c>
      <c r="H107" t="str">
        <f>VLOOKUP(A107,ID_Lookup!$A:$A,1,FALSE)</f>
        <v>J2835</v>
      </c>
    </row>
    <row r="108" spans="1:8" x14ac:dyDescent="0.35">
      <c r="A108" t="s">
        <v>386</v>
      </c>
      <c r="B108">
        <v>2021</v>
      </c>
      <c r="C108" t="s">
        <v>387</v>
      </c>
      <c r="D108" t="s">
        <v>388</v>
      </c>
      <c r="E108" t="s">
        <v>112</v>
      </c>
      <c r="F108" t="s">
        <v>199</v>
      </c>
      <c r="G108" t="b">
        <f t="shared" si="1"/>
        <v>1</v>
      </c>
      <c r="H108" t="str">
        <f>VLOOKUP(A108,ID_Lookup!$A:$A,1,FALSE)</f>
        <v>J2836</v>
      </c>
    </row>
    <row r="109" spans="1:8" hidden="1" x14ac:dyDescent="0.35">
      <c r="A109" t="s">
        <v>389</v>
      </c>
      <c r="B109">
        <v>2021</v>
      </c>
      <c r="C109" t="s">
        <v>390</v>
      </c>
      <c r="D109" t="s">
        <v>391</v>
      </c>
      <c r="E109" t="s">
        <v>112</v>
      </c>
      <c r="F109" t="s">
        <v>199</v>
      </c>
      <c r="G109" t="b">
        <f t="shared" si="1"/>
        <v>1</v>
      </c>
      <c r="H109" t="e">
        <f>VLOOKUP(A109,ID_Lookup!$A:$A,1,FALSE)</f>
        <v>#N/A</v>
      </c>
    </row>
    <row r="110" spans="1:8" hidden="1" x14ac:dyDescent="0.35">
      <c r="A110" t="s">
        <v>392</v>
      </c>
      <c r="B110">
        <v>2021</v>
      </c>
      <c r="C110" t="s">
        <v>393</v>
      </c>
      <c r="D110" t="s">
        <v>394</v>
      </c>
      <c r="E110" t="s">
        <v>112</v>
      </c>
      <c r="F110" t="s">
        <v>199</v>
      </c>
      <c r="G110" t="b">
        <f t="shared" si="1"/>
        <v>1</v>
      </c>
      <c r="H110" t="e">
        <f>VLOOKUP(A110,ID_Lookup!$A:$A,1,FALSE)</f>
        <v>#N/A</v>
      </c>
    </row>
    <row r="111" spans="1:8" hidden="1" x14ac:dyDescent="0.35">
      <c r="A111" t="s">
        <v>395</v>
      </c>
      <c r="B111">
        <v>2021</v>
      </c>
      <c r="C111" t="s">
        <v>396</v>
      </c>
      <c r="D111" t="s">
        <v>397</v>
      </c>
      <c r="E111" t="s">
        <v>112</v>
      </c>
      <c r="F111" t="s">
        <v>199</v>
      </c>
      <c r="G111" t="b">
        <f t="shared" si="1"/>
        <v>1</v>
      </c>
      <c r="H111" t="e">
        <f>VLOOKUP(A111,ID_Lookup!$A:$A,1,FALSE)</f>
        <v>#N/A</v>
      </c>
    </row>
    <row r="112" spans="1:8" x14ac:dyDescent="0.35">
      <c r="A112" t="s">
        <v>398</v>
      </c>
      <c r="B112">
        <v>2021</v>
      </c>
      <c r="C112" t="s">
        <v>399</v>
      </c>
      <c r="D112" t="s">
        <v>400</v>
      </c>
      <c r="E112" t="s">
        <v>112</v>
      </c>
      <c r="F112" t="s">
        <v>199</v>
      </c>
      <c r="G112" t="b">
        <f t="shared" si="1"/>
        <v>1</v>
      </c>
      <c r="H112" t="str">
        <f>VLOOKUP(A112,ID_Lookup!$A:$A,1,FALSE)</f>
        <v>J2840</v>
      </c>
    </row>
    <row r="113" spans="1:8" x14ac:dyDescent="0.35">
      <c r="A113" t="s">
        <v>401</v>
      </c>
      <c r="B113">
        <v>2021</v>
      </c>
      <c r="C113" t="s">
        <v>402</v>
      </c>
      <c r="D113" t="s">
        <v>403</v>
      </c>
      <c r="E113" t="s">
        <v>112</v>
      </c>
      <c r="F113" t="s">
        <v>199</v>
      </c>
      <c r="G113" t="b">
        <f t="shared" si="1"/>
        <v>1</v>
      </c>
      <c r="H113" t="str">
        <f>VLOOKUP(A113,ID_Lookup!$A:$A,1,FALSE)</f>
        <v>J2841</v>
      </c>
    </row>
    <row r="114" spans="1:8" x14ac:dyDescent="0.35">
      <c r="A114" t="s">
        <v>404</v>
      </c>
      <c r="B114">
        <v>2021</v>
      </c>
      <c r="C114" t="s">
        <v>405</v>
      </c>
      <c r="D114" t="s">
        <v>406</v>
      </c>
      <c r="E114" t="s">
        <v>112</v>
      </c>
      <c r="F114" t="s">
        <v>199</v>
      </c>
      <c r="G114" t="b">
        <f t="shared" si="1"/>
        <v>1</v>
      </c>
      <c r="H114" t="str">
        <f>VLOOKUP(A114,ID_Lookup!$A:$A,1,FALSE)</f>
        <v>J2842</v>
      </c>
    </row>
    <row r="115" spans="1:8" x14ac:dyDescent="0.35">
      <c r="A115" t="s">
        <v>407</v>
      </c>
      <c r="B115">
        <v>2021</v>
      </c>
      <c r="C115" t="s">
        <v>408</v>
      </c>
      <c r="D115" t="s">
        <v>409</v>
      </c>
      <c r="E115" t="s">
        <v>112</v>
      </c>
      <c r="F115" t="s">
        <v>199</v>
      </c>
      <c r="G115" t="b">
        <f t="shared" si="1"/>
        <v>1</v>
      </c>
      <c r="H115" t="str">
        <f>VLOOKUP(A115,ID_Lookup!$A:$A,1,FALSE)</f>
        <v>J2843</v>
      </c>
    </row>
    <row r="116" spans="1:8" x14ac:dyDescent="0.35">
      <c r="A116" t="s">
        <v>410</v>
      </c>
      <c r="B116">
        <v>2021</v>
      </c>
      <c r="C116" t="s">
        <v>411</v>
      </c>
      <c r="D116" t="s">
        <v>412</v>
      </c>
      <c r="E116" t="s">
        <v>112</v>
      </c>
      <c r="F116" t="s">
        <v>199</v>
      </c>
      <c r="G116" t="b">
        <f t="shared" si="1"/>
        <v>1</v>
      </c>
      <c r="H116" t="str">
        <f>VLOOKUP(A116,ID_Lookup!$A:$A,1,FALSE)</f>
        <v>J2844</v>
      </c>
    </row>
    <row r="117" spans="1:8" x14ac:dyDescent="0.35">
      <c r="A117" t="s">
        <v>413</v>
      </c>
      <c r="B117">
        <v>2021</v>
      </c>
      <c r="C117" t="s">
        <v>414</v>
      </c>
      <c r="D117" t="s">
        <v>415</v>
      </c>
      <c r="E117" t="s">
        <v>173</v>
      </c>
      <c r="F117" t="s">
        <v>192</v>
      </c>
      <c r="G117" t="b">
        <f t="shared" si="1"/>
        <v>0</v>
      </c>
      <c r="H117" t="str">
        <f>VLOOKUP(A117,ID_Lookup!$A:$A,1,FALSE)</f>
        <v>J2845</v>
      </c>
    </row>
    <row r="118" spans="1:8" x14ac:dyDescent="0.35">
      <c r="A118" t="s">
        <v>416</v>
      </c>
      <c r="B118">
        <v>2021</v>
      </c>
      <c r="C118" t="s">
        <v>417</v>
      </c>
      <c r="D118" t="s">
        <v>418</v>
      </c>
      <c r="E118" t="s">
        <v>112</v>
      </c>
      <c r="F118" t="s">
        <v>199</v>
      </c>
      <c r="G118" t="b">
        <f t="shared" si="1"/>
        <v>1</v>
      </c>
      <c r="H118" t="str">
        <f>VLOOKUP(A118,ID_Lookup!$A:$A,1,FALSE)</f>
        <v>J2846</v>
      </c>
    </row>
    <row r="119" spans="1:8" x14ac:dyDescent="0.35">
      <c r="A119" t="s">
        <v>419</v>
      </c>
      <c r="B119">
        <v>2021</v>
      </c>
      <c r="C119" t="s">
        <v>420</v>
      </c>
      <c r="D119" t="s">
        <v>421</v>
      </c>
      <c r="E119" t="s">
        <v>112</v>
      </c>
      <c r="F119" t="s">
        <v>199</v>
      </c>
      <c r="G119" t="b">
        <f t="shared" si="1"/>
        <v>1</v>
      </c>
      <c r="H119" t="str">
        <f>VLOOKUP(A119,ID_Lookup!$A:$A,1,FALSE)</f>
        <v>J2847</v>
      </c>
    </row>
    <row r="120" spans="1:8" x14ac:dyDescent="0.35">
      <c r="A120" t="s">
        <v>422</v>
      </c>
      <c r="B120">
        <v>2021</v>
      </c>
      <c r="C120" t="s">
        <v>423</v>
      </c>
      <c r="D120" t="s">
        <v>424</v>
      </c>
      <c r="E120" t="s">
        <v>112</v>
      </c>
      <c r="F120" t="s">
        <v>199</v>
      </c>
      <c r="G120" t="b">
        <f t="shared" si="1"/>
        <v>1</v>
      </c>
      <c r="H120" t="str">
        <f>VLOOKUP(A120,ID_Lookup!$A:$A,1,FALSE)</f>
        <v>J2848</v>
      </c>
    </row>
    <row r="121" spans="1:8" x14ac:dyDescent="0.35">
      <c r="A121" t="s">
        <v>425</v>
      </c>
      <c r="B121">
        <v>2021</v>
      </c>
      <c r="C121" t="s">
        <v>426</v>
      </c>
      <c r="D121" t="s">
        <v>427</v>
      </c>
      <c r="E121" t="s">
        <v>112</v>
      </c>
      <c r="F121" t="s">
        <v>199</v>
      </c>
      <c r="G121" t="b">
        <f t="shared" si="1"/>
        <v>1</v>
      </c>
      <c r="H121" t="str">
        <f>VLOOKUP(A121,ID_Lookup!$A:$A,1,FALSE)</f>
        <v>J2849</v>
      </c>
    </row>
    <row r="122" spans="1:8" x14ac:dyDescent="0.35">
      <c r="A122" t="s">
        <v>428</v>
      </c>
      <c r="B122">
        <v>2021</v>
      </c>
      <c r="C122" t="s">
        <v>429</v>
      </c>
      <c r="D122" t="s">
        <v>430</v>
      </c>
      <c r="E122" t="s">
        <v>112</v>
      </c>
      <c r="F122" t="s">
        <v>199</v>
      </c>
      <c r="G122" t="b">
        <f t="shared" si="1"/>
        <v>1</v>
      </c>
      <c r="H122" t="str">
        <f>VLOOKUP(A122,ID_Lookup!$A:$A,1,FALSE)</f>
        <v>J2850</v>
      </c>
    </row>
    <row r="123" spans="1:8" x14ac:dyDescent="0.35">
      <c r="A123" t="s">
        <v>431</v>
      </c>
      <c r="B123">
        <v>2021</v>
      </c>
      <c r="C123" t="s">
        <v>432</v>
      </c>
      <c r="D123" t="s">
        <v>433</v>
      </c>
      <c r="E123" t="s">
        <v>112</v>
      </c>
      <c r="F123" t="s">
        <v>199</v>
      </c>
      <c r="G123" t="b">
        <f t="shared" si="1"/>
        <v>1</v>
      </c>
      <c r="H123" t="str">
        <f>VLOOKUP(A123,ID_Lookup!$A:$A,1,FALSE)</f>
        <v>J2851</v>
      </c>
    </row>
    <row r="124" spans="1:8" x14ac:dyDescent="0.35">
      <c r="A124" t="s">
        <v>434</v>
      </c>
      <c r="B124">
        <v>2021</v>
      </c>
      <c r="C124" t="s">
        <v>435</v>
      </c>
      <c r="D124" t="s">
        <v>436</v>
      </c>
      <c r="E124" t="s">
        <v>112</v>
      </c>
      <c r="F124" t="s">
        <v>199</v>
      </c>
      <c r="G124" t="b">
        <f t="shared" si="1"/>
        <v>1</v>
      </c>
      <c r="H124" t="str">
        <f>VLOOKUP(A124,ID_Lookup!$A:$A,1,FALSE)</f>
        <v>J2852</v>
      </c>
    </row>
    <row r="125" spans="1:8" x14ac:dyDescent="0.35">
      <c r="A125" t="s">
        <v>437</v>
      </c>
      <c r="B125">
        <v>2021</v>
      </c>
      <c r="C125" t="s">
        <v>438</v>
      </c>
      <c r="D125" t="s">
        <v>439</v>
      </c>
      <c r="E125" t="s">
        <v>112</v>
      </c>
      <c r="F125" t="s">
        <v>199</v>
      </c>
      <c r="G125" t="b">
        <f t="shared" si="1"/>
        <v>1</v>
      </c>
      <c r="H125" t="str">
        <f>VLOOKUP(A125,ID_Lookup!$A:$A,1,FALSE)</f>
        <v>J2853</v>
      </c>
    </row>
    <row r="126" spans="1:8" x14ac:dyDescent="0.35">
      <c r="A126" t="s">
        <v>440</v>
      </c>
      <c r="B126">
        <v>2021</v>
      </c>
      <c r="C126" t="s">
        <v>441</v>
      </c>
      <c r="D126" t="s">
        <v>442</v>
      </c>
      <c r="E126" t="s">
        <v>112</v>
      </c>
      <c r="F126" t="s">
        <v>199</v>
      </c>
      <c r="G126" t="b">
        <f t="shared" si="1"/>
        <v>1</v>
      </c>
      <c r="H126" t="str">
        <f>VLOOKUP(A126,ID_Lookup!$A:$A,1,FALSE)</f>
        <v>J2854</v>
      </c>
    </row>
    <row r="127" spans="1:8" x14ac:dyDescent="0.35">
      <c r="A127" t="s">
        <v>443</v>
      </c>
      <c r="B127">
        <v>2021</v>
      </c>
      <c r="C127" t="s">
        <v>444</v>
      </c>
      <c r="D127" t="s">
        <v>445</v>
      </c>
      <c r="E127" t="s">
        <v>112</v>
      </c>
      <c r="F127" t="s">
        <v>199</v>
      </c>
      <c r="G127" t="b">
        <f t="shared" si="1"/>
        <v>1</v>
      </c>
      <c r="H127" t="str">
        <f>VLOOKUP(A127,ID_Lookup!$A:$A,1,FALSE)</f>
        <v>J2855</v>
      </c>
    </row>
    <row r="128" spans="1:8" x14ac:dyDescent="0.35">
      <c r="A128" t="s">
        <v>446</v>
      </c>
      <c r="B128">
        <v>2021</v>
      </c>
      <c r="C128" t="s">
        <v>447</v>
      </c>
      <c r="D128" t="s">
        <v>448</v>
      </c>
      <c r="E128" t="s">
        <v>112</v>
      </c>
      <c r="F128" t="s">
        <v>199</v>
      </c>
      <c r="G128" t="b">
        <f t="shared" si="1"/>
        <v>1</v>
      </c>
      <c r="H128" t="str">
        <f>VLOOKUP(A128,ID_Lookup!$A:$A,1,FALSE)</f>
        <v>J2856</v>
      </c>
    </row>
    <row r="129" spans="1:8" x14ac:dyDescent="0.35">
      <c r="A129" t="s">
        <v>449</v>
      </c>
      <c r="B129">
        <v>2021</v>
      </c>
      <c r="C129" t="s">
        <v>450</v>
      </c>
      <c r="D129" t="s">
        <v>451</v>
      </c>
      <c r="E129" t="s">
        <v>112</v>
      </c>
      <c r="F129" t="s">
        <v>199</v>
      </c>
      <c r="G129" t="b">
        <f t="shared" si="1"/>
        <v>1</v>
      </c>
      <c r="H129" t="str">
        <f>VLOOKUP(A129,ID_Lookup!$A:$A,1,FALSE)</f>
        <v>J2857</v>
      </c>
    </row>
    <row r="130" spans="1:8" x14ac:dyDescent="0.35">
      <c r="A130" t="s">
        <v>452</v>
      </c>
      <c r="B130">
        <v>2021</v>
      </c>
      <c r="C130" t="s">
        <v>453</v>
      </c>
      <c r="D130" t="s">
        <v>454</v>
      </c>
      <c r="E130" t="s">
        <v>112</v>
      </c>
      <c r="F130" t="s">
        <v>199</v>
      </c>
      <c r="G130" t="b">
        <f t="shared" si="1"/>
        <v>1</v>
      </c>
      <c r="H130" t="str">
        <f>VLOOKUP(A130,ID_Lookup!$A:$A,1,FALSE)</f>
        <v>J2858</v>
      </c>
    </row>
    <row r="131" spans="1:8" hidden="1" x14ac:dyDescent="0.35">
      <c r="A131" t="s">
        <v>455</v>
      </c>
      <c r="B131">
        <v>2021</v>
      </c>
      <c r="C131" t="s">
        <v>456</v>
      </c>
      <c r="D131" t="s">
        <v>457</v>
      </c>
      <c r="E131" t="s">
        <v>112</v>
      </c>
      <c r="F131" t="s">
        <v>199</v>
      </c>
      <c r="G131" t="b">
        <f t="shared" ref="G131:G194" si="2">IF(E131="Include", TRUE, FALSE)</f>
        <v>1</v>
      </c>
      <c r="H131" t="e">
        <f>VLOOKUP(A131,ID_Lookup!$A:$A,1,FALSE)</f>
        <v>#N/A</v>
      </c>
    </row>
    <row r="132" spans="1:8" hidden="1" x14ac:dyDescent="0.35">
      <c r="A132" t="s">
        <v>458</v>
      </c>
      <c r="B132">
        <v>2021</v>
      </c>
      <c r="C132" t="s">
        <v>459</v>
      </c>
      <c r="D132" t="s">
        <v>460</v>
      </c>
      <c r="E132" t="s">
        <v>112</v>
      </c>
      <c r="F132" t="s">
        <v>199</v>
      </c>
      <c r="G132" t="b">
        <f t="shared" si="2"/>
        <v>1</v>
      </c>
      <c r="H132" t="e">
        <f>VLOOKUP(A132,ID_Lookup!$A:$A,1,FALSE)</f>
        <v>#N/A</v>
      </c>
    </row>
    <row r="133" spans="1:8" x14ac:dyDescent="0.35">
      <c r="A133" t="s">
        <v>461</v>
      </c>
      <c r="B133">
        <v>2021</v>
      </c>
      <c r="C133" t="s">
        <v>462</v>
      </c>
      <c r="D133" t="s">
        <v>463</v>
      </c>
      <c r="E133" t="s">
        <v>112</v>
      </c>
      <c r="F133" t="s">
        <v>199</v>
      </c>
      <c r="G133" t="b">
        <f t="shared" si="2"/>
        <v>1</v>
      </c>
      <c r="H133" t="str">
        <f>VLOOKUP(A133,ID_Lookup!$A:$A,1,FALSE)</f>
        <v>J2861</v>
      </c>
    </row>
    <row r="134" spans="1:8" x14ac:dyDescent="0.35">
      <c r="A134" t="s">
        <v>464</v>
      </c>
      <c r="B134">
        <v>2021</v>
      </c>
      <c r="C134" t="s">
        <v>465</v>
      </c>
      <c r="D134" t="s">
        <v>466</v>
      </c>
      <c r="E134" t="s">
        <v>112</v>
      </c>
      <c r="F134" t="s">
        <v>199</v>
      </c>
      <c r="G134" t="b">
        <f t="shared" si="2"/>
        <v>1</v>
      </c>
      <c r="H134" t="str">
        <f>VLOOKUP(A134,ID_Lookup!$A:$A,1,FALSE)</f>
        <v>J2862</v>
      </c>
    </row>
    <row r="135" spans="1:8" x14ac:dyDescent="0.35">
      <c r="A135" t="s">
        <v>467</v>
      </c>
      <c r="B135">
        <v>2021</v>
      </c>
      <c r="C135" t="s">
        <v>468</v>
      </c>
      <c r="D135" t="s">
        <v>469</v>
      </c>
      <c r="E135" t="s">
        <v>112</v>
      </c>
      <c r="F135" t="s">
        <v>199</v>
      </c>
      <c r="G135" t="b">
        <f t="shared" si="2"/>
        <v>1</v>
      </c>
      <c r="H135" t="str">
        <f>VLOOKUP(A135,ID_Lookup!$A:$A,1,FALSE)</f>
        <v>J2863</v>
      </c>
    </row>
    <row r="136" spans="1:8" x14ac:dyDescent="0.35">
      <c r="A136" t="s">
        <v>470</v>
      </c>
      <c r="B136">
        <v>2021</v>
      </c>
      <c r="C136" t="s">
        <v>471</v>
      </c>
      <c r="D136" t="s">
        <v>472</v>
      </c>
      <c r="E136" t="s">
        <v>173</v>
      </c>
      <c r="F136" t="s">
        <v>192</v>
      </c>
      <c r="G136" t="b">
        <f t="shared" si="2"/>
        <v>0</v>
      </c>
      <c r="H136" t="str">
        <f>VLOOKUP(A136,ID_Lookup!$A:$A,1,FALSE)</f>
        <v>J2864</v>
      </c>
    </row>
    <row r="137" spans="1:8" x14ac:dyDescent="0.35">
      <c r="A137" t="s">
        <v>473</v>
      </c>
      <c r="B137">
        <v>2021</v>
      </c>
      <c r="C137" t="s">
        <v>474</v>
      </c>
      <c r="D137" t="s">
        <v>475</v>
      </c>
      <c r="E137" t="s">
        <v>112</v>
      </c>
      <c r="F137" t="s">
        <v>199</v>
      </c>
      <c r="G137" t="b">
        <f t="shared" si="2"/>
        <v>1</v>
      </c>
      <c r="H137" t="str">
        <f>VLOOKUP(A137,ID_Lookup!$A:$A,1,FALSE)</f>
        <v>J2865</v>
      </c>
    </row>
    <row r="138" spans="1:8" x14ac:dyDescent="0.35">
      <c r="A138" t="s">
        <v>476</v>
      </c>
      <c r="B138">
        <v>2021</v>
      </c>
      <c r="C138" t="s">
        <v>477</v>
      </c>
      <c r="D138" t="s">
        <v>478</v>
      </c>
      <c r="E138" t="s">
        <v>173</v>
      </c>
      <c r="F138" t="s">
        <v>192</v>
      </c>
      <c r="G138" t="b">
        <f t="shared" si="2"/>
        <v>0</v>
      </c>
      <c r="H138" t="str">
        <f>VLOOKUP(A138,ID_Lookup!$A:$A,1,FALSE)</f>
        <v>J2866</v>
      </c>
    </row>
    <row r="139" spans="1:8" x14ac:dyDescent="0.35">
      <c r="A139" t="s">
        <v>479</v>
      </c>
      <c r="B139">
        <v>2021</v>
      </c>
      <c r="C139" t="s">
        <v>480</v>
      </c>
      <c r="D139" t="s">
        <v>481</v>
      </c>
      <c r="E139" t="s">
        <v>112</v>
      </c>
      <c r="F139" t="s">
        <v>199</v>
      </c>
      <c r="G139" t="b">
        <f t="shared" si="2"/>
        <v>1</v>
      </c>
      <c r="H139" t="str">
        <f>VLOOKUP(A139,ID_Lookup!$A:$A,1,FALSE)</f>
        <v>J2867</v>
      </c>
    </row>
    <row r="140" spans="1:8" x14ac:dyDescent="0.35">
      <c r="A140" t="s">
        <v>482</v>
      </c>
      <c r="B140">
        <v>2021</v>
      </c>
      <c r="C140" t="s">
        <v>483</v>
      </c>
      <c r="D140" t="s">
        <v>484</v>
      </c>
      <c r="E140" t="s">
        <v>112</v>
      </c>
      <c r="F140" t="s">
        <v>199</v>
      </c>
      <c r="G140" t="b">
        <f t="shared" si="2"/>
        <v>1</v>
      </c>
      <c r="H140" t="str">
        <f>VLOOKUP(A140,ID_Lookup!$A:$A,1,FALSE)</f>
        <v>J2868</v>
      </c>
    </row>
    <row r="141" spans="1:8" x14ac:dyDescent="0.35">
      <c r="A141" t="s">
        <v>485</v>
      </c>
      <c r="B141">
        <v>2021</v>
      </c>
      <c r="C141" t="s">
        <v>486</v>
      </c>
      <c r="D141" t="s">
        <v>487</v>
      </c>
      <c r="E141" t="s">
        <v>112</v>
      </c>
      <c r="F141" t="s">
        <v>199</v>
      </c>
      <c r="G141" t="b">
        <f t="shared" si="2"/>
        <v>1</v>
      </c>
      <c r="H141" t="str">
        <f>VLOOKUP(A141,ID_Lookup!$A:$A,1,FALSE)</f>
        <v>J2869</v>
      </c>
    </row>
    <row r="142" spans="1:8" x14ac:dyDescent="0.35">
      <c r="A142" t="s">
        <v>488</v>
      </c>
      <c r="B142">
        <v>2021</v>
      </c>
      <c r="C142" t="s">
        <v>489</v>
      </c>
      <c r="D142" t="s">
        <v>490</v>
      </c>
      <c r="E142" t="s">
        <v>112</v>
      </c>
      <c r="F142" t="s">
        <v>199</v>
      </c>
      <c r="G142" t="b">
        <f t="shared" si="2"/>
        <v>1</v>
      </c>
      <c r="H142" t="str">
        <f>VLOOKUP(A142,ID_Lookup!$A:$A,1,FALSE)</f>
        <v>J2870</v>
      </c>
    </row>
    <row r="143" spans="1:8" x14ac:dyDescent="0.35">
      <c r="A143" t="s">
        <v>491</v>
      </c>
      <c r="B143">
        <v>2021</v>
      </c>
      <c r="C143" t="s">
        <v>492</v>
      </c>
      <c r="D143" t="s">
        <v>493</v>
      </c>
      <c r="E143" t="s">
        <v>112</v>
      </c>
      <c r="F143" t="s">
        <v>199</v>
      </c>
      <c r="G143" t="b">
        <f t="shared" si="2"/>
        <v>1</v>
      </c>
      <c r="H143" t="str">
        <f>VLOOKUP(A143,ID_Lookup!$A:$A,1,FALSE)</f>
        <v>J2871</v>
      </c>
    </row>
    <row r="144" spans="1:8" x14ac:dyDescent="0.35">
      <c r="A144" t="s">
        <v>494</v>
      </c>
      <c r="B144">
        <v>2021</v>
      </c>
      <c r="C144" t="s">
        <v>495</v>
      </c>
      <c r="D144" t="s">
        <v>496</v>
      </c>
      <c r="E144" t="s">
        <v>173</v>
      </c>
      <c r="F144" t="s">
        <v>192</v>
      </c>
      <c r="G144" t="b">
        <f t="shared" si="2"/>
        <v>0</v>
      </c>
      <c r="H144" t="str">
        <f>VLOOKUP(A144,ID_Lookup!$A:$A,1,FALSE)</f>
        <v>J2872</v>
      </c>
    </row>
    <row r="145" spans="1:8" x14ac:dyDescent="0.35">
      <c r="A145" t="s">
        <v>497</v>
      </c>
      <c r="B145">
        <v>2021</v>
      </c>
      <c r="C145" t="s">
        <v>498</v>
      </c>
      <c r="D145" t="s">
        <v>499</v>
      </c>
      <c r="E145" t="s">
        <v>173</v>
      </c>
      <c r="F145" t="s">
        <v>192</v>
      </c>
      <c r="G145" t="b">
        <f t="shared" si="2"/>
        <v>0</v>
      </c>
      <c r="H145" t="str">
        <f>VLOOKUP(A145,ID_Lookup!$A:$A,1,FALSE)</f>
        <v>J2873</v>
      </c>
    </row>
    <row r="146" spans="1:8" x14ac:dyDescent="0.35">
      <c r="A146" t="s">
        <v>500</v>
      </c>
      <c r="B146">
        <v>2021</v>
      </c>
      <c r="C146" t="s">
        <v>501</v>
      </c>
      <c r="D146" t="s">
        <v>502</v>
      </c>
      <c r="E146" t="s">
        <v>173</v>
      </c>
      <c r="F146" t="s">
        <v>192</v>
      </c>
      <c r="G146" t="b">
        <f t="shared" si="2"/>
        <v>0</v>
      </c>
      <c r="H146" t="str">
        <f>VLOOKUP(A146,ID_Lookup!$A:$A,1,FALSE)</f>
        <v>J2874</v>
      </c>
    </row>
    <row r="147" spans="1:8" hidden="1" x14ac:dyDescent="0.35">
      <c r="A147" t="s">
        <v>503</v>
      </c>
      <c r="B147">
        <v>2021</v>
      </c>
      <c r="C147" t="s">
        <v>504</v>
      </c>
      <c r="D147" t="s">
        <v>505</v>
      </c>
      <c r="E147" t="s">
        <v>112</v>
      </c>
      <c r="F147" t="s">
        <v>199</v>
      </c>
      <c r="G147" t="b">
        <f t="shared" si="2"/>
        <v>1</v>
      </c>
      <c r="H147" t="e">
        <f>VLOOKUP(A147,ID_Lookup!$A:$A,1,FALSE)</f>
        <v>#N/A</v>
      </c>
    </row>
    <row r="148" spans="1:8" x14ac:dyDescent="0.35">
      <c r="A148" t="s">
        <v>506</v>
      </c>
      <c r="B148">
        <v>2021</v>
      </c>
      <c r="C148" t="s">
        <v>507</v>
      </c>
      <c r="D148" t="s">
        <v>508</v>
      </c>
      <c r="E148" t="s">
        <v>112</v>
      </c>
      <c r="F148" t="s">
        <v>199</v>
      </c>
      <c r="G148" t="b">
        <f t="shared" si="2"/>
        <v>1</v>
      </c>
      <c r="H148" t="str">
        <f>VLOOKUP(A148,ID_Lookup!$A:$A,1,FALSE)</f>
        <v>J2876</v>
      </c>
    </row>
    <row r="149" spans="1:8" x14ac:dyDescent="0.35">
      <c r="A149" t="s">
        <v>509</v>
      </c>
      <c r="B149">
        <v>2021</v>
      </c>
      <c r="C149" t="s">
        <v>510</v>
      </c>
      <c r="D149" t="s">
        <v>511</v>
      </c>
      <c r="E149" t="s">
        <v>112</v>
      </c>
      <c r="F149" t="s">
        <v>199</v>
      </c>
      <c r="G149" t="b">
        <f t="shared" si="2"/>
        <v>1</v>
      </c>
      <c r="H149" t="str">
        <f>VLOOKUP(A149,ID_Lookup!$A:$A,1,FALSE)</f>
        <v>J2877</v>
      </c>
    </row>
    <row r="150" spans="1:8" x14ac:dyDescent="0.35">
      <c r="A150" t="s">
        <v>512</v>
      </c>
      <c r="B150">
        <v>2021</v>
      </c>
      <c r="C150" t="s">
        <v>513</v>
      </c>
      <c r="D150" t="s">
        <v>514</v>
      </c>
      <c r="E150" t="s">
        <v>112</v>
      </c>
      <c r="F150" t="s">
        <v>199</v>
      </c>
      <c r="G150" t="b">
        <f t="shared" si="2"/>
        <v>1</v>
      </c>
      <c r="H150" t="str">
        <f>VLOOKUP(A150,ID_Lookup!$A:$A,1,FALSE)</f>
        <v>J2878</v>
      </c>
    </row>
    <row r="151" spans="1:8" x14ac:dyDescent="0.35">
      <c r="A151" t="s">
        <v>515</v>
      </c>
      <c r="B151">
        <v>2021</v>
      </c>
      <c r="C151" t="s">
        <v>516</v>
      </c>
      <c r="D151" t="s">
        <v>517</v>
      </c>
      <c r="E151" t="s">
        <v>112</v>
      </c>
      <c r="F151" t="s">
        <v>199</v>
      </c>
      <c r="G151" t="b">
        <f t="shared" si="2"/>
        <v>1</v>
      </c>
      <c r="H151" t="str">
        <f>VLOOKUP(A151,ID_Lookup!$A:$A,1,FALSE)</f>
        <v>J2879</v>
      </c>
    </row>
    <row r="152" spans="1:8" x14ac:dyDescent="0.35">
      <c r="A152" t="s">
        <v>518</v>
      </c>
      <c r="B152">
        <v>2021</v>
      </c>
      <c r="C152" t="s">
        <v>519</v>
      </c>
      <c r="D152" t="s">
        <v>499</v>
      </c>
      <c r="E152" t="s">
        <v>112</v>
      </c>
      <c r="F152" t="s">
        <v>199</v>
      </c>
      <c r="G152" t="b">
        <f t="shared" si="2"/>
        <v>1</v>
      </c>
      <c r="H152" t="str">
        <f>VLOOKUP(A152,ID_Lookup!$A:$A,1,FALSE)</f>
        <v>J2880</v>
      </c>
    </row>
    <row r="153" spans="1:8" x14ac:dyDescent="0.35">
      <c r="A153" t="s">
        <v>520</v>
      </c>
      <c r="B153">
        <v>2021</v>
      </c>
      <c r="C153" t="s">
        <v>521</v>
      </c>
      <c r="D153" t="s">
        <v>522</v>
      </c>
      <c r="E153" t="s">
        <v>112</v>
      </c>
      <c r="F153" t="s">
        <v>199</v>
      </c>
      <c r="G153" t="b">
        <f t="shared" si="2"/>
        <v>1</v>
      </c>
      <c r="H153" t="str">
        <f>VLOOKUP(A153,ID_Lookup!$A:$A,1,FALSE)</f>
        <v>J2881</v>
      </c>
    </row>
    <row r="154" spans="1:8" x14ac:dyDescent="0.35">
      <c r="A154" t="s">
        <v>523</v>
      </c>
      <c r="B154">
        <v>2021</v>
      </c>
      <c r="C154" t="s">
        <v>524</v>
      </c>
      <c r="D154" t="s">
        <v>525</v>
      </c>
      <c r="E154" t="s">
        <v>112</v>
      </c>
      <c r="F154" t="s">
        <v>199</v>
      </c>
      <c r="G154" t="b">
        <f t="shared" si="2"/>
        <v>1</v>
      </c>
      <c r="H154" t="str">
        <f>VLOOKUP(A154,ID_Lookup!$A:$A,1,FALSE)</f>
        <v>J2882</v>
      </c>
    </row>
    <row r="155" spans="1:8" x14ac:dyDescent="0.35">
      <c r="A155" t="s">
        <v>526</v>
      </c>
      <c r="B155">
        <v>2021</v>
      </c>
      <c r="C155" t="s">
        <v>527</v>
      </c>
      <c r="D155" t="s">
        <v>528</v>
      </c>
      <c r="E155" t="s">
        <v>112</v>
      </c>
      <c r="F155" t="s">
        <v>199</v>
      </c>
      <c r="G155" t="b">
        <f t="shared" si="2"/>
        <v>1</v>
      </c>
      <c r="H155" t="str">
        <f>VLOOKUP(A155,ID_Lookup!$A:$A,1,FALSE)</f>
        <v>J2883</v>
      </c>
    </row>
    <row r="156" spans="1:8" x14ac:dyDescent="0.35">
      <c r="A156" t="s">
        <v>529</v>
      </c>
      <c r="B156">
        <v>2021</v>
      </c>
      <c r="C156" t="s">
        <v>530</v>
      </c>
      <c r="D156" t="s">
        <v>531</v>
      </c>
      <c r="E156" t="s">
        <v>112</v>
      </c>
      <c r="F156" t="s">
        <v>199</v>
      </c>
      <c r="G156" t="b">
        <f t="shared" si="2"/>
        <v>1</v>
      </c>
      <c r="H156" t="str">
        <f>VLOOKUP(A156,ID_Lookup!$A:$A,1,FALSE)</f>
        <v>J2884</v>
      </c>
    </row>
    <row r="157" spans="1:8" x14ac:dyDescent="0.35">
      <c r="A157" t="s">
        <v>532</v>
      </c>
      <c r="B157">
        <v>2021</v>
      </c>
      <c r="C157" t="s">
        <v>533</v>
      </c>
      <c r="D157" t="s">
        <v>534</v>
      </c>
      <c r="E157" t="s">
        <v>112</v>
      </c>
      <c r="F157" t="s">
        <v>668</v>
      </c>
      <c r="G157" t="b">
        <f t="shared" si="2"/>
        <v>1</v>
      </c>
      <c r="H157" t="str">
        <f>VLOOKUP(A157,ID_Lookup!$A:$A,1,FALSE)</f>
        <v>J2885</v>
      </c>
    </row>
    <row r="158" spans="1:8" x14ac:dyDescent="0.35">
      <c r="A158" t="s">
        <v>535</v>
      </c>
      <c r="B158">
        <v>2021</v>
      </c>
      <c r="C158" t="s">
        <v>536</v>
      </c>
      <c r="D158" t="s">
        <v>537</v>
      </c>
      <c r="E158" t="s">
        <v>112</v>
      </c>
      <c r="F158" t="s">
        <v>199</v>
      </c>
      <c r="G158" t="b">
        <f t="shared" si="2"/>
        <v>1</v>
      </c>
      <c r="H158" t="str">
        <f>VLOOKUP(A158,ID_Lookup!$A:$A,1,FALSE)</f>
        <v>J2886</v>
      </c>
    </row>
    <row r="159" spans="1:8" x14ac:dyDescent="0.35">
      <c r="A159" t="s">
        <v>538</v>
      </c>
      <c r="B159">
        <v>2021</v>
      </c>
      <c r="C159" t="s">
        <v>539</v>
      </c>
      <c r="D159" t="s">
        <v>540</v>
      </c>
      <c r="E159" t="s">
        <v>112</v>
      </c>
      <c r="F159" t="s">
        <v>199</v>
      </c>
      <c r="G159" t="b">
        <f t="shared" si="2"/>
        <v>1</v>
      </c>
      <c r="H159" t="str">
        <f>VLOOKUP(A159,ID_Lookup!$A:$A,1,FALSE)</f>
        <v>J2887</v>
      </c>
    </row>
    <row r="160" spans="1:8" x14ac:dyDescent="0.35">
      <c r="A160" t="s">
        <v>541</v>
      </c>
      <c r="B160">
        <v>2021</v>
      </c>
      <c r="C160" t="s">
        <v>542</v>
      </c>
      <c r="D160" t="s">
        <v>543</v>
      </c>
      <c r="E160" t="s">
        <v>112</v>
      </c>
      <c r="F160" t="s">
        <v>199</v>
      </c>
      <c r="G160" t="b">
        <f t="shared" si="2"/>
        <v>1</v>
      </c>
      <c r="H160" t="str">
        <f>VLOOKUP(A160,ID_Lookup!$A:$A,1,FALSE)</f>
        <v>J2888</v>
      </c>
    </row>
    <row r="161" spans="1:8" x14ac:dyDescent="0.35">
      <c r="A161" t="s">
        <v>544</v>
      </c>
      <c r="B161">
        <v>2021</v>
      </c>
      <c r="C161" t="s">
        <v>545</v>
      </c>
      <c r="D161" t="s">
        <v>546</v>
      </c>
      <c r="E161" t="s">
        <v>112</v>
      </c>
      <c r="F161" t="s">
        <v>199</v>
      </c>
      <c r="G161" t="b">
        <f t="shared" si="2"/>
        <v>1</v>
      </c>
      <c r="H161" t="str">
        <f>VLOOKUP(A161,ID_Lookup!$A:$A,1,FALSE)</f>
        <v>J2889</v>
      </c>
    </row>
    <row r="162" spans="1:8" x14ac:dyDescent="0.35">
      <c r="A162" t="s">
        <v>547</v>
      </c>
      <c r="B162">
        <v>2021</v>
      </c>
      <c r="C162" t="s">
        <v>548</v>
      </c>
      <c r="D162" t="s">
        <v>549</v>
      </c>
      <c r="E162" t="s">
        <v>112</v>
      </c>
      <c r="F162" t="s">
        <v>199</v>
      </c>
      <c r="G162" t="b">
        <f t="shared" si="2"/>
        <v>1</v>
      </c>
      <c r="H162" t="str">
        <f>VLOOKUP(A162,ID_Lookup!$A:$A,1,FALSE)</f>
        <v>J2890</v>
      </c>
    </row>
    <row r="163" spans="1:8" x14ac:dyDescent="0.35">
      <c r="A163" t="s">
        <v>550</v>
      </c>
      <c r="B163">
        <v>2021</v>
      </c>
      <c r="C163" t="s">
        <v>551</v>
      </c>
      <c r="D163" t="s">
        <v>552</v>
      </c>
      <c r="E163" t="s">
        <v>173</v>
      </c>
      <c r="F163" t="s">
        <v>192</v>
      </c>
      <c r="G163" t="b">
        <f t="shared" si="2"/>
        <v>0</v>
      </c>
      <c r="H163" t="str">
        <f>VLOOKUP(A163,ID_Lookup!$A:$A,1,FALSE)</f>
        <v>J2891</v>
      </c>
    </row>
    <row r="164" spans="1:8" x14ac:dyDescent="0.35">
      <c r="A164" t="s">
        <v>553</v>
      </c>
      <c r="B164">
        <v>2021</v>
      </c>
      <c r="C164" t="s">
        <v>554</v>
      </c>
      <c r="D164" t="s">
        <v>555</v>
      </c>
      <c r="E164" t="s">
        <v>112</v>
      </c>
      <c r="F164" t="s">
        <v>199</v>
      </c>
      <c r="G164" t="b">
        <f t="shared" si="2"/>
        <v>1</v>
      </c>
      <c r="H164" t="str">
        <f>VLOOKUP(A164,ID_Lookup!$A:$A,1,FALSE)</f>
        <v>J2892</v>
      </c>
    </row>
    <row r="165" spans="1:8" x14ac:dyDescent="0.35">
      <c r="A165" t="s">
        <v>556</v>
      </c>
      <c r="B165">
        <v>2021</v>
      </c>
      <c r="C165" t="s">
        <v>557</v>
      </c>
      <c r="D165" t="s">
        <v>558</v>
      </c>
      <c r="E165" t="s">
        <v>112</v>
      </c>
      <c r="F165" t="s">
        <v>199</v>
      </c>
      <c r="G165" t="b">
        <f t="shared" si="2"/>
        <v>1</v>
      </c>
      <c r="H165" t="str">
        <f>VLOOKUP(A165,ID_Lookup!$A:$A,1,FALSE)</f>
        <v>J2893</v>
      </c>
    </row>
    <row r="166" spans="1:8" x14ac:dyDescent="0.35">
      <c r="A166" t="s">
        <v>559</v>
      </c>
      <c r="B166">
        <v>2021</v>
      </c>
      <c r="C166" t="s">
        <v>560</v>
      </c>
      <c r="D166" t="s">
        <v>561</v>
      </c>
      <c r="E166" t="s">
        <v>112</v>
      </c>
      <c r="F166" t="s">
        <v>199</v>
      </c>
      <c r="G166" t="b">
        <f t="shared" si="2"/>
        <v>1</v>
      </c>
      <c r="H166" t="str">
        <f>VLOOKUP(A166,ID_Lookup!$A:$A,1,FALSE)</f>
        <v>J2894</v>
      </c>
    </row>
    <row r="167" spans="1:8" x14ac:dyDescent="0.35">
      <c r="A167" t="s">
        <v>562</v>
      </c>
      <c r="B167">
        <v>2021</v>
      </c>
      <c r="C167" t="s">
        <v>563</v>
      </c>
      <c r="D167" t="s">
        <v>564</v>
      </c>
      <c r="E167" t="s">
        <v>112</v>
      </c>
      <c r="F167" t="s">
        <v>199</v>
      </c>
      <c r="G167" t="b">
        <f t="shared" si="2"/>
        <v>1</v>
      </c>
      <c r="H167" t="str">
        <f>VLOOKUP(A167,ID_Lookup!$A:$A,1,FALSE)</f>
        <v>J2895</v>
      </c>
    </row>
    <row r="168" spans="1:8" x14ac:dyDescent="0.35">
      <c r="A168" t="s">
        <v>565</v>
      </c>
      <c r="B168">
        <v>2021</v>
      </c>
      <c r="C168" t="s">
        <v>566</v>
      </c>
      <c r="D168" t="s">
        <v>567</v>
      </c>
      <c r="E168" t="s">
        <v>112</v>
      </c>
      <c r="F168" t="s">
        <v>669</v>
      </c>
      <c r="G168" t="b">
        <f t="shared" si="2"/>
        <v>1</v>
      </c>
      <c r="H168" t="str">
        <f>VLOOKUP(A168,ID_Lookup!$A:$A,1,FALSE)</f>
        <v>J2896</v>
      </c>
    </row>
    <row r="169" spans="1:8" x14ac:dyDescent="0.35">
      <c r="A169" t="s">
        <v>568</v>
      </c>
      <c r="B169">
        <v>2021</v>
      </c>
      <c r="C169" t="s">
        <v>569</v>
      </c>
      <c r="D169" t="s">
        <v>570</v>
      </c>
      <c r="E169" t="s">
        <v>112</v>
      </c>
      <c r="F169" t="s">
        <v>199</v>
      </c>
      <c r="G169" t="b">
        <f t="shared" si="2"/>
        <v>1</v>
      </c>
      <c r="H169" t="str">
        <f>VLOOKUP(A169,ID_Lookup!$A:$A,1,FALSE)</f>
        <v>J2897</v>
      </c>
    </row>
    <row r="170" spans="1:8" x14ac:dyDescent="0.35">
      <c r="A170" t="s">
        <v>571</v>
      </c>
      <c r="B170">
        <v>2021</v>
      </c>
      <c r="C170" t="s">
        <v>572</v>
      </c>
      <c r="D170" t="s">
        <v>573</v>
      </c>
      <c r="E170" t="s">
        <v>112</v>
      </c>
      <c r="F170" t="s">
        <v>199</v>
      </c>
      <c r="G170" t="b">
        <f t="shared" si="2"/>
        <v>1</v>
      </c>
      <c r="H170" t="str">
        <f>VLOOKUP(A170,ID_Lookup!$A:$A,1,FALSE)</f>
        <v>J2898</v>
      </c>
    </row>
    <row r="171" spans="1:8" x14ac:dyDescent="0.35">
      <c r="A171" t="s">
        <v>574</v>
      </c>
      <c r="B171">
        <v>2021</v>
      </c>
      <c r="C171" t="s">
        <v>575</v>
      </c>
      <c r="D171" t="s">
        <v>576</v>
      </c>
      <c r="E171" t="s">
        <v>112</v>
      </c>
      <c r="F171" t="s">
        <v>199</v>
      </c>
      <c r="G171" t="b">
        <f t="shared" si="2"/>
        <v>1</v>
      </c>
      <c r="H171" t="str">
        <f>VLOOKUP(A171,ID_Lookup!$A:$A,1,FALSE)</f>
        <v>J2899</v>
      </c>
    </row>
    <row r="172" spans="1:8" hidden="1" x14ac:dyDescent="0.35">
      <c r="A172" t="s">
        <v>577</v>
      </c>
      <c r="B172">
        <v>2021</v>
      </c>
      <c r="C172" t="s">
        <v>578</v>
      </c>
      <c r="D172" t="s">
        <v>579</v>
      </c>
      <c r="E172" t="s">
        <v>112</v>
      </c>
      <c r="F172" t="s">
        <v>199</v>
      </c>
      <c r="G172" t="b">
        <f t="shared" si="2"/>
        <v>1</v>
      </c>
      <c r="H172" t="e">
        <f>VLOOKUP(A172,ID_Lookup!$A:$A,1,FALSE)</f>
        <v>#N/A</v>
      </c>
    </row>
    <row r="173" spans="1:8" hidden="1" x14ac:dyDescent="0.35">
      <c r="A173" t="s">
        <v>580</v>
      </c>
      <c r="B173">
        <v>2021</v>
      </c>
      <c r="C173" t="s">
        <v>581</v>
      </c>
      <c r="D173" t="s">
        <v>582</v>
      </c>
      <c r="E173" t="s">
        <v>112</v>
      </c>
      <c r="F173" t="s">
        <v>199</v>
      </c>
      <c r="G173" t="b">
        <f t="shared" si="2"/>
        <v>1</v>
      </c>
      <c r="H173" t="e">
        <f>VLOOKUP(A173,ID_Lookup!$A:$A,1,FALSE)</f>
        <v>#N/A</v>
      </c>
    </row>
    <row r="174" spans="1:8" x14ac:dyDescent="0.35">
      <c r="A174" t="s">
        <v>583</v>
      </c>
      <c r="B174">
        <v>2021</v>
      </c>
      <c r="C174" t="s">
        <v>584</v>
      </c>
      <c r="D174" t="s">
        <v>585</v>
      </c>
      <c r="E174" t="s">
        <v>112</v>
      </c>
      <c r="F174" t="s">
        <v>670</v>
      </c>
      <c r="G174" t="b">
        <f t="shared" si="2"/>
        <v>1</v>
      </c>
      <c r="H174" t="str">
        <f>VLOOKUP(A174,ID_Lookup!$A:$A,1,FALSE)</f>
        <v>J2902</v>
      </c>
    </row>
    <row r="175" spans="1:8" hidden="1" x14ac:dyDescent="0.35">
      <c r="A175" t="s">
        <v>586</v>
      </c>
      <c r="B175">
        <v>2021</v>
      </c>
      <c r="C175" t="s">
        <v>587</v>
      </c>
      <c r="D175" t="s">
        <v>499</v>
      </c>
      <c r="E175" t="s">
        <v>112</v>
      </c>
      <c r="F175" t="s">
        <v>199</v>
      </c>
      <c r="G175" t="b">
        <f t="shared" si="2"/>
        <v>1</v>
      </c>
      <c r="H175" t="e">
        <f>VLOOKUP(A175,ID_Lookup!$A:$A,1,FALSE)</f>
        <v>#N/A</v>
      </c>
    </row>
    <row r="176" spans="1:8" x14ac:dyDescent="0.35">
      <c r="A176" t="s">
        <v>588</v>
      </c>
      <c r="B176">
        <v>2021</v>
      </c>
      <c r="C176" t="s">
        <v>589</v>
      </c>
      <c r="D176" t="s">
        <v>590</v>
      </c>
      <c r="E176" t="s">
        <v>112</v>
      </c>
      <c r="F176" t="s">
        <v>199</v>
      </c>
      <c r="G176" t="b">
        <f t="shared" si="2"/>
        <v>1</v>
      </c>
      <c r="H176" t="str">
        <f>VLOOKUP(A176,ID_Lookup!$A:$A,1,FALSE)</f>
        <v>J2904</v>
      </c>
    </row>
    <row r="177" spans="1:8" x14ac:dyDescent="0.35">
      <c r="A177" t="s">
        <v>591</v>
      </c>
      <c r="B177">
        <v>2021</v>
      </c>
      <c r="C177" t="s">
        <v>592</v>
      </c>
      <c r="D177" t="s">
        <v>593</v>
      </c>
      <c r="E177" t="s">
        <v>112</v>
      </c>
      <c r="F177" t="s">
        <v>199</v>
      </c>
      <c r="G177" t="b">
        <f t="shared" si="2"/>
        <v>1</v>
      </c>
      <c r="H177" t="str">
        <f>VLOOKUP(A177,ID_Lookup!$A:$A,1,FALSE)</f>
        <v>J2905</v>
      </c>
    </row>
    <row r="178" spans="1:8" x14ac:dyDescent="0.35">
      <c r="A178" t="s">
        <v>594</v>
      </c>
      <c r="B178">
        <v>2021</v>
      </c>
      <c r="C178" t="s">
        <v>595</v>
      </c>
      <c r="D178" t="s">
        <v>596</v>
      </c>
      <c r="E178" t="s">
        <v>112</v>
      </c>
      <c r="F178" t="s">
        <v>199</v>
      </c>
      <c r="G178" t="b">
        <f t="shared" si="2"/>
        <v>1</v>
      </c>
      <c r="H178" t="str">
        <f>VLOOKUP(A178,ID_Lookup!$A:$A,1,FALSE)</f>
        <v>J2906</v>
      </c>
    </row>
    <row r="179" spans="1:8" x14ac:dyDescent="0.35">
      <c r="A179" t="s">
        <v>597</v>
      </c>
      <c r="B179">
        <v>2021</v>
      </c>
      <c r="C179" t="s">
        <v>598</v>
      </c>
      <c r="D179" t="s">
        <v>599</v>
      </c>
      <c r="E179" t="s">
        <v>112</v>
      </c>
      <c r="F179" t="s">
        <v>199</v>
      </c>
      <c r="G179" t="b">
        <f t="shared" si="2"/>
        <v>1</v>
      </c>
      <c r="H179" t="str">
        <f>VLOOKUP(A179,ID_Lookup!$A:$A,1,FALSE)</f>
        <v>J2907</v>
      </c>
    </row>
    <row r="180" spans="1:8" x14ac:dyDescent="0.35">
      <c r="A180" t="s">
        <v>600</v>
      </c>
      <c r="B180">
        <v>2021</v>
      </c>
      <c r="C180" t="s">
        <v>601</v>
      </c>
      <c r="D180" t="s">
        <v>602</v>
      </c>
      <c r="E180" t="s">
        <v>112</v>
      </c>
      <c r="F180" t="s">
        <v>199</v>
      </c>
      <c r="G180" t="b">
        <f t="shared" si="2"/>
        <v>1</v>
      </c>
      <c r="H180" t="str">
        <f>VLOOKUP(A180,ID_Lookup!$A:$A,1,FALSE)</f>
        <v>J2908</v>
      </c>
    </row>
    <row r="181" spans="1:8" x14ac:dyDescent="0.35">
      <c r="A181" t="s">
        <v>603</v>
      </c>
      <c r="B181">
        <v>2021</v>
      </c>
      <c r="C181" t="s">
        <v>601</v>
      </c>
      <c r="D181" t="s">
        <v>604</v>
      </c>
      <c r="E181" t="s">
        <v>112</v>
      </c>
      <c r="F181" t="s">
        <v>199</v>
      </c>
      <c r="G181" t="b">
        <f t="shared" si="2"/>
        <v>1</v>
      </c>
      <c r="H181" t="str">
        <f>VLOOKUP(A181,ID_Lookup!$A:$A,1,FALSE)</f>
        <v>J2909</v>
      </c>
    </row>
    <row r="182" spans="1:8" x14ac:dyDescent="0.35">
      <c r="A182" t="s">
        <v>605</v>
      </c>
      <c r="B182">
        <v>2021</v>
      </c>
      <c r="C182" t="s">
        <v>606</v>
      </c>
      <c r="D182" t="s">
        <v>607</v>
      </c>
      <c r="E182" t="s">
        <v>112</v>
      </c>
      <c r="F182" t="s">
        <v>199</v>
      </c>
      <c r="G182" t="b">
        <f t="shared" si="2"/>
        <v>1</v>
      </c>
      <c r="H182" t="str">
        <f>VLOOKUP(A182,ID_Lookup!$A:$A,1,FALSE)</f>
        <v>J2910</v>
      </c>
    </row>
    <row r="183" spans="1:8" x14ac:dyDescent="0.35">
      <c r="A183" t="s">
        <v>608</v>
      </c>
      <c r="B183">
        <v>2025</v>
      </c>
      <c r="C183" t="s">
        <v>609</v>
      </c>
      <c r="D183" t="s">
        <v>610</v>
      </c>
      <c r="E183" t="s">
        <v>112</v>
      </c>
      <c r="F183" t="s">
        <v>199</v>
      </c>
      <c r="G183" t="b">
        <f t="shared" si="2"/>
        <v>1</v>
      </c>
      <c r="H183" t="str">
        <f>VLOOKUP(A183,ID_Lookup!$A:$A,1,FALSE)</f>
        <v>J6200</v>
      </c>
    </row>
    <row r="184" spans="1:8" x14ac:dyDescent="0.35">
      <c r="A184" t="s">
        <v>611</v>
      </c>
      <c r="B184">
        <v>2025</v>
      </c>
      <c r="C184" t="s">
        <v>609</v>
      </c>
      <c r="D184" t="s">
        <v>612</v>
      </c>
      <c r="E184" t="s">
        <v>112</v>
      </c>
      <c r="F184" t="s">
        <v>199</v>
      </c>
      <c r="G184" t="b">
        <f t="shared" si="2"/>
        <v>1</v>
      </c>
      <c r="H184" t="str">
        <f>VLOOKUP(A184,ID_Lookup!$A:$A,1,FALSE)</f>
        <v>J6201</v>
      </c>
    </row>
    <row r="185" spans="1:8" x14ac:dyDescent="0.35">
      <c r="A185" t="s">
        <v>613</v>
      </c>
      <c r="B185">
        <v>2025</v>
      </c>
      <c r="C185" t="s">
        <v>614</v>
      </c>
      <c r="D185" t="s">
        <v>615</v>
      </c>
      <c r="E185" t="s">
        <v>112</v>
      </c>
      <c r="F185" t="s">
        <v>199</v>
      </c>
      <c r="G185" t="b">
        <f t="shared" si="2"/>
        <v>1</v>
      </c>
      <c r="H185" t="str">
        <f>VLOOKUP(A185,ID_Lookup!$A:$A,1,FALSE)</f>
        <v>J6202</v>
      </c>
    </row>
    <row r="186" spans="1:8" hidden="1" x14ac:dyDescent="0.35">
      <c r="A186" t="s">
        <v>616</v>
      </c>
      <c r="B186">
        <v>2025</v>
      </c>
      <c r="C186" t="s">
        <v>617</v>
      </c>
      <c r="D186" t="s">
        <v>618</v>
      </c>
      <c r="E186" t="s">
        <v>112</v>
      </c>
      <c r="F186" t="s">
        <v>199</v>
      </c>
      <c r="G186" t="b">
        <f t="shared" si="2"/>
        <v>1</v>
      </c>
      <c r="H186" t="e">
        <f>VLOOKUP(A186,ID_Lookup!$A:$A,1,FALSE)</f>
        <v>#N/A</v>
      </c>
    </row>
    <row r="187" spans="1:8" x14ac:dyDescent="0.35">
      <c r="A187" t="s">
        <v>619</v>
      </c>
      <c r="B187">
        <v>2025</v>
      </c>
      <c r="C187" t="s">
        <v>620</v>
      </c>
      <c r="D187" t="s">
        <v>621</v>
      </c>
      <c r="E187" t="s">
        <v>112</v>
      </c>
      <c r="F187" t="s">
        <v>199</v>
      </c>
      <c r="G187" t="b">
        <f t="shared" si="2"/>
        <v>1</v>
      </c>
      <c r="H187" t="str">
        <f>VLOOKUP(A187,ID_Lookup!$A:$A,1,FALSE)</f>
        <v>J6204</v>
      </c>
    </row>
    <row r="188" spans="1:8" x14ac:dyDescent="0.35">
      <c r="A188" t="s">
        <v>622</v>
      </c>
      <c r="B188">
        <v>2025</v>
      </c>
      <c r="C188" t="s">
        <v>623</v>
      </c>
      <c r="D188" t="s">
        <v>624</v>
      </c>
      <c r="E188" t="s">
        <v>112</v>
      </c>
      <c r="F188" t="s">
        <v>199</v>
      </c>
      <c r="G188" t="b">
        <f t="shared" si="2"/>
        <v>1</v>
      </c>
      <c r="H188" t="str">
        <f>VLOOKUP(A188,ID_Lookup!$A:$A,1,FALSE)</f>
        <v>J6205</v>
      </c>
    </row>
    <row r="189" spans="1:8" x14ac:dyDescent="0.35">
      <c r="A189" t="s">
        <v>625</v>
      </c>
      <c r="B189">
        <v>2025</v>
      </c>
      <c r="C189" t="s">
        <v>626</v>
      </c>
      <c r="D189" t="s">
        <v>627</v>
      </c>
      <c r="E189" t="s">
        <v>112</v>
      </c>
      <c r="F189" t="s">
        <v>199</v>
      </c>
      <c r="G189" t="b">
        <f t="shared" si="2"/>
        <v>1</v>
      </c>
      <c r="H189" t="str">
        <f>VLOOKUP(A189,ID_Lookup!$A:$A,1,FALSE)</f>
        <v>J6206</v>
      </c>
    </row>
    <row r="190" spans="1:8" x14ac:dyDescent="0.35">
      <c r="A190" t="s">
        <v>628</v>
      </c>
      <c r="B190">
        <v>2025</v>
      </c>
      <c r="C190" t="s">
        <v>629</v>
      </c>
      <c r="D190" t="s">
        <v>630</v>
      </c>
      <c r="E190" t="s">
        <v>112</v>
      </c>
      <c r="F190" t="s">
        <v>199</v>
      </c>
      <c r="G190" t="b">
        <f t="shared" si="2"/>
        <v>1</v>
      </c>
      <c r="H190" t="str">
        <f>VLOOKUP(A190,ID_Lookup!$A:$A,1,FALSE)</f>
        <v>J6207</v>
      </c>
    </row>
    <row r="191" spans="1:8" hidden="1" x14ac:dyDescent="0.35">
      <c r="A191" t="s">
        <v>631</v>
      </c>
      <c r="B191">
        <v>2025</v>
      </c>
      <c r="C191" t="s">
        <v>632</v>
      </c>
      <c r="D191" t="s">
        <v>633</v>
      </c>
      <c r="E191" t="s">
        <v>112</v>
      </c>
      <c r="F191" t="s">
        <v>199</v>
      </c>
      <c r="G191" t="b">
        <f t="shared" si="2"/>
        <v>1</v>
      </c>
      <c r="H191" t="e">
        <f>VLOOKUP(A191,ID_Lookup!$A:$A,1,FALSE)</f>
        <v>#N/A</v>
      </c>
    </row>
    <row r="192" spans="1:8" x14ac:dyDescent="0.35">
      <c r="A192" t="s">
        <v>634</v>
      </c>
      <c r="B192">
        <v>2025</v>
      </c>
      <c r="C192" t="s">
        <v>635</v>
      </c>
      <c r="D192" t="s">
        <v>636</v>
      </c>
      <c r="E192" t="s">
        <v>112</v>
      </c>
      <c r="F192" t="s">
        <v>199</v>
      </c>
      <c r="G192" t="b">
        <f t="shared" si="2"/>
        <v>1</v>
      </c>
      <c r="H192" t="str">
        <f>VLOOKUP(A192,ID_Lookup!$A:$A,1,FALSE)</f>
        <v>J6209</v>
      </c>
    </row>
    <row r="193" spans="1:8" x14ac:dyDescent="0.35">
      <c r="A193" t="s">
        <v>637</v>
      </c>
      <c r="B193">
        <v>2025</v>
      </c>
      <c r="C193" t="s">
        <v>638</v>
      </c>
      <c r="D193" t="s">
        <v>639</v>
      </c>
      <c r="E193" t="s">
        <v>112</v>
      </c>
      <c r="F193" t="s">
        <v>199</v>
      </c>
      <c r="G193" t="b">
        <f t="shared" si="2"/>
        <v>1</v>
      </c>
      <c r="H193" t="str">
        <f>VLOOKUP(A193,ID_Lookup!$A:$A,1,FALSE)</f>
        <v>J6210</v>
      </c>
    </row>
    <row r="194" spans="1:8" x14ac:dyDescent="0.35">
      <c r="A194" t="s">
        <v>640</v>
      </c>
      <c r="B194">
        <v>2025</v>
      </c>
      <c r="C194" t="s">
        <v>641</v>
      </c>
      <c r="D194" t="s">
        <v>642</v>
      </c>
      <c r="E194" t="s">
        <v>112</v>
      </c>
      <c r="F194" t="s">
        <v>199</v>
      </c>
      <c r="G194" t="b">
        <f t="shared" si="2"/>
        <v>1</v>
      </c>
      <c r="H194" t="str">
        <f>VLOOKUP(A194,ID_Lookup!$A:$A,1,FALSE)</f>
        <v>J6211</v>
      </c>
    </row>
    <row r="195" spans="1:8" x14ac:dyDescent="0.35">
      <c r="A195" t="s">
        <v>643</v>
      </c>
      <c r="B195">
        <v>2025</v>
      </c>
      <c r="C195" t="s">
        <v>644</v>
      </c>
      <c r="D195" t="s">
        <v>645</v>
      </c>
      <c r="E195" t="s">
        <v>112</v>
      </c>
      <c r="F195" t="s">
        <v>199</v>
      </c>
      <c r="G195" t="b">
        <f t="shared" ref="G195:G201" si="3">IF(E195="Include", TRUE, FALSE)</f>
        <v>1</v>
      </c>
      <c r="H195" t="str">
        <f>VLOOKUP(A195,ID_Lookup!$A:$A,1,FALSE)</f>
        <v>J6212</v>
      </c>
    </row>
    <row r="196" spans="1:8" x14ac:dyDescent="0.35">
      <c r="A196" t="s">
        <v>646</v>
      </c>
      <c r="B196">
        <v>2025</v>
      </c>
      <c r="C196" t="s">
        <v>647</v>
      </c>
      <c r="D196" t="s">
        <v>648</v>
      </c>
      <c r="E196" t="s">
        <v>112</v>
      </c>
      <c r="F196" t="s">
        <v>199</v>
      </c>
      <c r="G196" t="b">
        <f t="shared" si="3"/>
        <v>1</v>
      </c>
      <c r="H196" t="str">
        <f>VLOOKUP(A196,ID_Lookup!$A:$A,1,FALSE)</f>
        <v>J6213</v>
      </c>
    </row>
    <row r="197" spans="1:8" hidden="1" x14ac:dyDescent="0.35">
      <c r="A197" t="s">
        <v>649</v>
      </c>
      <c r="B197">
        <v>2025</v>
      </c>
      <c r="C197" t="s">
        <v>650</v>
      </c>
      <c r="D197" t="s">
        <v>651</v>
      </c>
      <c r="E197" t="s">
        <v>112</v>
      </c>
      <c r="F197" t="s">
        <v>199</v>
      </c>
      <c r="G197" t="b">
        <f t="shared" si="3"/>
        <v>1</v>
      </c>
      <c r="H197" t="e">
        <f>VLOOKUP(A197,ID_Lookup!$A:$A,1,FALSE)</f>
        <v>#N/A</v>
      </c>
    </row>
    <row r="198" spans="1:8" hidden="1" x14ac:dyDescent="0.35">
      <c r="A198" t="s">
        <v>652</v>
      </c>
      <c r="B198">
        <v>2025</v>
      </c>
      <c r="C198" t="s">
        <v>653</v>
      </c>
      <c r="D198" t="s">
        <v>654</v>
      </c>
      <c r="E198" t="s">
        <v>112</v>
      </c>
      <c r="F198" t="s">
        <v>199</v>
      </c>
      <c r="G198" t="b">
        <f t="shared" si="3"/>
        <v>1</v>
      </c>
      <c r="H198" t="e">
        <f>VLOOKUP(A198,ID_Lookup!$A:$A,1,FALSE)</f>
        <v>#N/A</v>
      </c>
    </row>
    <row r="199" spans="1:8" hidden="1" x14ac:dyDescent="0.35">
      <c r="A199" t="s">
        <v>655</v>
      </c>
      <c r="B199">
        <v>2025</v>
      </c>
      <c r="C199" t="s">
        <v>656</v>
      </c>
      <c r="D199" t="s">
        <v>657</v>
      </c>
      <c r="E199" t="s">
        <v>112</v>
      </c>
      <c r="F199" t="s">
        <v>199</v>
      </c>
      <c r="G199" t="b">
        <f t="shared" si="3"/>
        <v>1</v>
      </c>
      <c r="H199" t="e">
        <f>VLOOKUP(A199,ID_Lookup!$A:$A,1,FALSE)</f>
        <v>#N/A</v>
      </c>
    </row>
    <row r="200" spans="1:8" x14ac:dyDescent="0.35">
      <c r="A200" t="s">
        <v>658</v>
      </c>
      <c r="B200">
        <v>2025</v>
      </c>
      <c r="C200" t="s">
        <v>659</v>
      </c>
      <c r="D200" t="s">
        <v>660</v>
      </c>
      <c r="E200" t="s">
        <v>112</v>
      </c>
      <c r="F200" t="s">
        <v>199</v>
      </c>
      <c r="G200" t="b">
        <f t="shared" si="3"/>
        <v>1</v>
      </c>
      <c r="H200" t="str">
        <f>VLOOKUP(A200,ID_Lookup!$A:$A,1,FALSE)</f>
        <v>J6217</v>
      </c>
    </row>
    <row r="201" spans="1:8" x14ac:dyDescent="0.35">
      <c r="A201" t="s">
        <v>661</v>
      </c>
      <c r="B201">
        <v>2025</v>
      </c>
      <c r="C201" t="s">
        <v>662</v>
      </c>
      <c r="D201" t="s">
        <v>663</v>
      </c>
      <c r="E201" t="s">
        <v>112</v>
      </c>
      <c r="F201" t="s">
        <v>199</v>
      </c>
      <c r="G201" t="b">
        <f t="shared" si="3"/>
        <v>1</v>
      </c>
      <c r="H201" t="str">
        <f>VLOOKUP(A201,ID_Lookup!$A:$A,1,FALSE)</f>
        <v>J6218</v>
      </c>
    </row>
  </sheetData>
  <autoFilter ref="A1:H201" xr:uid="{5D3E4052-2545-45A0-857B-B79114EE9774}">
    <filterColumn colId="7">
      <filters>
        <filter val="J2830"/>
        <filter val="J2832"/>
        <filter val="J2833"/>
        <filter val="J2834"/>
        <filter val="J2835"/>
        <filter val="J2836"/>
        <filter val="J2840"/>
        <filter val="J2841"/>
        <filter val="J2842"/>
        <filter val="J2843"/>
        <filter val="J2844"/>
        <filter val="J2845"/>
        <filter val="J2846"/>
        <filter val="J2847"/>
        <filter val="J2848"/>
        <filter val="J2849"/>
        <filter val="J2850"/>
        <filter val="J2851"/>
        <filter val="J2852"/>
        <filter val="J2853"/>
        <filter val="J2854"/>
        <filter val="J2855"/>
        <filter val="J2856"/>
        <filter val="J2857"/>
        <filter val="J2858"/>
        <filter val="J2861"/>
        <filter val="J2862"/>
        <filter val="J2863"/>
        <filter val="J2864"/>
        <filter val="J2865"/>
        <filter val="J2866"/>
        <filter val="J2867"/>
        <filter val="J2868"/>
        <filter val="J2869"/>
        <filter val="J2870"/>
        <filter val="J2871"/>
        <filter val="J2872"/>
        <filter val="J2873"/>
        <filter val="J2874"/>
        <filter val="J2876"/>
        <filter val="J2877"/>
        <filter val="J2878"/>
        <filter val="J2879"/>
        <filter val="J2880"/>
        <filter val="J2881"/>
        <filter val="J2882"/>
        <filter val="J2883"/>
        <filter val="J2884"/>
        <filter val="J2885"/>
        <filter val="J2886"/>
        <filter val="J2887"/>
        <filter val="J2888"/>
        <filter val="J2889"/>
        <filter val="J2890"/>
        <filter val="J2891"/>
        <filter val="J2892"/>
        <filter val="J2893"/>
        <filter val="J2894"/>
        <filter val="J2895"/>
        <filter val="J2896"/>
        <filter val="J2897"/>
        <filter val="J2898"/>
        <filter val="J2899"/>
        <filter val="J2902"/>
        <filter val="J2904"/>
        <filter val="J2905"/>
        <filter val="J2906"/>
        <filter val="J2907"/>
        <filter val="J2908"/>
        <filter val="J2909"/>
        <filter val="J2910"/>
        <filter val="J502"/>
        <filter val="J503"/>
        <filter val="J504"/>
        <filter val="J505"/>
        <filter val="J506"/>
        <filter val="J508"/>
        <filter val="J509"/>
        <filter val="J510"/>
        <filter val="J511"/>
        <filter val="J512"/>
        <filter val="J513"/>
        <filter val="J514"/>
        <filter val="J515"/>
        <filter val="J520"/>
        <filter val="J521"/>
        <filter val="J522"/>
        <filter val="J523"/>
        <filter val="J524"/>
        <filter val="J527"/>
        <filter val="J529"/>
        <filter val="J530"/>
        <filter val="J532"/>
        <filter val="J533"/>
        <filter val="J534"/>
        <filter val="J535"/>
        <filter val="J536"/>
        <filter val="J537"/>
        <filter val="J540"/>
        <filter val="J541"/>
        <filter val="J543"/>
        <filter val="J544"/>
        <filter val="J545"/>
        <filter val="J546"/>
        <filter val="J547"/>
        <filter val="J549"/>
        <filter val="J550"/>
        <filter val="J551"/>
        <filter val="J552"/>
        <filter val="J554"/>
        <filter val="J555"/>
        <filter val="J556"/>
        <filter val="J557"/>
        <filter val="J558"/>
        <filter val="J559"/>
        <filter val="J561"/>
        <filter val="J562"/>
        <filter val="J563"/>
        <filter val="J565"/>
        <filter val="J566"/>
        <filter val="J567"/>
        <filter val="J570"/>
        <filter val="J571"/>
        <filter val="J573"/>
        <filter val="J574"/>
        <filter val="J575"/>
        <filter val="J576"/>
        <filter val="J581"/>
        <filter val="J583"/>
        <filter val="J586"/>
        <filter val="J587"/>
        <filter val="J588"/>
        <filter val="J590"/>
        <filter val="J592"/>
        <filter val="J593"/>
        <filter val="J594"/>
        <filter val="J595"/>
        <filter val="J598"/>
        <filter val="J599"/>
        <filter val="J6200"/>
        <filter val="J6201"/>
        <filter val="J6202"/>
        <filter val="J6204"/>
        <filter val="J6205"/>
        <filter val="J6206"/>
        <filter val="J6207"/>
        <filter val="J6209"/>
        <filter val="J6210"/>
        <filter val="J6211"/>
        <filter val="J6212"/>
        <filter val="J6213"/>
        <filter val="J6217"/>
        <filter val="J6218"/>
      </filters>
    </filterColumn>
  </autoFilter>
  <conditionalFormatting sqref="E1:E81 F50:F81">
    <cfRule type="containsText" dxfId="15" priority="5" operator="containsText" text="Exclude">
      <formula>NOT(ISERROR(SEARCH("Exclude",E1)))</formula>
    </cfRule>
    <cfRule type="containsText" dxfId="14" priority="6" operator="containsText" text="Include">
      <formula>NOT(ISERROR(SEARCH("Include",E1)))</formula>
    </cfRule>
  </conditionalFormatting>
  <conditionalFormatting sqref="E82:F201">
    <cfRule type="containsText" dxfId="13" priority="1" operator="containsText" text="Exclude">
      <formula>NOT(ISERROR(SEARCH("Exclude",E82)))</formula>
    </cfRule>
    <cfRule type="containsText" dxfId="12" priority="2" operator="containsText" text="Include">
      <formula>NOT(ISERROR(SEARCH("Include",E82)))</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A4A9-643F-403F-8F39-91437DA8F632}">
  <sheetPr filterMode="1"/>
  <dimension ref="A1:K154"/>
  <sheetViews>
    <sheetView workbookViewId="0">
      <selection activeCell="A23" sqref="A1:K154"/>
    </sheetView>
  </sheetViews>
  <sheetFormatPr defaultRowHeight="14.5" x14ac:dyDescent="0.35"/>
  <sheetData>
    <row r="1" spans="1:11" ht="15" thickBot="1" x14ac:dyDescent="0.4">
      <c r="A1" t="s">
        <v>0</v>
      </c>
      <c r="B1" t="s">
        <v>1</v>
      </c>
      <c r="C1" t="s">
        <v>2</v>
      </c>
      <c r="D1" t="s">
        <v>3</v>
      </c>
      <c r="E1" t="s">
        <v>176</v>
      </c>
      <c r="F1" t="s">
        <v>177</v>
      </c>
      <c r="G1" t="s">
        <v>178</v>
      </c>
      <c r="H1" t="s">
        <v>179</v>
      </c>
      <c r="I1" s="3" t="s">
        <v>109</v>
      </c>
      <c r="J1" s="4" t="s">
        <v>110</v>
      </c>
      <c r="K1" t="s">
        <v>175</v>
      </c>
    </row>
    <row r="2" spans="1:11" hidden="1" x14ac:dyDescent="0.35">
      <c r="A2" t="s">
        <v>8</v>
      </c>
      <c r="B2">
        <v>2019</v>
      </c>
      <c r="C2" t="s">
        <v>9</v>
      </c>
      <c r="D2" t="s">
        <v>180</v>
      </c>
      <c r="E2" t="b">
        <v>1</v>
      </c>
      <c r="F2" t="s">
        <v>769</v>
      </c>
      <c r="G2" t="s">
        <v>181</v>
      </c>
      <c r="H2">
        <v>0.9</v>
      </c>
      <c r="I2" t="s">
        <v>112</v>
      </c>
      <c r="J2" t="s">
        <v>199</v>
      </c>
      <c r="K2" t="b">
        <v>1</v>
      </c>
    </row>
    <row r="3" spans="1:11" hidden="1" x14ac:dyDescent="0.35">
      <c r="A3" t="s">
        <v>10</v>
      </c>
      <c r="B3">
        <v>2019</v>
      </c>
      <c r="C3" t="s">
        <v>11</v>
      </c>
      <c r="D3" t="s">
        <v>201</v>
      </c>
      <c r="E3" t="b">
        <v>1</v>
      </c>
      <c r="F3" t="s">
        <v>770</v>
      </c>
      <c r="G3" t="s">
        <v>181</v>
      </c>
      <c r="H3">
        <v>0.9</v>
      </c>
      <c r="I3" t="s">
        <v>112</v>
      </c>
      <c r="J3" t="s">
        <v>199</v>
      </c>
      <c r="K3" t="b">
        <v>1</v>
      </c>
    </row>
    <row r="4" spans="1:11" hidden="1" x14ac:dyDescent="0.35">
      <c r="A4" t="s">
        <v>12</v>
      </c>
      <c r="B4">
        <v>2019</v>
      </c>
      <c r="C4" t="s">
        <v>13</v>
      </c>
      <c r="D4" t="s">
        <v>182</v>
      </c>
      <c r="E4" t="b">
        <v>1</v>
      </c>
      <c r="F4" t="s">
        <v>678</v>
      </c>
      <c r="G4" t="s">
        <v>181</v>
      </c>
      <c r="H4">
        <v>0.9</v>
      </c>
      <c r="I4" t="s">
        <v>112</v>
      </c>
      <c r="J4" t="s">
        <v>199</v>
      </c>
      <c r="K4" t="b">
        <v>1</v>
      </c>
    </row>
    <row r="5" spans="1:11" hidden="1" x14ac:dyDescent="0.35">
      <c r="A5" t="s">
        <v>14</v>
      </c>
      <c r="B5">
        <v>2019</v>
      </c>
      <c r="C5" t="s">
        <v>15</v>
      </c>
      <c r="D5" t="s">
        <v>202</v>
      </c>
      <c r="E5" t="b">
        <v>1</v>
      </c>
      <c r="F5" t="s">
        <v>771</v>
      </c>
      <c r="G5" t="s">
        <v>205</v>
      </c>
      <c r="H5">
        <v>0.7</v>
      </c>
      <c r="I5" t="s">
        <v>112</v>
      </c>
      <c r="J5" t="s">
        <v>199</v>
      </c>
      <c r="K5" t="b">
        <v>1</v>
      </c>
    </row>
    <row r="6" spans="1:11" hidden="1" x14ac:dyDescent="0.35">
      <c r="A6" t="s">
        <v>16</v>
      </c>
      <c r="B6">
        <v>2019</v>
      </c>
      <c r="C6" t="s">
        <v>17</v>
      </c>
      <c r="D6" t="s">
        <v>204</v>
      </c>
      <c r="E6" t="b">
        <v>1</v>
      </c>
      <c r="F6" t="s">
        <v>771</v>
      </c>
      <c r="G6" t="s">
        <v>205</v>
      </c>
      <c r="H6">
        <v>0.6</v>
      </c>
      <c r="I6" t="s">
        <v>112</v>
      </c>
      <c r="J6" t="s">
        <v>199</v>
      </c>
      <c r="K6" t="b">
        <v>1</v>
      </c>
    </row>
    <row r="7" spans="1:11" hidden="1" x14ac:dyDescent="0.35">
      <c r="A7" t="s">
        <v>19</v>
      </c>
      <c r="B7">
        <v>2019</v>
      </c>
      <c r="C7" t="s">
        <v>20</v>
      </c>
      <c r="D7" t="s">
        <v>183</v>
      </c>
      <c r="E7" t="b">
        <v>1</v>
      </c>
      <c r="F7" t="s">
        <v>772</v>
      </c>
      <c r="G7" t="s">
        <v>181</v>
      </c>
      <c r="H7">
        <v>0.9</v>
      </c>
      <c r="I7" t="s">
        <v>112</v>
      </c>
      <c r="J7" t="s">
        <v>199</v>
      </c>
      <c r="K7" t="b">
        <v>1</v>
      </c>
    </row>
    <row r="8" spans="1:11" hidden="1" x14ac:dyDescent="0.35">
      <c r="A8" t="s">
        <v>21</v>
      </c>
      <c r="B8">
        <v>2019</v>
      </c>
      <c r="C8" t="s">
        <v>22</v>
      </c>
      <c r="D8" t="s">
        <v>184</v>
      </c>
      <c r="E8" t="b">
        <v>1</v>
      </c>
      <c r="F8" t="s">
        <v>773</v>
      </c>
      <c r="G8" t="s">
        <v>181</v>
      </c>
      <c r="H8">
        <v>0.9</v>
      </c>
      <c r="I8" t="s">
        <v>112</v>
      </c>
      <c r="J8" t="s">
        <v>199</v>
      </c>
      <c r="K8" t="b">
        <v>1</v>
      </c>
    </row>
    <row r="9" spans="1:11" hidden="1" x14ac:dyDescent="0.35">
      <c r="A9" t="s">
        <v>23</v>
      </c>
      <c r="B9">
        <v>2019</v>
      </c>
      <c r="C9" t="s">
        <v>206</v>
      </c>
      <c r="D9" t="s">
        <v>207</v>
      </c>
      <c r="E9" t="b">
        <v>1</v>
      </c>
      <c r="F9" t="s">
        <v>774</v>
      </c>
      <c r="G9" t="s">
        <v>181</v>
      </c>
      <c r="H9">
        <v>0.9</v>
      </c>
      <c r="I9" t="s">
        <v>112</v>
      </c>
      <c r="J9" t="s">
        <v>199</v>
      </c>
      <c r="K9" t="b">
        <v>1</v>
      </c>
    </row>
    <row r="10" spans="1:11" hidden="1" x14ac:dyDescent="0.35">
      <c r="A10" t="s">
        <v>24</v>
      </c>
      <c r="B10">
        <v>2019</v>
      </c>
      <c r="C10" t="s">
        <v>25</v>
      </c>
      <c r="D10" t="s">
        <v>26</v>
      </c>
      <c r="E10" t="b">
        <v>1</v>
      </c>
      <c r="F10" t="s">
        <v>775</v>
      </c>
      <c r="G10" t="s">
        <v>181</v>
      </c>
      <c r="H10">
        <v>0.9</v>
      </c>
      <c r="I10" t="s">
        <v>112</v>
      </c>
      <c r="J10" t="s">
        <v>199</v>
      </c>
      <c r="K10" t="b">
        <v>1</v>
      </c>
    </row>
    <row r="11" spans="1:11" hidden="1" x14ac:dyDescent="0.35">
      <c r="A11" t="s">
        <v>27</v>
      </c>
      <c r="B11">
        <v>2019</v>
      </c>
      <c r="C11" t="s">
        <v>28</v>
      </c>
      <c r="D11" t="s">
        <v>29</v>
      </c>
      <c r="E11" t="b">
        <v>1</v>
      </c>
      <c r="F11" t="s">
        <v>776</v>
      </c>
      <c r="G11" t="s">
        <v>181</v>
      </c>
      <c r="H11">
        <v>0.9</v>
      </c>
      <c r="I11" t="s">
        <v>112</v>
      </c>
      <c r="J11" t="s">
        <v>199</v>
      </c>
      <c r="K11" t="b">
        <v>1</v>
      </c>
    </row>
    <row r="12" spans="1:11" hidden="1" x14ac:dyDescent="0.35">
      <c r="A12" t="s">
        <v>30</v>
      </c>
      <c r="B12">
        <v>2019</v>
      </c>
      <c r="C12" t="s">
        <v>208</v>
      </c>
      <c r="D12" t="s">
        <v>209</v>
      </c>
      <c r="E12" t="b">
        <v>1</v>
      </c>
      <c r="F12" t="s">
        <v>677</v>
      </c>
      <c r="G12" t="s">
        <v>181</v>
      </c>
      <c r="H12">
        <v>0.9</v>
      </c>
      <c r="I12" t="s">
        <v>112</v>
      </c>
      <c r="J12" t="s">
        <v>199</v>
      </c>
      <c r="K12" t="b">
        <v>1</v>
      </c>
    </row>
    <row r="13" spans="1:11" hidden="1" x14ac:dyDescent="0.35">
      <c r="A13" t="s">
        <v>31</v>
      </c>
      <c r="B13">
        <v>2019</v>
      </c>
      <c r="C13" t="s">
        <v>185</v>
      </c>
      <c r="D13" t="s">
        <v>186</v>
      </c>
      <c r="E13" t="b">
        <v>1</v>
      </c>
      <c r="F13" t="s">
        <v>777</v>
      </c>
      <c r="G13" t="s">
        <v>181</v>
      </c>
      <c r="H13">
        <v>0.9</v>
      </c>
      <c r="I13" t="s">
        <v>112</v>
      </c>
      <c r="J13" t="s">
        <v>199</v>
      </c>
      <c r="K13" t="b">
        <v>1</v>
      </c>
    </row>
    <row r="14" spans="1:11" hidden="1" x14ac:dyDescent="0.35">
      <c r="A14" t="s">
        <v>32</v>
      </c>
      <c r="B14">
        <v>2019</v>
      </c>
      <c r="C14" t="s">
        <v>33</v>
      </c>
      <c r="D14" t="s">
        <v>187</v>
      </c>
      <c r="E14" t="b">
        <v>1</v>
      </c>
      <c r="F14" t="s">
        <v>778</v>
      </c>
      <c r="G14" t="s">
        <v>181</v>
      </c>
      <c r="H14">
        <v>0.9</v>
      </c>
      <c r="I14" t="s">
        <v>112</v>
      </c>
      <c r="J14" t="s">
        <v>199</v>
      </c>
      <c r="K14" t="b">
        <v>1</v>
      </c>
    </row>
    <row r="15" spans="1:11" hidden="1" x14ac:dyDescent="0.35">
      <c r="A15" t="s">
        <v>42</v>
      </c>
      <c r="B15">
        <v>2019</v>
      </c>
      <c r="C15" t="s">
        <v>43</v>
      </c>
      <c r="D15" t="s">
        <v>44</v>
      </c>
      <c r="E15" t="b">
        <v>1</v>
      </c>
      <c r="F15" t="s">
        <v>779</v>
      </c>
      <c r="G15" t="s">
        <v>181</v>
      </c>
      <c r="H15">
        <v>0.9</v>
      </c>
      <c r="I15" t="s">
        <v>112</v>
      </c>
      <c r="J15" t="s">
        <v>199</v>
      </c>
      <c r="K15" t="b">
        <v>1</v>
      </c>
    </row>
    <row r="16" spans="1:11" hidden="1" x14ac:dyDescent="0.35">
      <c r="A16" t="s">
        <v>45</v>
      </c>
      <c r="B16">
        <v>2019</v>
      </c>
      <c r="C16" t="s">
        <v>46</v>
      </c>
      <c r="D16" t="s">
        <v>188</v>
      </c>
      <c r="E16" t="b">
        <v>1</v>
      </c>
      <c r="F16" t="s">
        <v>780</v>
      </c>
      <c r="G16" t="s">
        <v>181</v>
      </c>
      <c r="H16">
        <v>0.9</v>
      </c>
      <c r="I16" t="s">
        <v>112</v>
      </c>
      <c r="J16" t="s">
        <v>199</v>
      </c>
      <c r="K16" t="b">
        <v>1</v>
      </c>
    </row>
    <row r="17" spans="1:11" hidden="1" x14ac:dyDescent="0.35">
      <c r="A17" t="s">
        <v>47</v>
      </c>
      <c r="B17">
        <v>2019</v>
      </c>
      <c r="C17" t="s">
        <v>48</v>
      </c>
      <c r="D17" t="s">
        <v>189</v>
      </c>
      <c r="E17" t="b">
        <v>1</v>
      </c>
      <c r="F17" t="s">
        <v>781</v>
      </c>
      <c r="G17" t="s">
        <v>181</v>
      </c>
      <c r="H17">
        <v>1</v>
      </c>
      <c r="I17" t="s">
        <v>112</v>
      </c>
      <c r="J17" t="s">
        <v>199</v>
      </c>
      <c r="K17" t="b">
        <v>1</v>
      </c>
    </row>
    <row r="18" spans="1:11" hidden="1" x14ac:dyDescent="0.35">
      <c r="A18" t="s">
        <v>49</v>
      </c>
      <c r="B18">
        <v>2019</v>
      </c>
      <c r="C18" t="s">
        <v>210</v>
      </c>
      <c r="D18" t="s">
        <v>211</v>
      </c>
      <c r="E18" t="b">
        <v>1</v>
      </c>
      <c r="F18" t="s">
        <v>773</v>
      </c>
      <c r="G18" t="s">
        <v>181</v>
      </c>
      <c r="H18">
        <v>0.9</v>
      </c>
      <c r="I18" t="s">
        <v>112</v>
      </c>
      <c r="J18" t="s">
        <v>199</v>
      </c>
      <c r="K18" t="b">
        <v>1</v>
      </c>
    </row>
    <row r="19" spans="1:11" hidden="1" x14ac:dyDescent="0.35">
      <c r="A19" t="s">
        <v>50</v>
      </c>
      <c r="B19">
        <v>2019</v>
      </c>
      <c r="C19" t="s">
        <v>212</v>
      </c>
      <c r="D19" t="s">
        <v>213</v>
      </c>
      <c r="E19" t="b">
        <v>1</v>
      </c>
      <c r="F19" t="s">
        <v>782</v>
      </c>
      <c r="G19" t="s">
        <v>181</v>
      </c>
      <c r="H19">
        <v>0.9</v>
      </c>
      <c r="I19" t="s">
        <v>112</v>
      </c>
      <c r="J19" t="s">
        <v>199</v>
      </c>
      <c r="K19" t="b">
        <v>1</v>
      </c>
    </row>
    <row r="20" spans="1:11" hidden="1" x14ac:dyDescent="0.35">
      <c r="A20" t="s">
        <v>57</v>
      </c>
      <c r="B20">
        <v>2019</v>
      </c>
      <c r="C20" t="s">
        <v>58</v>
      </c>
      <c r="D20" t="s">
        <v>214</v>
      </c>
      <c r="E20" t="b">
        <v>1</v>
      </c>
      <c r="F20" t="s">
        <v>783</v>
      </c>
      <c r="G20" t="s">
        <v>181</v>
      </c>
      <c r="H20">
        <v>0.9</v>
      </c>
      <c r="I20" t="s">
        <v>112</v>
      </c>
      <c r="J20" t="s">
        <v>199</v>
      </c>
      <c r="K20" t="b">
        <v>1</v>
      </c>
    </row>
    <row r="21" spans="1:11" hidden="1" x14ac:dyDescent="0.35">
      <c r="A21" t="s">
        <v>60</v>
      </c>
      <c r="B21">
        <v>2019</v>
      </c>
      <c r="C21" t="s">
        <v>61</v>
      </c>
      <c r="D21" t="s">
        <v>215</v>
      </c>
      <c r="E21" t="b">
        <v>1</v>
      </c>
      <c r="F21" t="s">
        <v>784</v>
      </c>
      <c r="G21" t="s">
        <v>181</v>
      </c>
      <c r="H21">
        <v>0.9</v>
      </c>
      <c r="I21" t="s">
        <v>112</v>
      </c>
      <c r="J21" t="s">
        <v>199</v>
      </c>
      <c r="K21" t="b">
        <v>1</v>
      </c>
    </row>
    <row r="22" spans="1:11" hidden="1" x14ac:dyDescent="0.35">
      <c r="A22" t="s">
        <v>62</v>
      </c>
      <c r="B22">
        <v>2019</v>
      </c>
      <c r="C22" t="s">
        <v>63</v>
      </c>
      <c r="D22" t="s">
        <v>216</v>
      </c>
      <c r="E22" t="b">
        <v>1</v>
      </c>
      <c r="F22" t="s">
        <v>785</v>
      </c>
      <c r="G22" t="s">
        <v>181</v>
      </c>
      <c r="H22">
        <v>0.9</v>
      </c>
      <c r="I22" t="s">
        <v>112</v>
      </c>
      <c r="J22" t="s">
        <v>199</v>
      </c>
      <c r="K22" t="b">
        <v>1</v>
      </c>
    </row>
    <row r="23" spans="1:11" x14ac:dyDescent="0.35">
      <c r="A23" t="s">
        <v>66</v>
      </c>
      <c r="B23">
        <v>2019</v>
      </c>
      <c r="C23" t="s">
        <v>67</v>
      </c>
      <c r="D23" t="s">
        <v>68</v>
      </c>
      <c r="E23" t="b">
        <v>0</v>
      </c>
      <c r="F23" t="s">
        <v>786</v>
      </c>
      <c r="G23" t="s">
        <v>190</v>
      </c>
      <c r="H23">
        <v>0.9</v>
      </c>
      <c r="I23" t="s">
        <v>112</v>
      </c>
      <c r="J23" t="s">
        <v>199</v>
      </c>
      <c r="K23" t="b">
        <v>1</v>
      </c>
    </row>
    <row r="24" spans="1:11" hidden="1" x14ac:dyDescent="0.35">
      <c r="A24" t="s">
        <v>69</v>
      </c>
      <c r="B24">
        <v>2019</v>
      </c>
      <c r="C24" t="s">
        <v>70</v>
      </c>
      <c r="D24" t="s">
        <v>191</v>
      </c>
      <c r="E24" t="b">
        <v>0</v>
      </c>
      <c r="F24" t="s">
        <v>686</v>
      </c>
      <c r="G24" t="s">
        <v>192</v>
      </c>
      <c r="H24">
        <v>1</v>
      </c>
      <c r="I24" t="s">
        <v>173</v>
      </c>
      <c r="J24" t="s">
        <v>192</v>
      </c>
      <c r="K24" t="b">
        <v>0</v>
      </c>
    </row>
    <row r="25" spans="1:11" ht="409.5" hidden="1" x14ac:dyDescent="0.35">
      <c r="A25" t="s">
        <v>71</v>
      </c>
      <c r="B25">
        <v>2019</v>
      </c>
      <c r="C25" t="s">
        <v>72</v>
      </c>
      <c r="D25" s="1" t="s">
        <v>73</v>
      </c>
      <c r="E25" t="b">
        <v>1</v>
      </c>
      <c r="F25" t="s">
        <v>787</v>
      </c>
      <c r="G25" t="s">
        <v>181</v>
      </c>
      <c r="H25">
        <v>0.9</v>
      </c>
      <c r="I25" t="s">
        <v>112</v>
      </c>
      <c r="J25" t="s">
        <v>199</v>
      </c>
      <c r="K25" t="b">
        <v>1</v>
      </c>
    </row>
    <row r="26" spans="1:11" hidden="1" x14ac:dyDescent="0.35">
      <c r="A26" t="s">
        <v>74</v>
      </c>
      <c r="B26">
        <v>2019</v>
      </c>
      <c r="C26" t="s">
        <v>75</v>
      </c>
      <c r="D26" t="s">
        <v>217</v>
      </c>
      <c r="E26" t="b">
        <v>1</v>
      </c>
      <c r="F26" t="s">
        <v>788</v>
      </c>
      <c r="G26" t="s">
        <v>181</v>
      </c>
      <c r="H26">
        <v>0.9</v>
      </c>
      <c r="I26" t="s">
        <v>112</v>
      </c>
      <c r="J26" t="s">
        <v>199</v>
      </c>
      <c r="K26" t="b">
        <v>1</v>
      </c>
    </row>
    <row r="27" spans="1:11" hidden="1" x14ac:dyDescent="0.35">
      <c r="A27" t="s">
        <v>76</v>
      </c>
      <c r="B27">
        <v>2019</v>
      </c>
      <c r="C27" t="s">
        <v>77</v>
      </c>
      <c r="D27" t="s">
        <v>193</v>
      </c>
      <c r="E27" t="b">
        <v>1</v>
      </c>
      <c r="F27" t="s">
        <v>789</v>
      </c>
      <c r="G27" t="s">
        <v>181</v>
      </c>
      <c r="H27">
        <v>0.9</v>
      </c>
      <c r="I27" t="s">
        <v>112</v>
      </c>
      <c r="J27" t="s">
        <v>199</v>
      </c>
      <c r="K27" t="b">
        <v>1</v>
      </c>
    </row>
    <row r="28" spans="1:11" hidden="1" x14ac:dyDescent="0.35">
      <c r="A28" t="s">
        <v>78</v>
      </c>
      <c r="B28">
        <v>2019</v>
      </c>
      <c r="C28" t="s">
        <v>79</v>
      </c>
      <c r="D28" t="s">
        <v>194</v>
      </c>
      <c r="E28" t="b">
        <v>1</v>
      </c>
      <c r="F28" t="s">
        <v>790</v>
      </c>
      <c r="G28" t="s">
        <v>181</v>
      </c>
      <c r="H28">
        <v>0.9</v>
      </c>
      <c r="I28" t="s">
        <v>112</v>
      </c>
      <c r="J28" t="s">
        <v>199</v>
      </c>
      <c r="K28" t="b">
        <v>1</v>
      </c>
    </row>
    <row r="29" spans="1:11" hidden="1" x14ac:dyDescent="0.35">
      <c r="A29" t="s">
        <v>83</v>
      </c>
      <c r="B29">
        <v>2019</v>
      </c>
      <c r="C29" t="s">
        <v>84</v>
      </c>
      <c r="D29" t="s">
        <v>218</v>
      </c>
      <c r="E29" t="b">
        <v>1</v>
      </c>
      <c r="F29" t="s">
        <v>791</v>
      </c>
      <c r="G29" t="s">
        <v>181</v>
      </c>
      <c r="H29">
        <v>0.9</v>
      </c>
      <c r="I29" t="s">
        <v>112</v>
      </c>
      <c r="J29" t="s">
        <v>199</v>
      </c>
      <c r="K29" t="b">
        <v>1</v>
      </c>
    </row>
    <row r="30" spans="1:11" ht="409.5" hidden="1" x14ac:dyDescent="0.35">
      <c r="A30" t="s">
        <v>85</v>
      </c>
      <c r="B30">
        <v>2019</v>
      </c>
      <c r="C30" t="s">
        <v>86</v>
      </c>
      <c r="D30" s="1" t="s">
        <v>87</v>
      </c>
      <c r="E30" t="b">
        <v>1</v>
      </c>
      <c r="F30" t="s">
        <v>792</v>
      </c>
      <c r="G30" t="s">
        <v>181</v>
      </c>
      <c r="H30">
        <v>0.9</v>
      </c>
      <c r="I30" t="s">
        <v>112</v>
      </c>
      <c r="J30" t="s">
        <v>199</v>
      </c>
      <c r="K30" t="b">
        <v>1</v>
      </c>
    </row>
    <row r="31" spans="1:11" hidden="1" x14ac:dyDescent="0.35">
      <c r="A31" t="s">
        <v>89</v>
      </c>
      <c r="B31">
        <v>2019</v>
      </c>
      <c r="C31" t="s">
        <v>90</v>
      </c>
      <c r="D31" t="s">
        <v>195</v>
      </c>
      <c r="E31" t="b">
        <v>0</v>
      </c>
      <c r="F31" t="s">
        <v>196</v>
      </c>
      <c r="G31" t="s">
        <v>192</v>
      </c>
      <c r="H31">
        <v>1</v>
      </c>
      <c r="I31" t="s">
        <v>173</v>
      </c>
      <c r="J31" t="s">
        <v>192</v>
      </c>
      <c r="K31" t="b">
        <v>0</v>
      </c>
    </row>
    <row r="32" spans="1:11" hidden="1" x14ac:dyDescent="0.35">
      <c r="A32" t="s">
        <v>91</v>
      </c>
      <c r="B32">
        <v>2019</v>
      </c>
      <c r="C32" t="s">
        <v>92</v>
      </c>
      <c r="D32" t="s">
        <v>93</v>
      </c>
      <c r="E32" t="b">
        <v>1</v>
      </c>
      <c r="F32" t="s">
        <v>793</v>
      </c>
      <c r="G32" t="s">
        <v>181</v>
      </c>
      <c r="H32">
        <v>0.9</v>
      </c>
      <c r="I32" t="s">
        <v>112</v>
      </c>
      <c r="J32" t="s">
        <v>199</v>
      </c>
      <c r="K32" t="b">
        <v>1</v>
      </c>
    </row>
    <row r="33" spans="1:11" hidden="1" x14ac:dyDescent="0.35">
      <c r="A33" t="s">
        <v>94</v>
      </c>
      <c r="B33">
        <v>2019</v>
      </c>
      <c r="C33" t="s">
        <v>95</v>
      </c>
      <c r="D33" t="s">
        <v>96</v>
      </c>
      <c r="E33" t="b">
        <v>1</v>
      </c>
      <c r="F33" t="s">
        <v>197</v>
      </c>
      <c r="G33" t="s">
        <v>181</v>
      </c>
      <c r="H33">
        <v>0.9</v>
      </c>
      <c r="I33" t="s">
        <v>112</v>
      </c>
      <c r="J33" t="s">
        <v>199</v>
      </c>
      <c r="K33" t="b">
        <v>1</v>
      </c>
    </row>
    <row r="34" spans="1:11" hidden="1" x14ac:dyDescent="0.35">
      <c r="A34" t="s">
        <v>97</v>
      </c>
      <c r="B34">
        <v>2019</v>
      </c>
      <c r="C34" t="s">
        <v>98</v>
      </c>
      <c r="D34" t="s">
        <v>198</v>
      </c>
      <c r="E34" t="b">
        <v>0</v>
      </c>
      <c r="F34" t="s">
        <v>219</v>
      </c>
      <c r="G34" t="s">
        <v>192</v>
      </c>
      <c r="H34">
        <v>1</v>
      </c>
      <c r="I34" t="s">
        <v>173</v>
      </c>
      <c r="J34" t="s">
        <v>200</v>
      </c>
      <c r="K34" t="b">
        <v>0</v>
      </c>
    </row>
    <row r="35" spans="1:11" hidden="1" x14ac:dyDescent="0.35">
      <c r="A35" t="s">
        <v>99</v>
      </c>
      <c r="B35">
        <v>2019</v>
      </c>
      <c r="C35" t="s">
        <v>100</v>
      </c>
      <c r="D35" t="s">
        <v>101</v>
      </c>
      <c r="E35" t="b">
        <v>1</v>
      </c>
      <c r="F35" t="s">
        <v>794</v>
      </c>
      <c r="G35" t="s">
        <v>181</v>
      </c>
      <c r="H35">
        <v>0.9</v>
      </c>
      <c r="I35" t="s">
        <v>112</v>
      </c>
      <c r="J35" t="s">
        <v>199</v>
      </c>
      <c r="K35" t="b">
        <v>1</v>
      </c>
    </row>
    <row r="36" spans="1:11" hidden="1" x14ac:dyDescent="0.35">
      <c r="A36" t="s">
        <v>103</v>
      </c>
      <c r="B36">
        <v>2019</v>
      </c>
      <c r="C36" t="s">
        <v>104</v>
      </c>
      <c r="D36" t="s">
        <v>105</v>
      </c>
      <c r="E36" t="b">
        <v>1</v>
      </c>
      <c r="F36" t="s">
        <v>795</v>
      </c>
      <c r="G36" t="s">
        <v>181</v>
      </c>
      <c r="H36">
        <v>0.9</v>
      </c>
      <c r="I36" t="s">
        <v>112</v>
      </c>
      <c r="J36" t="s">
        <v>199</v>
      </c>
      <c r="K36" t="b">
        <v>1</v>
      </c>
    </row>
    <row r="37" spans="1:11" hidden="1" x14ac:dyDescent="0.35">
      <c r="A37" t="s">
        <v>106</v>
      </c>
      <c r="B37">
        <v>2019</v>
      </c>
      <c r="C37" t="s">
        <v>107</v>
      </c>
      <c r="D37" t="s">
        <v>220</v>
      </c>
      <c r="E37" t="b">
        <v>1</v>
      </c>
      <c r="F37" t="s">
        <v>796</v>
      </c>
      <c r="G37" t="s">
        <v>181</v>
      </c>
      <c r="H37">
        <v>0.9</v>
      </c>
      <c r="I37" t="s">
        <v>112</v>
      </c>
      <c r="J37" t="s">
        <v>199</v>
      </c>
      <c r="K37" t="b">
        <v>1</v>
      </c>
    </row>
    <row r="38" spans="1:11" hidden="1" x14ac:dyDescent="0.35">
      <c r="A38" t="s">
        <v>221</v>
      </c>
      <c r="B38">
        <v>2019</v>
      </c>
      <c r="C38" t="s">
        <v>222</v>
      </c>
      <c r="D38" t="s">
        <v>223</v>
      </c>
      <c r="E38" t="b">
        <v>1</v>
      </c>
      <c r="F38" t="s">
        <v>797</v>
      </c>
      <c r="G38" t="s">
        <v>181</v>
      </c>
      <c r="H38">
        <v>0.9</v>
      </c>
      <c r="I38" t="s">
        <v>112</v>
      </c>
      <c r="J38" t="s">
        <v>199</v>
      </c>
      <c r="K38" t="b">
        <v>1</v>
      </c>
    </row>
    <row r="39" spans="1:11" hidden="1" x14ac:dyDescent="0.35">
      <c r="A39" t="s">
        <v>224</v>
      </c>
      <c r="B39">
        <v>2019</v>
      </c>
      <c r="C39" t="s">
        <v>671</v>
      </c>
      <c r="D39" t="s">
        <v>672</v>
      </c>
      <c r="E39" t="b">
        <v>1</v>
      </c>
      <c r="F39" t="s">
        <v>798</v>
      </c>
      <c r="G39" t="s">
        <v>181</v>
      </c>
      <c r="H39">
        <v>0.9</v>
      </c>
      <c r="I39" t="s">
        <v>112</v>
      </c>
      <c r="J39" t="s">
        <v>199</v>
      </c>
      <c r="K39" t="b">
        <v>1</v>
      </c>
    </row>
    <row r="40" spans="1:11" hidden="1" x14ac:dyDescent="0.35">
      <c r="A40" t="s">
        <v>230</v>
      </c>
      <c r="B40">
        <v>2019</v>
      </c>
      <c r="C40" t="s">
        <v>231</v>
      </c>
      <c r="D40" t="s">
        <v>673</v>
      </c>
      <c r="E40" t="b">
        <v>1</v>
      </c>
      <c r="F40" t="s">
        <v>799</v>
      </c>
      <c r="G40" t="s">
        <v>181</v>
      </c>
      <c r="H40">
        <v>0.9</v>
      </c>
      <c r="I40" t="s">
        <v>112</v>
      </c>
      <c r="J40" t="s">
        <v>199</v>
      </c>
      <c r="K40" t="b">
        <v>1</v>
      </c>
    </row>
    <row r="41" spans="1:11" hidden="1" x14ac:dyDescent="0.35">
      <c r="A41" t="s">
        <v>233</v>
      </c>
      <c r="B41">
        <v>2019</v>
      </c>
      <c r="C41" t="s">
        <v>234</v>
      </c>
      <c r="D41" t="s">
        <v>235</v>
      </c>
      <c r="E41" t="b">
        <v>1</v>
      </c>
      <c r="F41" t="s">
        <v>771</v>
      </c>
      <c r="G41" t="s">
        <v>205</v>
      </c>
      <c r="H41">
        <v>0.7</v>
      </c>
      <c r="I41" t="s">
        <v>112</v>
      </c>
      <c r="J41" t="s">
        <v>199</v>
      </c>
      <c r="K41" t="b">
        <v>1</v>
      </c>
    </row>
    <row r="42" spans="1:11" hidden="1" x14ac:dyDescent="0.35">
      <c r="A42" t="s">
        <v>236</v>
      </c>
      <c r="B42">
        <v>2019</v>
      </c>
      <c r="C42" t="s">
        <v>237</v>
      </c>
      <c r="D42" t="s">
        <v>238</v>
      </c>
      <c r="E42" t="b">
        <v>1</v>
      </c>
      <c r="F42" t="s">
        <v>771</v>
      </c>
      <c r="G42" t="s">
        <v>205</v>
      </c>
      <c r="H42">
        <v>0.6</v>
      </c>
      <c r="I42" t="s">
        <v>112</v>
      </c>
      <c r="J42" t="s">
        <v>199</v>
      </c>
      <c r="K42" t="b">
        <v>1</v>
      </c>
    </row>
    <row r="43" spans="1:11" hidden="1" x14ac:dyDescent="0.35">
      <c r="A43" t="s">
        <v>239</v>
      </c>
      <c r="B43">
        <v>2019</v>
      </c>
      <c r="C43" t="s">
        <v>240</v>
      </c>
      <c r="D43" t="s">
        <v>675</v>
      </c>
      <c r="E43" t="b">
        <v>1</v>
      </c>
      <c r="F43" t="s">
        <v>800</v>
      </c>
      <c r="G43" t="s">
        <v>181</v>
      </c>
      <c r="H43">
        <v>0.9</v>
      </c>
      <c r="I43" t="s">
        <v>112</v>
      </c>
      <c r="J43" t="s">
        <v>199</v>
      </c>
      <c r="K43" t="b">
        <v>1</v>
      </c>
    </row>
    <row r="44" spans="1:11" hidden="1" x14ac:dyDescent="0.35">
      <c r="A44" t="s">
        <v>242</v>
      </c>
      <c r="B44">
        <v>2019</v>
      </c>
      <c r="C44" t="s">
        <v>243</v>
      </c>
      <c r="D44" t="s">
        <v>676</v>
      </c>
      <c r="E44" t="b">
        <v>1</v>
      </c>
      <c r="F44" t="s">
        <v>677</v>
      </c>
      <c r="G44" t="s">
        <v>181</v>
      </c>
      <c r="H44">
        <v>0.9</v>
      </c>
      <c r="I44" t="s">
        <v>112</v>
      </c>
      <c r="J44" t="s">
        <v>199</v>
      </c>
      <c r="K44" t="b">
        <v>1</v>
      </c>
    </row>
    <row r="45" spans="1:11" hidden="1" x14ac:dyDescent="0.35">
      <c r="A45" t="s">
        <v>245</v>
      </c>
      <c r="B45">
        <v>2019</v>
      </c>
      <c r="C45" t="s">
        <v>246</v>
      </c>
      <c r="D45" t="s">
        <v>247</v>
      </c>
      <c r="E45" t="b">
        <v>1</v>
      </c>
      <c r="F45" t="s">
        <v>778</v>
      </c>
      <c r="G45" t="s">
        <v>181</v>
      </c>
      <c r="H45">
        <v>0.9</v>
      </c>
      <c r="I45" t="s">
        <v>112</v>
      </c>
      <c r="J45" t="s">
        <v>199</v>
      </c>
      <c r="K45" t="b">
        <v>1</v>
      </c>
    </row>
    <row r="46" spans="1:11" hidden="1" x14ac:dyDescent="0.35">
      <c r="A46" t="s">
        <v>251</v>
      </c>
      <c r="B46">
        <v>2019</v>
      </c>
      <c r="C46" t="s">
        <v>252</v>
      </c>
      <c r="D46" t="s">
        <v>679</v>
      </c>
      <c r="E46" t="b">
        <v>1</v>
      </c>
      <c r="F46" t="s">
        <v>801</v>
      </c>
      <c r="G46" t="s">
        <v>181</v>
      </c>
      <c r="H46">
        <v>0.9</v>
      </c>
      <c r="I46" t="s">
        <v>112</v>
      </c>
      <c r="J46" t="s">
        <v>199</v>
      </c>
      <c r="K46" t="b">
        <v>1</v>
      </c>
    </row>
    <row r="47" spans="1:11" hidden="1" x14ac:dyDescent="0.35">
      <c r="A47" t="s">
        <v>254</v>
      </c>
      <c r="B47">
        <v>2019</v>
      </c>
      <c r="C47" t="s">
        <v>255</v>
      </c>
      <c r="D47" t="s">
        <v>680</v>
      </c>
      <c r="E47" t="b">
        <v>1</v>
      </c>
      <c r="F47" t="s">
        <v>802</v>
      </c>
      <c r="G47" t="s">
        <v>181</v>
      </c>
      <c r="H47">
        <v>0.9</v>
      </c>
      <c r="I47" t="s">
        <v>112</v>
      </c>
      <c r="J47" t="s">
        <v>199</v>
      </c>
      <c r="K47" t="b">
        <v>1</v>
      </c>
    </row>
    <row r="48" spans="1:11" hidden="1" x14ac:dyDescent="0.35">
      <c r="A48" t="s">
        <v>257</v>
      </c>
      <c r="B48">
        <v>2019</v>
      </c>
      <c r="C48" t="s">
        <v>258</v>
      </c>
      <c r="D48" t="s">
        <v>259</v>
      </c>
      <c r="E48" t="b">
        <v>0</v>
      </c>
      <c r="F48" t="s">
        <v>803</v>
      </c>
      <c r="G48" t="s">
        <v>192</v>
      </c>
      <c r="H48">
        <v>1</v>
      </c>
      <c r="I48" t="s">
        <v>173</v>
      </c>
      <c r="J48" t="s">
        <v>192</v>
      </c>
      <c r="K48" t="b">
        <v>0</v>
      </c>
    </row>
    <row r="49" spans="1:11" hidden="1" x14ac:dyDescent="0.35">
      <c r="A49" t="s">
        <v>263</v>
      </c>
      <c r="B49">
        <v>2019</v>
      </c>
      <c r="C49" t="s">
        <v>264</v>
      </c>
      <c r="D49" t="s">
        <v>265</v>
      </c>
      <c r="E49" t="b">
        <v>1</v>
      </c>
      <c r="F49" t="s">
        <v>800</v>
      </c>
      <c r="G49" t="s">
        <v>181</v>
      </c>
      <c r="H49">
        <v>0.9</v>
      </c>
      <c r="I49" t="s">
        <v>112</v>
      </c>
      <c r="J49" t="s">
        <v>199</v>
      </c>
      <c r="K49" t="b">
        <v>1</v>
      </c>
    </row>
    <row r="50" spans="1:11" hidden="1" x14ac:dyDescent="0.35">
      <c r="A50" t="s">
        <v>266</v>
      </c>
      <c r="B50">
        <v>2019</v>
      </c>
      <c r="C50" t="s">
        <v>267</v>
      </c>
      <c r="D50" t="s">
        <v>681</v>
      </c>
      <c r="E50" t="b">
        <v>1</v>
      </c>
      <c r="F50" t="s">
        <v>800</v>
      </c>
      <c r="G50" t="s">
        <v>181</v>
      </c>
      <c r="H50">
        <v>0.9</v>
      </c>
      <c r="I50" t="s">
        <v>112</v>
      </c>
      <c r="J50" t="s">
        <v>199</v>
      </c>
      <c r="K50" t="b">
        <v>1</v>
      </c>
    </row>
    <row r="51" spans="1:11" hidden="1" x14ac:dyDescent="0.35">
      <c r="A51" t="s">
        <v>269</v>
      </c>
      <c r="B51">
        <v>2019</v>
      </c>
      <c r="C51" t="s">
        <v>682</v>
      </c>
      <c r="D51" t="s">
        <v>683</v>
      </c>
      <c r="E51" t="b">
        <v>1</v>
      </c>
      <c r="F51" t="s">
        <v>804</v>
      </c>
      <c r="G51" t="s">
        <v>181</v>
      </c>
      <c r="H51">
        <v>0.9</v>
      </c>
      <c r="I51" t="s">
        <v>112</v>
      </c>
      <c r="J51" t="s">
        <v>199</v>
      </c>
      <c r="K51" t="b">
        <v>1</v>
      </c>
    </row>
    <row r="52" spans="1:11" hidden="1" x14ac:dyDescent="0.35">
      <c r="A52" t="s">
        <v>278</v>
      </c>
      <c r="B52">
        <v>2019</v>
      </c>
      <c r="C52" t="s">
        <v>684</v>
      </c>
      <c r="D52" t="s">
        <v>685</v>
      </c>
      <c r="E52" t="b">
        <v>1</v>
      </c>
      <c r="F52" t="s">
        <v>805</v>
      </c>
      <c r="G52" t="s">
        <v>181</v>
      </c>
      <c r="H52">
        <v>0.9</v>
      </c>
      <c r="I52" t="s">
        <v>112</v>
      </c>
      <c r="J52" t="s">
        <v>199</v>
      </c>
      <c r="K52" t="b">
        <v>1</v>
      </c>
    </row>
    <row r="53" spans="1:11" ht="409.5" hidden="1" x14ac:dyDescent="0.35">
      <c r="A53" t="s">
        <v>281</v>
      </c>
      <c r="B53">
        <v>2019</v>
      </c>
      <c r="C53" t="s">
        <v>282</v>
      </c>
      <c r="D53" s="1" t="s">
        <v>283</v>
      </c>
      <c r="E53" t="b">
        <v>1</v>
      </c>
      <c r="F53" t="s">
        <v>806</v>
      </c>
      <c r="G53" t="s">
        <v>181</v>
      </c>
      <c r="H53">
        <v>0.9</v>
      </c>
      <c r="I53" t="s">
        <v>112</v>
      </c>
      <c r="J53" t="s">
        <v>199</v>
      </c>
      <c r="K53" t="b">
        <v>1</v>
      </c>
    </row>
    <row r="54" spans="1:11" hidden="1" x14ac:dyDescent="0.35">
      <c r="A54" t="s">
        <v>287</v>
      </c>
      <c r="B54">
        <v>2019</v>
      </c>
      <c r="C54" t="s">
        <v>288</v>
      </c>
      <c r="D54" t="s">
        <v>289</v>
      </c>
      <c r="E54" t="b">
        <v>0</v>
      </c>
      <c r="F54" t="s">
        <v>803</v>
      </c>
      <c r="G54" t="s">
        <v>192</v>
      </c>
      <c r="H54">
        <v>1</v>
      </c>
      <c r="I54" t="s">
        <v>173</v>
      </c>
      <c r="J54" t="s">
        <v>192</v>
      </c>
      <c r="K54" t="b">
        <v>0</v>
      </c>
    </row>
    <row r="55" spans="1:11" hidden="1" x14ac:dyDescent="0.35">
      <c r="A55" t="s">
        <v>290</v>
      </c>
      <c r="B55">
        <v>2019</v>
      </c>
      <c r="C55" t="s">
        <v>291</v>
      </c>
      <c r="D55" t="s">
        <v>292</v>
      </c>
      <c r="E55" t="b">
        <v>1</v>
      </c>
      <c r="F55" t="s">
        <v>807</v>
      </c>
      <c r="G55" t="s">
        <v>674</v>
      </c>
      <c r="H55">
        <v>0.9</v>
      </c>
      <c r="I55" t="s">
        <v>112</v>
      </c>
      <c r="J55" t="s">
        <v>199</v>
      </c>
      <c r="K55" t="b">
        <v>1</v>
      </c>
    </row>
    <row r="56" spans="1:11" hidden="1" x14ac:dyDescent="0.35">
      <c r="A56" t="s">
        <v>293</v>
      </c>
      <c r="B56">
        <v>2019</v>
      </c>
      <c r="C56" t="s">
        <v>294</v>
      </c>
      <c r="D56" t="s">
        <v>687</v>
      </c>
      <c r="E56" t="b">
        <v>1</v>
      </c>
      <c r="F56" t="s">
        <v>808</v>
      </c>
      <c r="G56" t="s">
        <v>181</v>
      </c>
      <c r="H56">
        <v>0.9</v>
      </c>
      <c r="I56" t="s">
        <v>112</v>
      </c>
      <c r="J56" t="s">
        <v>199</v>
      </c>
      <c r="K56" t="b">
        <v>1</v>
      </c>
    </row>
    <row r="57" spans="1:11" hidden="1" x14ac:dyDescent="0.35">
      <c r="A57" t="s">
        <v>296</v>
      </c>
      <c r="B57">
        <v>2019</v>
      </c>
      <c r="C57" t="s">
        <v>297</v>
      </c>
      <c r="D57" t="s">
        <v>688</v>
      </c>
      <c r="E57" t="b">
        <v>0</v>
      </c>
      <c r="F57" t="s">
        <v>686</v>
      </c>
      <c r="G57" t="s">
        <v>192</v>
      </c>
      <c r="H57">
        <v>1</v>
      </c>
      <c r="I57" t="s">
        <v>173</v>
      </c>
      <c r="J57" t="s">
        <v>192</v>
      </c>
      <c r="K57" t="b">
        <v>0</v>
      </c>
    </row>
    <row r="58" spans="1:11" hidden="1" x14ac:dyDescent="0.35">
      <c r="A58" t="s">
        <v>311</v>
      </c>
      <c r="B58">
        <v>2019</v>
      </c>
      <c r="C58" t="s">
        <v>312</v>
      </c>
      <c r="D58" t="s">
        <v>313</v>
      </c>
      <c r="E58" t="b">
        <v>1</v>
      </c>
      <c r="F58" t="s">
        <v>771</v>
      </c>
      <c r="G58" t="s">
        <v>205</v>
      </c>
      <c r="H58">
        <v>0.6</v>
      </c>
      <c r="I58" t="s">
        <v>112</v>
      </c>
      <c r="J58" t="s">
        <v>665</v>
      </c>
      <c r="K58" t="b">
        <v>1</v>
      </c>
    </row>
    <row r="59" spans="1:11" hidden="1" x14ac:dyDescent="0.35">
      <c r="A59" t="s">
        <v>317</v>
      </c>
      <c r="B59">
        <v>2019</v>
      </c>
      <c r="C59" t="s">
        <v>318</v>
      </c>
      <c r="D59" t="s">
        <v>689</v>
      </c>
      <c r="E59" t="b">
        <v>1</v>
      </c>
      <c r="F59" t="s">
        <v>809</v>
      </c>
      <c r="G59" t="s">
        <v>181</v>
      </c>
      <c r="H59">
        <v>0.9</v>
      </c>
      <c r="I59" t="s">
        <v>112</v>
      </c>
      <c r="J59" t="s">
        <v>199</v>
      </c>
      <c r="K59" t="b">
        <v>1</v>
      </c>
    </row>
    <row r="60" spans="1:11" hidden="1" x14ac:dyDescent="0.35">
      <c r="A60" t="s">
        <v>326</v>
      </c>
      <c r="B60">
        <v>2019</v>
      </c>
      <c r="C60" t="s">
        <v>327</v>
      </c>
      <c r="D60" t="s">
        <v>690</v>
      </c>
      <c r="E60" t="b">
        <v>1</v>
      </c>
      <c r="F60" t="s">
        <v>705</v>
      </c>
      <c r="G60" t="s">
        <v>181</v>
      </c>
      <c r="H60">
        <v>0.9</v>
      </c>
      <c r="I60" t="s">
        <v>112</v>
      </c>
      <c r="J60" t="s">
        <v>199</v>
      </c>
      <c r="K60" t="b">
        <v>1</v>
      </c>
    </row>
    <row r="61" spans="1:11" ht="409.5" hidden="1" x14ac:dyDescent="0.35">
      <c r="A61" t="s">
        <v>329</v>
      </c>
      <c r="B61">
        <v>2019</v>
      </c>
      <c r="C61" t="s">
        <v>330</v>
      </c>
      <c r="D61" s="1" t="s">
        <v>331</v>
      </c>
      <c r="E61" t="b">
        <v>1</v>
      </c>
      <c r="F61" t="s">
        <v>810</v>
      </c>
      <c r="G61" t="s">
        <v>205</v>
      </c>
      <c r="H61">
        <v>0.8</v>
      </c>
      <c r="I61" t="s">
        <v>112</v>
      </c>
      <c r="J61" t="s">
        <v>199</v>
      </c>
      <c r="K61" t="b">
        <v>1</v>
      </c>
    </row>
    <row r="62" spans="1:11" hidden="1" x14ac:dyDescent="0.35">
      <c r="A62" t="s">
        <v>332</v>
      </c>
      <c r="B62">
        <v>2019</v>
      </c>
      <c r="C62" t="s">
        <v>333</v>
      </c>
      <c r="D62" t="s">
        <v>691</v>
      </c>
      <c r="E62" t="b">
        <v>1</v>
      </c>
      <c r="F62" t="s">
        <v>771</v>
      </c>
      <c r="G62" t="s">
        <v>205</v>
      </c>
      <c r="H62">
        <v>0.6</v>
      </c>
      <c r="I62" t="s">
        <v>112</v>
      </c>
      <c r="J62" t="s">
        <v>199</v>
      </c>
      <c r="K62" t="b">
        <v>1</v>
      </c>
    </row>
    <row r="63" spans="1:11" hidden="1" x14ac:dyDescent="0.35">
      <c r="A63" t="s">
        <v>338</v>
      </c>
      <c r="B63">
        <v>2019</v>
      </c>
      <c r="C63" t="s">
        <v>339</v>
      </c>
      <c r="D63" t="s">
        <v>692</v>
      </c>
      <c r="E63" t="b">
        <v>1</v>
      </c>
      <c r="F63" t="s">
        <v>811</v>
      </c>
      <c r="G63" t="s">
        <v>181</v>
      </c>
      <c r="H63">
        <v>0.9</v>
      </c>
      <c r="I63" t="s">
        <v>112</v>
      </c>
      <c r="J63" t="s">
        <v>199</v>
      </c>
      <c r="K63" t="b">
        <v>1</v>
      </c>
    </row>
    <row r="64" spans="1:11" hidden="1" x14ac:dyDescent="0.35">
      <c r="A64" t="s">
        <v>344</v>
      </c>
      <c r="B64">
        <v>2019</v>
      </c>
      <c r="C64" t="s">
        <v>345</v>
      </c>
      <c r="D64" t="s">
        <v>346</v>
      </c>
      <c r="E64" t="b">
        <v>1</v>
      </c>
      <c r="F64" t="s">
        <v>799</v>
      </c>
      <c r="G64" t="s">
        <v>181</v>
      </c>
      <c r="H64">
        <v>0.9</v>
      </c>
      <c r="I64" t="s">
        <v>112</v>
      </c>
      <c r="J64" t="s">
        <v>199</v>
      </c>
      <c r="K64" t="b">
        <v>1</v>
      </c>
    </row>
    <row r="65" spans="1:11" hidden="1" x14ac:dyDescent="0.35">
      <c r="A65" t="s">
        <v>347</v>
      </c>
      <c r="B65">
        <v>2019</v>
      </c>
      <c r="C65" t="s">
        <v>348</v>
      </c>
      <c r="D65" t="s">
        <v>349</v>
      </c>
      <c r="E65" t="b">
        <v>1</v>
      </c>
      <c r="F65" t="s">
        <v>812</v>
      </c>
      <c r="G65" t="s">
        <v>181</v>
      </c>
      <c r="H65">
        <v>0.9</v>
      </c>
      <c r="I65" t="s">
        <v>112</v>
      </c>
      <c r="J65" t="s">
        <v>199</v>
      </c>
      <c r="K65" t="b">
        <v>1</v>
      </c>
    </row>
    <row r="66" spans="1:11" hidden="1" x14ac:dyDescent="0.35">
      <c r="A66" t="s">
        <v>350</v>
      </c>
      <c r="B66">
        <v>2019</v>
      </c>
      <c r="C66" t="s">
        <v>351</v>
      </c>
      <c r="D66" t="s">
        <v>352</v>
      </c>
      <c r="E66" t="b">
        <v>1</v>
      </c>
      <c r="F66" t="s">
        <v>813</v>
      </c>
      <c r="G66" t="s">
        <v>181</v>
      </c>
      <c r="H66">
        <v>0.9</v>
      </c>
      <c r="I66" t="s">
        <v>112</v>
      </c>
      <c r="J66" t="s">
        <v>199</v>
      </c>
      <c r="K66" t="b">
        <v>1</v>
      </c>
    </row>
    <row r="67" spans="1:11" hidden="1" x14ac:dyDescent="0.35">
      <c r="A67" t="s">
        <v>353</v>
      </c>
      <c r="B67">
        <v>2019</v>
      </c>
      <c r="C67" t="s">
        <v>354</v>
      </c>
      <c r="D67" t="s">
        <v>693</v>
      </c>
      <c r="E67" t="b">
        <v>1</v>
      </c>
      <c r="F67" t="s">
        <v>771</v>
      </c>
      <c r="G67" t="s">
        <v>205</v>
      </c>
      <c r="H67">
        <v>0.7</v>
      </c>
      <c r="I67" t="s">
        <v>112</v>
      </c>
      <c r="J67" t="s">
        <v>199</v>
      </c>
      <c r="K67" t="b">
        <v>1</v>
      </c>
    </row>
    <row r="68" spans="1:11" hidden="1" x14ac:dyDescent="0.35">
      <c r="A68" t="s">
        <v>362</v>
      </c>
      <c r="B68">
        <v>2019</v>
      </c>
      <c r="C68" t="s">
        <v>363</v>
      </c>
      <c r="D68" t="s">
        <v>694</v>
      </c>
      <c r="E68" t="b">
        <v>1</v>
      </c>
      <c r="F68" t="s">
        <v>789</v>
      </c>
      <c r="G68" t="s">
        <v>181</v>
      </c>
      <c r="H68">
        <v>0.9</v>
      </c>
      <c r="I68" t="s">
        <v>112</v>
      </c>
      <c r="J68" t="s">
        <v>199</v>
      </c>
      <c r="K68" t="b">
        <v>1</v>
      </c>
    </row>
    <row r="69" spans="1:11" hidden="1" x14ac:dyDescent="0.35">
      <c r="A69" t="s">
        <v>365</v>
      </c>
      <c r="B69">
        <v>2019</v>
      </c>
      <c r="C69" t="s">
        <v>366</v>
      </c>
      <c r="D69" t="s">
        <v>695</v>
      </c>
      <c r="E69" t="b">
        <v>1</v>
      </c>
      <c r="F69" t="s">
        <v>705</v>
      </c>
      <c r="G69" t="s">
        <v>181</v>
      </c>
      <c r="H69">
        <v>0.9</v>
      </c>
      <c r="I69" t="s">
        <v>112</v>
      </c>
      <c r="J69" t="s">
        <v>199</v>
      </c>
      <c r="K69" t="b">
        <v>1</v>
      </c>
    </row>
    <row r="70" spans="1:11" hidden="1" x14ac:dyDescent="0.35">
      <c r="A70" t="s">
        <v>368</v>
      </c>
      <c r="B70">
        <v>2021</v>
      </c>
      <c r="C70" t="s">
        <v>369</v>
      </c>
      <c r="D70" t="s">
        <v>696</v>
      </c>
      <c r="E70" t="b">
        <v>1</v>
      </c>
      <c r="F70" t="s">
        <v>814</v>
      </c>
      <c r="G70" t="s">
        <v>674</v>
      </c>
      <c r="H70">
        <v>0.9</v>
      </c>
      <c r="I70" t="s">
        <v>112</v>
      </c>
      <c r="J70" t="s">
        <v>199</v>
      </c>
      <c r="K70" t="b">
        <v>1</v>
      </c>
    </row>
    <row r="71" spans="1:11" hidden="1" x14ac:dyDescent="0.35">
      <c r="A71" t="s">
        <v>374</v>
      </c>
      <c r="B71">
        <v>2021</v>
      </c>
      <c r="C71" t="s">
        <v>375</v>
      </c>
      <c r="D71" t="s">
        <v>376</v>
      </c>
      <c r="E71" t="b">
        <v>1</v>
      </c>
      <c r="F71" t="s">
        <v>771</v>
      </c>
      <c r="G71" t="s">
        <v>205</v>
      </c>
      <c r="H71">
        <v>0.7</v>
      </c>
      <c r="I71" t="s">
        <v>112</v>
      </c>
      <c r="J71" t="s">
        <v>199</v>
      </c>
      <c r="K71" t="b">
        <v>1</v>
      </c>
    </row>
    <row r="72" spans="1:11" hidden="1" x14ac:dyDescent="0.35">
      <c r="A72" t="s">
        <v>377</v>
      </c>
      <c r="B72">
        <v>2021</v>
      </c>
      <c r="C72" t="s">
        <v>697</v>
      </c>
      <c r="D72" t="s">
        <v>698</v>
      </c>
      <c r="E72" t="b">
        <v>1</v>
      </c>
      <c r="F72" t="s">
        <v>800</v>
      </c>
      <c r="G72" t="s">
        <v>181</v>
      </c>
      <c r="H72">
        <v>0.9</v>
      </c>
      <c r="I72" t="s">
        <v>112</v>
      </c>
      <c r="J72" t="s">
        <v>199</v>
      </c>
      <c r="K72" t="b">
        <v>1</v>
      </c>
    </row>
    <row r="73" spans="1:11" x14ac:dyDescent="0.35">
      <c r="A73" t="s">
        <v>380</v>
      </c>
      <c r="B73">
        <v>2021</v>
      </c>
      <c r="C73" t="s">
        <v>381</v>
      </c>
      <c r="D73" t="s">
        <v>699</v>
      </c>
      <c r="E73" t="b">
        <v>0</v>
      </c>
      <c r="F73" t="s">
        <v>815</v>
      </c>
      <c r="G73" t="s">
        <v>190</v>
      </c>
      <c r="H73">
        <v>0.9</v>
      </c>
      <c r="I73" t="s">
        <v>112</v>
      </c>
      <c r="J73" t="s">
        <v>199</v>
      </c>
      <c r="K73" t="b">
        <v>1</v>
      </c>
    </row>
    <row r="74" spans="1:11" hidden="1" x14ac:dyDescent="0.35">
      <c r="A74" t="s">
        <v>383</v>
      </c>
      <c r="B74">
        <v>2021</v>
      </c>
      <c r="C74" t="s">
        <v>700</v>
      </c>
      <c r="D74" t="s">
        <v>701</v>
      </c>
      <c r="E74" t="b">
        <v>1</v>
      </c>
      <c r="F74" t="s">
        <v>702</v>
      </c>
      <c r="G74" t="s">
        <v>181</v>
      </c>
      <c r="H74">
        <v>0.9</v>
      </c>
      <c r="I74" t="s">
        <v>112</v>
      </c>
      <c r="J74" t="s">
        <v>199</v>
      </c>
      <c r="K74" t="b">
        <v>1</v>
      </c>
    </row>
    <row r="75" spans="1:11" hidden="1" x14ac:dyDescent="0.35">
      <c r="A75" t="s">
        <v>386</v>
      </c>
      <c r="B75">
        <v>2021</v>
      </c>
      <c r="C75" t="s">
        <v>387</v>
      </c>
      <c r="D75" t="s">
        <v>388</v>
      </c>
      <c r="E75" t="b">
        <v>1</v>
      </c>
      <c r="F75" t="s">
        <v>771</v>
      </c>
      <c r="G75" t="s">
        <v>205</v>
      </c>
      <c r="H75">
        <v>0.7</v>
      </c>
      <c r="I75" t="s">
        <v>112</v>
      </c>
      <c r="J75" t="s">
        <v>199</v>
      </c>
      <c r="K75" t="b">
        <v>1</v>
      </c>
    </row>
    <row r="76" spans="1:11" hidden="1" x14ac:dyDescent="0.35">
      <c r="A76" t="s">
        <v>398</v>
      </c>
      <c r="B76">
        <v>2021</v>
      </c>
      <c r="C76" t="s">
        <v>399</v>
      </c>
      <c r="D76" t="s">
        <v>703</v>
      </c>
      <c r="E76" t="b">
        <v>1</v>
      </c>
      <c r="F76" t="s">
        <v>816</v>
      </c>
      <c r="G76" t="s">
        <v>181</v>
      </c>
      <c r="H76">
        <v>0.9</v>
      </c>
      <c r="I76" t="s">
        <v>112</v>
      </c>
      <c r="J76" t="s">
        <v>199</v>
      </c>
      <c r="K76" t="b">
        <v>1</v>
      </c>
    </row>
    <row r="77" spans="1:11" hidden="1" x14ac:dyDescent="0.35">
      <c r="A77" t="s">
        <v>401</v>
      </c>
      <c r="B77">
        <v>2021</v>
      </c>
      <c r="C77" t="s">
        <v>402</v>
      </c>
      <c r="D77" t="s">
        <v>704</v>
      </c>
      <c r="E77" t="b">
        <v>1</v>
      </c>
      <c r="F77" t="s">
        <v>705</v>
      </c>
      <c r="G77" t="s">
        <v>181</v>
      </c>
      <c r="H77">
        <v>0.9</v>
      </c>
      <c r="I77" t="s">
        <v>112</v>
      </c>
      <c r="J77" t="s">
        <v>199</v>
      </c>
      <c r="K77" t="b">
        <v>1</v>
      </c>
    </row>
    <row r="78" spans="1:11" hidden="1" x14ac:dyDescent="0.35">
      <c r="A78" t="s">
        <v>404</v>
      </c>
      <c r="B78">
        <v>2021</v>
      </c>
      <c r="C78" t="s">
        <v>405</v>
      </c>
      <c r="D78" t="s">
        <v>706</v>
      </c>
      <c r="E78" t="b">
        <v>1</v>
      </c>
      <c r="F78" t="s">
        <v>817</v>
      </c>
      <c r="G78" t="s">
        <v>674</v>
      </c>
      <c r="H78">
        <v>0.9</v>
      </c>
      <c r="I78" t="s">
        <v>112</v>
      </c>
      <c r="J78" t="s">
        <v>199</v>
      </c>
      <c r="K78" t="b">
        <v>1</v>
      </c>
    </row>
    <row r="79" spans="1:11" hidden="1" x14ac:dyDescent="0.35">
      <c r="A79" t="s">
        <v>407</v>
      </c>
      <c r="B79">
        <v>2021</v>
      </c>
      <c r="C79" t="s">
        <v>408</v>
      </c>
      <c r="D79" t="s">
        <v>707</v>
      </c>
      <c r="E79" t="b">
        <v>1</v>
      </c>
      <c r="F79" t="s">
        <v>818</v>
      </c>
      <c r="G79" t="s">
        <v>181</v>
      </c>
      <c r="H79">
        <v>0.95</v>
      </c>
      <c r="I79" t="s">
        <v>112</v>
      </c>
      <c r="J79" t="s">
        <v>199</v>
      </c>
      <c r="K79" t="b">
        <v>1</v>
      </c>
    </row>
    <row r="80" spans="1:11" hidden="1" x14ac:dyDescent="0.35">
      <c r="A80" t="s">
        <v>410</v>
      </c>
      <c r="B80">
        <v>2021</v>
      </c>
      <c r="C80" t="s">
        <v>411</v>
      </c>
      <c r="D80" t="s">
        <v>708</v>
      </c>
      <c r="E80" t="b">
        <v>1</v>
      </c>
      <c r="F80" t="s">
        <v>819</v>
      </c>
      <c r="G80" t="s">
        <v>181</v>
      </c>
      <c r="H80">
        <v>0.9</v>
      </c>
      <c r="I80" t="s">
        <v>112</v>
      </c>
      <c r="J80" t="s">
        <v>199</v>
      </c>
      <c r="K80" t="b">
        <v>1</v>
      </c>
    </row>
    <row r="81" spans="1:11" hidden="1" x14ac:dyDescent="0.35">
      <c r="A81" t="s">
        <v>413</v>
      </c>
      <c r="B81">
        <v>2021</v>
      </c>
      <c r="C81" t="s">
        <v>414</v>
      </c>
      <c r="D81" t="s">
        <v>709</v>
      </c>
      <c r="E81" t="b">
        <v>0</v>
      </c>
      <c r="F81" t="s">
        <v>803</v>
      </c>
      <c r="G81" t="s">
        <v>192</v>
      </c>
      <c r="H81">
        <v>1</v>
      </c>
      <c r="I81" t="s">
        <v>173</v>
      </c>
      <c r="J81" t="s">
        <v>192</v>
      </c>
      <c r="K81" t="b">
        <v>0</v>
      </c>
    </row>
    <row r="82" spans="1:11" hidden="1" x14ac:dyDescent="0.35">
      <c r="A82" t="s">
        <v>416</v>
      </c>
      <c r="B82">
        <v>2021</v>
      </c>
      <c r="C82" t="s">
        <v>417</v>
      </c>
      <c r="D82" t="s">
        <v>710</v>
      </c>
      <c r="E82" t="b">
        <v>1</v>
      </c>
      <c r="F82" t="s">
        <v>820</v>
      </c>
      <c r="G82" t="s">
        <v>181</v>
      </c>
      <c r="H82">
        <v>0.9</v>
      </c>
      <c r="I82" t="s">
        <v>112</v>
      </c>
      <c r="J82" t="s">
        <v>199</v>
      </c>
      <c r="K82" t="b">
        <v>1</v>
      </c>
    </row>
    <row r="83" spans="1:11" hidden="1" x14ac:dyDescent="0.35">
      <c r="A83" t="s">
        <v>419</v>
      </c>
      <c r="B83">
        <v>2021</v>
      </c>
      <c r="C83" t="s">
        <v>420</v>
      </c>
      <c r="D83" t="s">
        <v>711</v>
      </c>
      <c r="E83" t="b">
        <v>1</v>
      </c>
      <c r="F83" t="s">
        <v>821</v>
      </c>
      <c r="G83" t="s">
        <v>181</v>
      </c>
      <c r="H83">
        <v>0.9</v>
      </c>
      <c r="I83" t="s">
        <v>112</v>
      </c>
      <c r="J83" t="s">
        <v>199</v>
      </c>
      <c r="K83" t="b">
        <v>1</v>
      </c>
    </row>
    <row r="84" spans="1:11" hidden="1" x14ac:dyDescent="0.35">
      <c r="A84" t="s">
        <v>422</v>
      </c>
      <c r="B84">
        <v>2021</v>
      </c>
      <c r="C84" t="s">
        <v>423</v>
      </c>
      <c r="D84" t="s">
        <v>712</v>
      </c>
      <c r="E84" t="b">
        <v>1</v>
      </c>
      <c r="F84" t="s">
        <v>822</v>
      </c>
      <c r="G84" t="s">
        <v>181</v>
      </c>
      <c r="H84">
        <v>0.9</v>
      </c>
      <c r="I84" t="s">
        <v>112</v>
      </c>
      <c r="J84" t="s">
        <v>199</v>
      </c>
      <c r="K84" t="b">
        <v>1</v>
      </c>
    </row>
    <row r="85" spans="1:11" hidden="1" x14ac:dyDescent="0.35">
      <c r="A85" t="s">
        <v>425</v>
      </c>
      <c r="B85">
        <v>2021</v>
      </c>
      <c r="C85" t="s">
        <v>426</v>
      </c>
      <c r="D85" t="s">
        <v>713</v>
      </c>
      <c r="E85" t="b">
        <v>1</v>
      </c>
      <c r="F85" t="s">
        <v>823</v>
      </c>
      <c r="G85" t="s">
        <v>181</v>
      </c>
      <c r="H85">
        <v>0.9</v>
      </c>
      <c r="I85" t="s">
        <v>112</v>
      </c>
      <c r="J85" t="s">
        <v>199</v>
      </c>
      <c r="K85" t="b">
        <v>1</v>
      </c>
    </row>
    <row r="86" spans="1:11" ht="409.5" hidden="1" x14ac:dyDescent="0.35">
      <c r="A86" t="s">
        <v>428</v>
      </c>
      <c r="B86">
        <v>2021</v>
      </c>
      <c r="C86" t="s">
        <v>429</v>
      </c>
      <c r="D86" s="1" t="s">
        <v>430</v>
      </c>
      <c r="E86" t="b">
        <v>1</v>
      </c>
      <c r="F86" t="s">
        <v>678</v>
      </c>
      <c r="G86" t="s">
        <v>181</v>
      </c>
      <c r="H86">
        <v>0.9</v>
      </c>
      <c r="I86" t="s">
        <v>112</v>
      </c>
      <c r="J86" t="s">
        <v>199</v>
      </c>
      <c r="K86" t="b">
        <v>1</v>
      </c>
    </row>
    <row r="87" spans="1:11" hidden="1" x14ac:dyDescent="0.35">
      <c r="A87" t="s">
        <v>431</v>
      </c>
      <c r="B87">
        <v>2021</v>
      </c>
      <c r="C87" t="s">
        <v>432</v>
      </c>
      <c r="D87" t="s">
        <v>433</v>
      </c>
      <c r="E87" t="b">
        <v>1</v>
      </c>
      <c r="F87" t="s">
        <v>824</v>
      </c>
      <c r="G87" t="s">
        <v>181</v>
      </c>
      <c r="H87">
        <v>0.9</v>
      </c>
      <c r="I87" t="s">
        <v>112</v>
      </c>
      <c r="J87" t="s">
        <v>199</v>
      </c>
      <c r="K87" t="b">
        <v>1</v>
      </c>
    </row>
    <row r="88" spans="1:11" hidden="1" x14ac:dyDescent="0.35">
      <c r="A88" t="s">
        <v>434</v>
      </c>
      <c r="B88">
        <v>2021</v>
      </c>
      <c r="C88" t="s">
        <v>435</v>
      </c>
      <c r="D88" t="s">
        <v>714</v>
      </c>
      <c r="E88" t="b">
        <v>1</v>
      </c>
      <c r="F88" t="s">
        <v>825</v>
      </c>
      <c r="G88" t="s">
        <v>181</v>
      </c>
      <c r="H88">
        <v>0.95</v>
      </c>
      <c r="I88" t="s">
        <v>112</v>
      </c>
      <c r="J88" t="s">
        <v>199</v>
      </c>
      <c r="K88" t="b">
        <v>1</v>
      </c>
    </row>
    <row r="89" spans="1:11" hidden="1" x14ac:dyDescent="0.35">
      <c r="A89" t="s">
        <v>437</v>
      </c>
      <c r="B89">
        <v>2021</v>
      </c>
      <c r="C89" t="s">
        <v>438</v>
      </c>
      <c r="D89" t="s">
        <v>715</v>
      </c>
      <c r="E89" t="b">
        <v>1</v>
      </c>
      <c r="F89" t="s">
        <v>826</v>
      </c>
      <c r="G89" t="s">
        <v>181</v>
      </c>
      <c r="H89">
        <v>0.9</v>
      </c>
      <c r="I89" t="s">
        <v>112</v>
      </c>
      <c r="J89" t="s">
        <v>199</v>
      </c>
      <c r="K89" t="b">
        <v>1</v>
      </c>
    </row>
    <row r="90" spans="1:11" hidden="1" x14ac:dyDescent="0.35">
      <c r="A90" t="s">
        <v>440</v>
      </c>
      <c r="B90">
        <v>2021</v>
      </c>
      <c r="C90" t="s">
        <v>441</v>
      </c>
      <c r="D90" t="s">
        <v>716</v>
      </c>
      <c r="E90" t="b">
        <v>1</v>
      </c>
      <c r="F90" t="s">
        <v>827</v>
      </c>
      <c r="G90" t="s">
        <v>181</v>
      </c>
      <c r="H90">
        <v>0.9</v>
      </c>
      <c r="I90" t="s">
        <v>112</v>
      </c>
      <c r="J90" t="s">
        <v>199</v>
      </c>
      <c r="K90" t="b">
        <v>1</v>
      </c>
    </row>
    <row r="91" spans="1:11" hidden="1" x14ac:dyDescent="0.35">
      <c r="A91" t="s">
        <v>443</v>
      </c>
      <c r="B91">
        <v>2021</v>
      </c>
      <c r="C91" t="s">
        <v>444</v>
      </c>
      <c r="D91" t="s">
        <v>717</v>
      </c>
      <c r="E91" t="b">
        <v>1</v>
      </c>
      <c r="F91" t="s">
        <v>828</v>
      </c>
      <c r="G91" t="s">
        <v>181</v>
      </c>
      <c r="H91">
        <v>0.9</v>
      </c>
      <c r="I91" t="s">
        <v>112</v>
      </c>
      <c r="J91" t="s">
        <v>199</v>
      </c>
      <c r="K91" t="b">
        <v>1</v>
      </c>
    </row>
    <row r="92" spans="1:11" hidden="1" x14ac:dyDescent="0.35">
      <c r="A92" t="s">
        <v>446</v>
      </c>
      <c r="B92">
        <v>2021</v>
      </c>
      <c r="C92" t="s">
        <v>447</v>
      </c>
      <c r="D92" t="s">
        <v>448</v>
      </c>
      <c r="E92" t="b">
        <v>1</v>
      </c>
      <c r="F92" t="s">
        <v>829</v>
      </c>
      <c r="G92" t="s">
        <v>181</v>
      </c>
      <c r="H92">
        <v>0.9</v>
      </c>
      <c r="I92" t="s">
        <v>112</v>
      </c>
      <c r="J92" t="s">
        <v>199</v>
      </c>
      <c r="K92" t="b">
        <v>1</v>
      </c>
    </row>
    <row r="93" spans="1:11" hidden="1" x14ac:dyDescent="0.35">
      <c r="A93" t="s">
        <v>449</v>
      </c>
      <c r="B93">
        <v>2021</v>
      </c>
      <c r="C93" t="s">
        <v>718</v>
      </c>
      <c r="D93" t="s">
        <v>719</v>
      </c>
      <c r="E93" t="b">
        <v>1</v>
      </c>
      <c r="F93" t="s">
        <v>722</v>
      </c>
      <c r="G93" t="s">
        <v>181</v>
      </c>
      <c r="H93">
        <v>0.9</v>
      </c>
      <c r="I93" t="s">
        <v>112</v>
      </c>
      <c r="J93" t="s">
        <v>199</v>
      </c>
      <c r="K93" t="b">
        <v>1</v>
      </c>
    </row>
    <row r="94" spans="1:11" hidden="1" x14ac:dyDescent="0.35">
      <c r="A94" t="s">
        <v>452</v>
      </c>
      <c r="B94">
        <v>2021</v>
      </c>
      <c r="C94" t="s">
        <v>720</v>
      </c>
      <c r="D94" t="s">
        <v>721</v>
      </c>
      <c r="E94" t="b">
        <v>1</v>
      </c>
      <c r="F94" t="s">
        <v>830</v>
      </c>
      <c r="G94" t="s">
        <v>181</v>
      </c>
      <c r="H94">
        <v>0.9</v>
      </c>
      <c r="I94" t="s">
        <v>112</v>
      </c>
      <c r="J94" t="s">
        <v>199</v>
      </c>
      <c r="K94" t="b">
        <v>1</v>
      </c>
    </row>
    <row r="95" spans="1:11" hidden="1" x14ac:dyDescent="0.35">
      <c r="A95" t="s">
        <v>461</v>
      </c>
      <c r="B95">
        <v>2021</v>
      </c>
      <c r="C95" t="s">
        <v>462</v>
      </c>
      <c r="D95" t="s">
        <v>723</v>
      </c>
      <c r="E95" t="b">
        <v>1</v>
      </c>
      <c r="F95" t="s">
        <v>831</v>
      </c>
      <c r="G95" t="s">
        <v>181</v>
      </c>
      <c r="H95">
        <v>0.9</v>
      </c>
      <c r="I95" t="s">
        <v>112</v>
      </c>
      <c r="J95" t="s">
        <v>199</v>
      </c>
      <c r="K95" t="b">
        <v>1</v>
      </c>
    </row>
    <row r="96" spans="1:11" hidden="1" x14ac:dyDescent="0.35">
      <c r="A96" t="s">
        <v>464</v>
      </c>
      <c r="B96">
        <v>2021</v>
      </c>
      <c r="C96" t="s">
        <v>465</v>
      </c>
      <c r="D96" t="s">
        <v>466</v>
      </c>
      <c r="E96" t="b">
        <v>1</v>
      </c>
      <c r="F96" t="s">
        <v>771</v>
      </c>
      <c r="G96" t="s">
        <v>205</v>
      </c>
      <c r="H96">
        <v>0.6</v>
      </c>
      <c r="I96" t="s">
        <v>112</v>
      </c>
      <c r="J96" t="s">
        <v>199</v>
      </c>
      <c r="K96" t="b">
        <v>1</v>
      </c>
    </row>
    <row r="97" spans="1:11" ht="409.5" hidden="1" x14ac:dyDescent="0.35">
      <c r="A97" t="s">
        <v>467</v>
      </c>
      <c r="B97">
        <v>2021</v>
      </c>
      <c r="C97" t="s">
        <v>468</v>
      </c>
      <c r="D97" s="1" t="s">
        <v>469</v>
      </c>
      <c r="E97" t="b">
        <v>1</v>
      </c>
      <c r="F97" t="s">
        <v>832</v>
      </c>
      <c r="G97" t="s">
        <v>181</v>
      </c>
      <c r="H97">
        <v>0.9</v>
      </c>
      <c r="I97" t="s">
        <v>112</v>
      </c>
      <c r="J97" t="s">
        <v>199</v>
      </c>
      <c r="K97" t="b">
        <v>1</v>
      </c>
    </row>
    <row r="98" spans="1:11" hidden="1" x14ac:dyDescent="0.35">
      <c r="A98" t="s">
        <v>470</v>
      </c>
      <c r="B98">
        <v>2021</v>
      </c>
      <c r="C98" t="s">
        <v>471</v>
      </c>
      <c r="D98" t="s">
        <v>724</v>
      </c>
      <c r="E98" t="b">
        <v>0</v>
      </c>
      <c r="F98" t="s">
        <v>803</v>
      </c>
      <c r="G98" t="s">
        <v>192</v>
      </c>
      <c r="H98">
        <v>1</v>
      </c>
      <c r="I98" t="s">
        <v>173</v>
      </c>
      <c r="J98" t="s">
        <v>192</v>
      </c>
      <c r="K98" t="b">
        <v>0</v>
      </c>
    </row>
    <row r="99" spans="1:11" hidden="1" x14ac:dyDescent="0.35">
      <c r="A99" t="s">
        <v>473</v>
      </c>
      <c r="B99">
        <v>2021</v>
      </c>
      <c r="C99" t="s">
        <v>725</v>
      </c>
      <c r="D99" t="s">
        <v>726</v>
      </c>
      <c r="E99" t="b">
        <v>1</v>
      </c>
      <c r="F99" t="s">
        <v>833</v>
      </c>
      <c r="G99" t="s">
        <v>181</v>
      </c>
      <c r="H99">
        <v>0.9</v>
      </c>
      <c r="I99" t="s">
        <v>112</v>
      </c>
      <c r="J99" t="s">
        <v>199</v>
      </c>
      <c r="K99" t="b">
        <v>1</v>
      </c>
    </row>
    <row r="100" spans="1:11" hidden="1" x14ac:dyDescent="0.35">
      <c r="A100" t="s">
        <v>476</v>
      </c>
      <c r="B100">
        <v>2021</v>
      </c>
      <c r="C100" t="s">
        <v>477</v>
      </c>
      <c r="D100" t="s">
        <v>478</v>
      </c>
      <c r="E100" t="b">
        <v>0</v>
      </c>
      <c r="F100" t="s">
        <v>803</v>
      </c>
      <c r="G100" t="s">
        <v>192</v>
      </c>
      <c r="H100">
        <v>1</v>
      </c>
      <c r="I100" t="s">
        <v>173</v>
      </c>
      <c r="J100" t="s">
        <v>192</v>
      </c>
      <c r="K100" t="b">
        <v>0</v>
      </c>
    </row>
    <row r="101" spans="1:11" x14ac:dyDescent="0.35">
      <c r="A101" t="s">
        <v>479</v>
      </c>
      <c r="B101">
        <v>2021</v>
      </c>
      <c r="C101" t="s">
        <v>727</v>
      </c>
      <c r="D101" t="s">
        <v>728</v>
      </c>
      <c r="E101" t="b">
        <v>0</v>
      </c>
      <c r="F101" t="s">
        <v>834</v>
      </c>
      <c r="G101" t="s">
        <v>190</v>
      </c>
      <c r="H101">
        <v>0.8</v>
      </c>
      <c r="I101" t="s">
        <v>112</v>
      </c>
      <c r="J101" t="s">
        <v>199</v>
      </c>
      <c r="K101" t="b">
        <v>1</v>
      </c>
    </row>
    <row r="102" spans="1:11" x14ac:dyDescent="0.35">
      <c r="A102" t="s">
        <v>482</v>
      </c>
      <c r="B102">
        <v>2021</v>
      </c>
      <c r="C102" t="s">
        <v>483</v>
      </c>
      <c r="D102" t="s">
        <v>729</v>
      </c>
      <c r="E102" t="b">
        <v>0</v>
      </c>
      <c r="F102" t="s">
        <v>835</v>
      </c>
      <c r="G102" t="s">
        <v>192</v>
      </c>
      <c r="H102">
        <v>0.9</v>
      </c>
      <c r="I102" t="s">
        <v>112</v>
      </c>
      <c r="J102" t="s">
        <v>199</v>
      </c>
      <c r="K102" t="b">
        <v>1</v>
      </c>
    </row>
    <row r="103" spans="1:11" hidden="1" x14ac:dyDescent="0.35">
      <c r="A103" t="s">
        <v>485</v>
      </c>
      <c r="B103">
        <v>2021</v>
      </c>
      <c r="C103" t="s">
        <v>486</v>
      </c>
      <c r="D103" t="s">
        <v>487</v>
      </c>
      <c r="E103" t="b">
        <v>1</v>
      </c>
      <c r="F103" t="s">
        <v>836</v>
      </c>
      <c r="G103" t="s">
        <v>181</v>
      </c>
      <c r="H103">
        <v>0.9</v>
      </c>
      <c r="I103" t="s">
        <v>112</v>
      </c>
      <c r="J103" t="s">
        <v>199</v>
      </c>
      <c r="K103" t="b">
        <v>1</v>
      </c>
    </row>
    <row r="104" spans="1:11" hidden="1" x14ac:dyDescent="0.35">
      <c r="A104" t="s">
        <v>488</v>
      </c>
      <c r="B104">
        <v>2021</v>
      </c>
      <c r="C104" t="s">
        <v>489</v>
      </c>
      <c r="D104" t="s">
        <v>730</v>
      </c>
      <c r="E104" t="b">
        <v>1</v>
      </c>
      <c r="F104" t="s">
        <v>837</v>
      </c>
      <c r="G104" t="s">
        <v>205</v>
      </c>
      <c r="H104">
        <v>0.8</v>
      </c>
      <c r="I104" t="s">
        <v>112</v>
      </c>
      <c r="J104" t="s">
        <v>199</v>
      </c>
      <c r="K104" t="b">
        <v>1</v>
      </c>
    </row>
    <row r="105" spans="1:11" hidden="1" x14ac:dyDescent="0.35">
      <c r="A105" t="s">
        <v>491</v>
      </c>
      <c r="B105">
        <v>2021</v>
      </c>
      <c r="C105" t="s">
        <v>492</v>
      </c>
      <c r="D105" t="s">
        <v>493</v>
      </c>
      <c r="E105" t="b">
        <v>1</v>
      </c>
      <c r="F105" t="s">
        <v>838</v>
      </c>
      <c r="G105" t="s">
        <v>181</v>
      </c>
      <c r="H105">
        <v>0.9</v>
      </c>
      <c r="I105" t="s">
        <v>112</v>
      </c>
      <c r="J105" t="s">
        <v>199</v>
      </c>
      <c r="K105" t="b">
        <v>1</v>
      </c>
    </row>
    <row r="106" spans="1:11" hidden="1" x14ac:dyDescent="0.35">
      <c r="A106" t="s">
        <v>494</v>
      </c>
      <c r="B106">
        <v>2021</v>
      </c>
      <c r="C106" t="s">
        <v>495</v>
      </c>
      <c r="D106" t="s">
        <v>731</v>
      </c>
      <c r="E106" t="b">
        <v>0</v>
      </c>
      <c r="F106" t="s">
        <v>803</v>
      </c>
      <c r="G106" t="s">
        <v>192</v>
      </c>
      <c r="H106">
        <v>1</v>
      </c>
      <c r="I106" t="s">
        <v>173</v>
      </c>
      <c r="J106" t="s">
        <v>192</v>
      </c>
      <c r="K106" t="b">
        <v>0</v>
      </c>
    </row>
    <row r="107" spans="1:11" hidden="1" x14ac:dyDescent="0.35">
      <c r="A107" t="s">
        <v>497</v>
      </c>
      <c r="B107">
        <v>2021</v>
      </c>
      <c r="C107" t="s">
        <v>498</v>
      </c>
      <c r="D107" t="s">
        <v>499</v>
      </c>
      <c r="E107" t="b">
        <v>0</v>
      </c>
      <c r="F107" t="s">
        <v>839</v>
      </c>
      <c r="G107" t="s">
        <v>192</v>
      </c>
      <c r="H107">
        <v>1</v>
      </c>
      <c r="I107" t="s">
        <v>173</v>
      </c>
      <c r="J107" t="s">
        <v>192</v>
      </c>
      <c r="K107" t="b">
        <v>0</v>
      </c>
    </row>
    <row r="108" spans="1:11" hidden="1" x14ac:dyDescent="0.35">
      <c r="A108" t="s">
        <v>500</v>
      </c>
      <c r="B108">
        <v>2021</v>
      </c>
      <c r="C108" t="s">
        <v>501</v>
      </c>
      <c r="D108" t="s">
        <v>732</v>
      </c>
      <c r="E108" t="b">
        <v>0</v>
      </c>
      <c r="F108" t="s">
        <v>803</v>
      </c>
      <c r="G108" t="s">
        <v>192</v>
      </c>
      <c r="H108">
        <v>1</v>
      </c>
      <c r="I108" t="s">
        <v>173</v>
      </c>
      <c r="J108" t="s">
        <v>192</v>
      </c>
      <c r="K108" t="b">
        <v>0</v>
      </c>
    </row>
    <row r="109" spans="1:11" hidden="1" x14ac:dyDescent="0.35">
      <c r="A109" t="s">
        <v>506</v>
      </c>
      <c r="B109">
        <v>2021</v>
      </c>
      <c r="C109" t="s">
        <v>507</v>
      </c>
      <c r="D109" t="s">
        <v>733</v>
      </c>
      <c r="E109" t="b">
        <v>1</v>
      </c>
      <c r="F109" t="s">
        <v>840</v>
      </c>
      <c r="G109" t="s">
        <v>181</v>
      </c>
      <c r="H109">
        <v>0.9</v>
      </c>
      <c r="I109" t="s">
        <v>112</v>
      </c>
      <c r="J109" t="s">
        <v>199</v>
      </c>
      <c r="K109" t="b">
        <v>1</v>
      </c>
    </row>
    <row r="110" spans="1:11" hidden="1" x14ac:dyDescent="0.35">
      <c r="A110" t="s">
        <v>509</v>
      </c>
      <c r="B110">
        <v>2021</v>
      </c>
      <c r="C110" t="s">
        <v>510</v>
      </c>
      <c r="D110" t="s">
        <v>734</v>
      </c>
      <c r="E110" t="b">
        <v>1</v>
      </c>
      <c r="F110" t="s">
        <v>771</v>
      </c>
      <c r="G110" t="s">
        <v>205</v>
      </c>
      <c r="H110">
        <v>0.7</v>
      </c>
      <c r="I110" t="s">
        <v>112</v>
      </c>
      <c r="J110" t="s">
        <v>199</v>
      </c>
      <c r="K110" t="b">
        <v>1</v>
      </c>
    </row>
    <row r="111" spans="1:11" hidden="1" x14ac:dyDescent="0.35">
      <c r="A111" t="s">
        <v>512</v>
      </c>
      <c r="B111">
        <v>2021</v>
      </c>
      <c r="C111" t="s">
        <v>735</v>
      </c>
      <c r="D111" t="s">
        <v>736</v>
      </c>
      <c r="E111" t="b">
        <v>1</v>
      </c>
      <c r="F111" t="s">
        <v>705</v>
      </c>
      <c r="G111" t="s">
        <v>181</v>
      </c>
      <c r="H111">
        <v>0.95</v>
      </c>
      <c r="I111" t="s">
        <v>112</v>
      </c>
      <c r="J111" t="s">
        <v>199</v>
      </c>
      <c r="K111" t="b">
        <v>1</v>
      </c>
    </row>
    <row r="112" spans="1:11" hidden="1" x14ac:dyDescent="0.35">
      <c r="A112" t="s">
        <v>515</v>
      </c>
      <c r="B112">
        <v>2021</v>
      </c>
      <c r="C112" t="s">
        <v>516</v>
      </c>
      <c r="D112" t="s">
        <v>517</v>
      </c>
      <c r="E112" t="b">
        <v>1</v>
      </c>
      <c r="F112" t="s">
        <v>678</v>
      </c>
      <c r="G112" t="s">
        <v>181</v>
      </c>
      <c r="H112">
        <v>0.9</v>
      </c>
      <c r="I112" t="s">
        <v>112</v>
      </c>
      <c r="J112" t="s">
        <v>199</v>
      </c>
      <c r="K112" t="b">
        <v>1</v>
      </c>
    </row>
    <row r="113" spans="1:11" hidden="1" x14ac:dyDescent="0.35">
      <c r="A113" t="s">
        <v>518</v>
      </c>
      <c r="B113">
        <v>2021</v>
      </c>
      <c r="C113" t="s">
        <v>519</v>
      </c>
      <c r="D113" t="s">
        <v>499</v>
      </c>
      <c r="E113" t="b">
        <v>1</v>
      </c>
      <c r="F113" t="s">
        <v>771</v>
      </c>
      <c r="G113" t="s">
        <v>205</v>
      </c>
      <c r="H113">
        <v>0.7</v>
      </c>
      <c r="I113" t="s">
        <v>112</v>
      </c>
      <c r="J113" t="s">
        <v>199</v>
      </c>
      <c r="K113" t="b">
        <v>1</v>
      </c>
    </row>
    <row r="114" spans="1:11" hidden="1" x14ac:dyDescent="0.35">
      <c r="A114" t="s">
        <v>520</v>
      </c>
      <c r="B114">
        <v>2021</v>
      </c>
      <c r="C114" t="s">
        <v>521</v>
      </c>
      <c r="D114" t="s">
        <v>737</v>
      </c>
      <c r="E114" t="b">
        <v>1</v>
      </c>
      <c r="F114" t="s">
        <v>841</v>
      </c>
      <c r="G114" t="s">
        <v>181</v>
      </c>
      <c r="H114">
        <v>0.9</v>
      </c>
      <c r="I114" t="s">
        <v>112</v>
      </c>
      <c r="J114" t="s">
        <v>199</v>
      </c>
      <c r="K114" t="b">
        <v>1</v>
      </c>
    </row>
    <row r="115" spans="1:11" x14ac:dyDescent="0.35">
      <c r="A115" t="s">
        <v>523</v>
      </c>
      <c r="B115">
        <v>2021</v>
      </c>
      <c r="C115" t="s">
        <v>524</v>
      </c>
      <c r="D115" t="s">
        <v>738</v>
      </c>
      <c r="E115" t="b">
        <v>0</v>
      </c>
      <c r="F115" t="s">
        <v>842</v>
      </c>
      <c r="G115" t="s">
        <v>192</v>
      </c>
      <c r="H115">
        <v>0.9</v>
      </c>
      <c r="I115" t="s">
        <v>112</v>
      </c>
      <c r="J115" t="s">
        <v>199</v>
      </c>
      <c r="K115" t="b">
        <v>1</v>
      </c>
    </row>
    <row r="116" spans="1:11" hidden="1" x14ac:dyDescent="0.35">
      <c r="A116" t="s">
        <v>526</v>
      </c>
      <c r="B116">
        <v>2021</v>
      </c>
      <c r="C116" t="s">
        <v>527</v>
      </c>
      <c r="D116" t="s">
        <v>739</v>
      </c>
      <c r="E116" t="b">
        <v>1</v>
      </c>
      <c r="F116" t="s">
        <v>843</v>
      </c>
      <c r="G116" t="s">
        <v>181</v>
      </c>
      <c r="H116">
        <v>0.9</v>
      </c>
      <c r="I116" t="s">
        <v>112</v>
      </c>
      <c r="J116" t="s">
        <v>199</v>
      </c>
      <c r="K116" t="b">
        <v>1</v>
      </c>
    </row>
    <row r="117" spans="1:11" hidden="1" x14ac:dyDescent="0.35">
      <c r="A117" t="s">
        <v>529</v>
      </c>
      <c r="B117">
        <v>2021</v>
      </c>
      <c r="C117" t="s">
        <v>530</v>
      </c>
      <c r="D117" t="s">
        <v>740</v>
      </c>
      <c r="E117" t="b">
        <v>1</v>
      </c>
      <c r="F117" t="s">
        <v>799</v>
      </c>
      <c r="G117" t="s">
        <v>181</v>
      </c>
      <c r="H117">
        <v>0.9</v>
      </c>
      <c r="I117" t="s">
        <v>112</v>
      </c>
      <c r="J117" t="s">
        <v>199</v>
      </c>
      <c r="K117" t="b">
        <v>1</v>
      </c>
    </row>
    <row r="118" spans="1:11" hidden="1" x14ac:dyDescent="0.35">
      <c r="A118" t="s">
        <v>532</v>
      </c>
      <c r="B118">
        <v>2021</v>
      </c>
      <c r="C118" t="s">
        <v>533</v>
      </c>
      <c r="D118" t="s">
        <v>534</v>
      </c>
      <c r="E118" t="b">
        <v>1</v>
      </c>
      <c r="F118" t="s">
        <v>771</v>
      </c>
      <c r="G118" t="s">
        <v>205</v>
      </c>
      <c r="H118">
        <v>0.6</v>
      </c>
      <c r="I118" t="s">
        <v>112</v>
      </c>
      <c r="J118" t="s">
        <v>668</v>
      </c>
      <c r="K118" t="b">
        <v>1</v>
      </c>
    </row>
    <row r="119" spans="1:11" hidden="1" x14ac:dyDescent="0.35">
      <c r="A119" t="s">
        <v>535</v>
      </c>
      <c r="B119">
        <v>2021</v>
      </c>
      <c r="C119" t="s">
        <v>536</v>
      </c>
      <c r="D119" t="s">
        <v>537</v>
      </c>
      <c r="E119" t="b">
        <v>1</v>
      </c>
      <c r="F119" t="s">
        <v>741</v>
      </c>
      <c r="G119" t="s">
        <v>181</v>
      </c>
      <c r="H119">
        <v>0.9</v>
      </c>
      <c r="I119" t="s">
        <v>112</v>
      </c>
      <c r="J119" t="s">
        <v>199</v>
      </c>
      <c r="K119" t="b">
        <v>1</v>
      </c>
    </row>
    <row r="120" spans="1:11" hidden="1" x14ac:dyDescent="0.35">
      <c r="A120" t="s">
        <v>538</v>
      </c>
      <c r="B120">
        <v>2021</v>
      </c>
      <c r="C120" t="s">
        <v>742</v>
      </c>
      <c r="D120" t="s">
        <v>743</v>
      </c>
      <c r="E120" t="b">
        <v>1</v>
      </c>
      <c r="F120" t="s">
        <v>844</v>
      </c>
      <c r="G120" t="s">
        <v>181</v>
      </c>
      <c r="H120">
        <v>0.9</v>
      </c>
      <c r="I120" t="s">
        <v>112</v>
      </c>
      <c r="J120" t="s">
        <v>199</v>
      </c>
      <c r="K120" t="b">
        <v>1</v>
      </c>
    </row>
    <row r="121" spans="1:11" hidden="1" x14ac:dyDescent="0.35">
      <c r="A121" t="s">
        <v>541</v>
      </c>
      <c r="B121">
        <v>2021</v>
      </c>
      <c r="C121" t="s">
        <v>744</v>
      </c>
      <c r="D121" t="s">
        <v>745</v>
      </c>
      <c r="E121" t="b">
        <v>1</v>
      </c>
      <c r="F121" t="s">
        <v>845</v>
      </c>
      <c r="G121" t="s">
        <v>181</v>
      </c>
      <c r="H121">
        <v>0.9</v>
      </c>
      <c r="I121" t="s">
        <v>112</v>
      </c>
      <c r="J121" t="s">
        <v>199</v>
      </c>
      <c r="K121" t="b">
        <v>1</v>
      </c>
    </row>
    <row r="122" spans="1:11" hidden="1" x14ac:dyDescent="0.35">
      <c r="A122" t="s">
        <v>544</v>
      </c>
      <c r="B122">
        <v>2021</v>
      </c>
      <c r="C122" t="s">
        <v>545</v>
      </c>
      <c r="D122" t="s">
        <v>746</v>
      </c>
      <c r="E122" t="b">
        <v>1</v>
      </c>
      <c r="F122" t="s">
        <v>846</v>
      </c>
      <c r="G122" t="s">
        <v>181</v>
      </c>
      <c r="H122">
        <v>0.95</v>
      </c>
      <c r="I122" t="s">
        <v>112</v>
      </c>
      <c r="J122" t="s">
        <v>199</v>
      </c>
      <c r="K122" t="b">
        <v>1</v>
      </c>
    </row>
    <row r="123" spans="1:11" ht="409.5" hidden="1" x14ac:dyDescent="0.35">
      <c r="A123" t="s">
        <v>547</v>
      </c>
      <c r="B123">
        <v>2021</v>
      </c>
      <c r="C123" t="s">
        <v>548</v>
      </c>
      <c r="D123" s="1" t="s">
        <v>549</v>
      </c>
      <c r="E123" t="b">
        <v>1</v>
      </c>
      <c r="F123" t="s">
        <v>847</v>
      </c>
      <c r="G123" t="s">
        <v>181</v>
      </c>
      <c r="H123">
        <v>0.95</v>
      </c>
      <c r="I123" t="s">
        <v>112</v>
      </c>
      <c r="J123" t="s">
        <v>199</v>
      </c>
      <c r="K123" t="b">
        <v>1</v>
      </c>
    </row>
    <row r="124" spans="1:11" hidden="1" x14ac:dyDescent="0.35">
      <c r="A124" t="s">
        <v>550</v>
      </c>
      <c r="B124">
        <v>2021</v>
      </c>
      <c r="C124" t="s">
        <v>551</v>
      </c>
      <c r="D124" t="s">
        <v>747</v>
      </c>
      <c r="E124" t="b">
        <v>0</v>
      </c>
      <c r="F124" t="s">
        <v>848</v>
      </c>
      <c r="G124" t="s">
        <v>192</v>
      </c>
      <c r="H124">
        <v>1</v>
      </c>
      <c r="I124" t="s">
        <v>173</v>
      </c>
      <c r="J124" t="s">
        <v>192</v>
      </c>
      <c r="K124" t="b">
        <v>0</v>
      </c>
    </row>
    <row r="125" spans="1:11" hidden="1" x14ac:dyDescent="0.35">
      <c r="A125" t="s">
        <v>553</v>
      </c>
      <c r="B125">
        <v>2021</v>
      </c>
      <c r="C125" t="s">
        <v>554</v>
      </c>
      <c r="D125" t="s">
        <v>748</v>
      </c>
      <c r="E125" t="b">
        <v>1</v>
      </c>
      <c r="F125" t="s">
        <v>800</v>
      </c>
      <c r="G125" t="s">
        <v>181</v>
      </c>
      <c r="H125">
        <v>0.9</v>
      </c>
      <c r="I125" t="s">
        <v>112</v>
      </c>
      <c r="J125" t="s">
        <v>199</v>
      </c>
      <c r="K125" t="b">
        <v>1</v>
      </c>
    </row>
    <row r="126" spans="1:11" hidden="1" x14ac:dyDescent="0.35">
      <c r="A126" t="s">
        <v>556</v>
      </c>
      <c r="B126">
        <v>2021</v>
      </c>
      <c r="C126" t="s">
        <v>557</v>
      </c>
      <c r="D126" t="s">
        <v>558</v>
      </c>
      <c r="E126" t="b">
        <v>1</v>
      </c>
      <c r="F126" t="s">
        <v>849</v>
      </c>
      <c r="G126" t="s">
        <v>181</v>
      </c>
      <c r="H126">
        <v>0.9</v>
      </c>
      <c r="I126" t="s">
        <v>112</v>
      </c>
      <c r="J126" t="s">
        <v>199</v>
      </c>
      <c r="K126" t="b">
        <v>1</v>
      </c>
    </row>
    <row r="127" spans="1:11" hidden="1" x14ac:dyDescent="0.35">
      <c r="A127" t="s">
        <v>559</v>
      </c>
      <c r="B127">
        <v>2021</v>
      </c>
      <c r="C127" t="s">
        <v>749</v>
      </c>
      <c r="D127" t="s">
        <v>750</v>
      </c>
      <c r="E127" t="b">
        <v>1</v>
      </c>
      <c r="F127" t="s">
        <v>771</v>
      </c>
      <c r="G127" t="s">
        <v>205</v>
      </c>
      <c r="H127">
        <v>0.6</v>
      </c>
      <c r="I127" t="s">
        <v>112</v>
      </c>
      <c r="J127" t="s">
        <v>199</v>
      </c>
      <c r="K127" t="b">
        <v>1</v>
      </c>
    </row>
    <row r="128" spans="1:11" hidden="1" x14ac:dyDescent="0.35">
      <c r="A128" t="s">
        <v>562</v>
      </c>
      <c r="B128">
        <v>2021</v>
      </c>
      <c r="C128" t="s">
        <v>563</v>
      </c>
      <c r="D128" t="s">
        <v>564</v>
      </c>
      <c r="E128" t="b">
        <v>1</v>
      </c>
      <c r="F128" t="s">
        <v>751</v>
      </c>
      <c r="G128" t="s">
        <v>674</v>
      </c>
      <c r="H128">
        <v>0.8</v>
      </c>
      <c r="I128" t="s">
        <v>112</v>
      </c>
      <c r="J128" t="s">
        <v>199</v>
      </c>
      <c r="K128" t="b">
        <v>1</v>
      </c>
    </row>
    <row r="129" spans="1:11" hidden="1" x14ac:dyDescent="0.35">
      <c r="A129" t="s">
        <v>565</v>
      </c>
      <c r="B129">
        <v>2021</v>
      </c>
      <c r="C129" t="s">
        <v>566</v>
      </c>
      <c r="D129" t="s">
        <v>752</v>
      </c>
      <c r="E129" t="b">
        <v>1</v>
      </c>
      <c r="F129" t="s">
        <v>771</v>
      </c>
      <c r="G129" t="s">
        <v>205</v>
      </c>
      <c r="H129">
        <v>0.5</v>
      </c>
      <c r="I129" t="s">
        <v>112</v>
      </c>
      <c r="J129" t="s">
        <v>669</v>
      </c>
      <c r="K129" t="b">
        <v>1</v>
      </c>
    </row>
    <row r="130" spans="1:11" hidden="1" x14ac:dyDescent="0.35">
      <c r="A130" t="s">
        <v>568</v>
      </c>
      <c r="B130">
        <v>2021</v>
      </c>
      <c r="C130" t="s">
        <v>569</v>
      </c>
      <c r="D130" t="s">
        <v>753</v>
      </c>
      <c r="E130" t="b">
        <v>1</v>
      </c>
      <c r="F130" t="s">
        <v>789</v>
      </c>
      <c r="G130" t="s">
        <v>181</v>
      </c>
      <c r="H130">
        <v>0.95</v>
      </c>
      <c r="I130" t="s">
        <v>112</v>
      </c>
      <c r="J130" t="s">
        <v>199</v>
      </c>
      <c r="K130" t="b">
        <v>1</v>
      </c>
    </row>
    <row r="131" spans="1:11" ht="409.5" x14ac:dyDescent="0.35">
      <c r="A131" t="s">
        <v>571</v>
      </c>
      <c r="B131">
        <v>2021</v>
      </c>
      <c r="C131" t="s">
        <v>572</v>
      </c>
      <c r="D131" s="1" t="s">
        <v>573</v>
      </c>
      <c r="E131" t="b">
        <v>0</v>
      </c>
      <c r="F131" t="s">
        <v>850</v>
      </c>
      <c r="G131" t="s">
        <v>192</v>
      </c>
      <c r="H131">
        <v>0.9</v>
      </c>
      <c r="I131" t="s">
        <v>112</v>
      </c>
      <c r="J131" t="s">
        <v>199</v>
      </c>
      <c r="K131" t="b">
        <v>1</v>
      </c>
    </row>
    <row r="132" spans="1:11" hidden="1" x14ac:dyDescent="0.35">
      <c r="A132" t="s">
        <v>574</v>
      </c>
      <c r="B132">
        <v>2021</v>
      </c>
      <c r="C132" t="s">
        <v>754</v>
      </c>
      <c r="D132" t="s">
        <v>755</v>
      </c>
      <c r="E132" t="b">
        <v>1</v>
      </c>
      <c r="F132" t="s">
        <v>846</v>
      </c>
      <c r="G132" t="s">
        <v>181</v>
      </c>
      <c r="H132">
        <v>0.9</v>
      </c>
      <c r="I132" t="s">
        <v>112</v>
      </c>
      <c r="J132" t="s">
        <v>199</v>
      </c>
      <c r="K132" t="b">
        <v>1</v>
      </c>
    </row>
    <row r="133" spans="1:11" hidden="1" x14ac:dyDescent="0.35">
      <c r="A133" t="s">
        <v>583</v>
      </c>
      <c r="B133">
        <v>2021</v>
      </c>
      <c r="C133" t="s">
        <v>584</v>
      </c>
      <c r="D133" t="s">
        <v>585</v>
      </c>
      <c r="E133" t="b">
        <v>1</v>
      </c>
      <c r="F133" t="s">
        <v>851</v>
      </c>
      <c r="G133" t="s">
        <v>181</v>
      </c>
      <c r="H133">
        <v>0.9</v>
      </c>
      <c r="I133" t="s">
        <v>112</v>
      </c>
      <c r="J133" t="s">
        <v>670</v>
      </c>
      <c r="K133" t="b">
        <v>1</v>
      </c>
    </row>
    <row r="134" spans="1:11" hidden="1" x14ac:dyDescent="0.35">
      <c r="A134" t="s">
        <v>588</v>
      </c>
      <c r="B134">
        <v>2021</v>
      </c>
      <c r="C134" t="s">
        <v>589</v>
      </c>
      <c r="D134" t="s">
        <v>756</v>
      </c>
      <c r="E134" t="b">
        <v>1</v>
      </c>
      <c r="F134" t="s">
        <v>805</v>
      </c>
      <c r="G134" t="s">
        <v>181</v>
      </c>
      <c r="H134">
        <v>0.9</v>
      </c>
      <c r="I134" t="s">
        <v>112</v>
      </c>
      <c r="J134" t="s">
        <v>199</v>
      </c>
      <c r="K134" t="b">
        <v>1</v>
      </c>
    </row>
    <row r="135" spans="1:11" hidden="1" x14ac:dyDescent="0.35">
      <c r="A135" t="s">
        <v>591</v>
      </c>
      <c r="B135">
        <v>2021</v>
      </c>
      <c r="C135" t="s">
        <v>757</v>
      </c>
      <c r="D135" t="s">
        <v>758</v>
      </c>
      <c r="E135" t="b">
        <v>1</v>
      </c>
      <c r="F135" t="s">
        <v>203</v>
      </c>
      <c r="G135" t="s">
        <v>181</v>
      </c>
      <c r="H135">
        <v>0.9</v>
      </c>
      <c r="I135" t="s">
        <v>112</v>
      </c>
      <c r="J135" t="s">
        <v>199</v>
      </c>
      <c r="K135" t="b">
        <v>1</v>
      </c>
    </row>
    <row r="136" spans="1:11" hidden="1" x14ac:dyDescent="0.35">
      <c r="A136" t="s">
        <v>594</v>
      </c>
      <c r="B136">
        <v>2021</v>
      </c>
      <c r="C136" t="s">
        <v>595</v>
      </c>
      <c r="D136" t="s">
        <v>596</v>
      </c>
      <c r="E136" t="b">
        <v>1</v>
      </c>
      <c r="F136" t="s">
        <v>852</v>
      </c>
      <c r="G136" t="s">
        <v>181</v>
      </c>
      <c r="H136">
        <v>0.9</v>
      </c>
      <c r="I136" t="s">
        <v>112</v>
      </c>
      <c r="J136" t="s">
        <v>199</v>
      </c>
      <c r="K136" t="b">
        <v>1</v>
      </c>
    </row>
    <row r="137" spans="1:11" hidden="1" x14ac:dyDescent="0.35">
      <c r="A137" t="s">
        <v>597</v>
      </c>
      <c r="B137">
        <v>2021</v>
      </c>
      <c r="C137" t="s">
        <v>598</v>
      </c>
      <c r="D137" t="s">
        <v>759</v>
      </c>
      <c r="E137" t="b">
        <v>1</v>
      </c>
      <c r="F137" t="s">
        <v>789</v>
      </c>
      <c r="G137" t="s">
        <v>181</v>
      </c>
      <c r="H137">
        <v>0.9</v>
      </c>
      <c r="I137" t="s">
        <v>112</v>
      </c>
      <c r="J137" t="s">
        <v>199</v>
      </c>
      <c r="K137" t="b">
        <v>1</v>
      </c>
    </row>
    <row r="138" spans="1:11" hidden="1" x14ac:dyDescent="0.35">
      <c r="A138" t="s">
        <v>600</v>
      </c>
      <c r="B138">
        <v>2021</v>
      </c>
      <c r="C138" t="s">
        <v>601</v>
      </c>
      <c r="D138" t="s">
        <v>760</v>
      </c>
      <c r="E138" t="b">
        <v>1</v>
      </c>
      <c r="F138" t="s">
        <v>853</v>
      </c>
      <c r="G138" t="s">
        <v>181</v>
      </c>
      <c r="H138">
        <v>0.9</v>
      </c>
      <c r="I138" t="s">
        <v>112</v>
      </c>
      <c r="J138" t="s">
        <v>199</v>
      </c>
      <c r="K138" t="b">
        <v>1</v>
      </c>
    </row>
    <row r="139" spans="1:11" ht="409.5" hidden="1" x14ac:dyDescent="0.35">
      <c r="A139" t="s">
        <v>603</v>
      </c>
      <c r="B139">
        <v>2021</v>
      </c>
      <c r="C139" t="s">
        <v>601</v>
      </c>
      <c r="D139" s="1" t="s">
        <v>604</v>
      </c>
      <c r="E139" t="b">
        <v>1</v>
      </c>
      <c r="F139" t="s">
        <v>854</v>
      </c>
      <c r="G139" t="s">
        <v>181</v>
      </c>
      <c r="H139">
        <v>0.9</v>
      </c>
      <c r="I139" t="s">
        <v>112</v>
      </c>
      <c r="J139" t="s">
        <v>199</v>
      </c>
      <c r="K139" t="b">
        <v>1</v>
      </c>
    </row>
    <row r="140" spans="1:11" hidden="1" x14ac:dyDescent="0.35">
      <c r="A140" t="s">
        <v>605</v>
      </c>
      <c r="B140">
        <v>2021</v>
      </c>
      <c r="C140" t="s">
        <v>606</v>
      </c>
      <c r="D140" t="s">
        <v>607</v>
      </c>
      <c r="E140" t="b">
        <v>1</v>
      </c>
      <c r="F140" t="s">
        <v>771</v>
      </c>
      <c r="G140" t="s">
        <v>205</v>
      </c>
      <c r="H140">
        <v>0.6</v>
      </c>
      <c r="I140" t="s">
        <v>112</v>
      </c>
      <c r="J140" t="s">
        <v>199</v>
      </c>
      <c r="K140" t="b">
        <v>1</v>
      </c>
    </row>
    <row r="141" spans="1:11" ht="409.5" hidden="1" x14ac:dyDescent="0.35">
      <c r="A141" t="s">
        <v>608</v>
      </c>
      <c r="B141">
        <v>2025</v>
      </c>
      <c r="C141" t="s">
        <v>609</v>
      </c>
      <c r="D141" s="1" t="s">
        <v>610</v>
      </c>
      <c r="E141" t="b">
        <v>1</v>
      </c>
      <c r="F141" t="s">
        <v>855</v>
      </c>
      <c r="G141" t="s">
        <v>181</v>
      </c>
      <c r="H141">
        <v>0.95</v>
      </c>
      <c r="I141" t="s">
        <v>112</v>
      </c>
      <c r="J141" t="s">
        <v>199</v>
      </c>
      <c r="K141" t="b">
        <v>1</v>
      </c>
    </row>
    <row r="142" spans="1:11" hidden="1" x14ac:dyDescent="0.35">
      <c r="A142" t="s">
        <v>611</v>
      </c>
      <c r="B142">
        <v>2025</v>
      </c>
      <c r="C142" t="s">
        <v>609</v>
      </c>
      <c r="D142" t="s">
        <v>761</v>
      </c>
      <c r="E142" t="b">
        <v>1</v>
      </c>
      <c r="F142" t="s">
        <v>855</v>
      </c>
      <c r="G142" t="s">
        <v>181</v>
      </c>
      <c r="H142">
        <v>0.9</v>
      </c>
      <c r="I142" t="s">
        <v>112</v>
      </c>
      <c r="J142" t="s">
        <v>199</v>
      </c>
      <c r="K142" t="b">
        <v>1</v>
      </c>
    </row>
    <row r="143" spans="1:11" x14ac:dyDescent="0.35">
      <c r="A143" t="s">
        <v>613</v>
      </c>
      <c r="B143">
        <v>2025</v>
      </c>
      <c r="C143" t="s">
        <v>614</v>
      </c>
      <c r="D143" t="s">
        <v>762</v>
      </c>
      <c r="E143" t="b">
        <v>0</v>
      </c>
      <c r="F143" t="s">
        <v>856</v>
      </c>
      <c r="G143" t="s">
        <v>181</v>
      </c>
      <c r="H143">
        <v>0.9</v>
      </c>
      <c r="I143" t="s">
        <v>112</v>
      </c>
      <c r="J143" t="s">
        <v>199</v>
      </c>
      <c r="K143" t="b">
        <v>1</v>
      </c>
    </row>
    <row r="144" spans="1:11" hidden="1" x14ac:dyDescent="0.35">
      <c r="A144" t="s">
        <v>619</v>
      </c>
      <c r="B144">
        <v>2025</v>
      </c>
      <c r="C144" t="s">
        <v>620</v>
      </c>
      <c r="D144" t="s">
        <v>621</v>
      </c>
      <c r="E144" t="b">
        <v>1</v>
      </c>
      <c r="F144" t="s">
        <v>857</v>
      </c>
      <c r="G144" t="s">
        <v>181</v>
      </c>
      <c r="H144">
        <v>0.9</v>
      </c>
      <c r="I144" t="s">
        <v>112</v>
      </c>
      <c r="J144" t="s">
        <v>199</v>
      </c>
      <c r="K144" t="b">
        <v>1</v>
      </c>
    </row>
    <row r="145" spans="1:11" hidden="1" x14ac:dyDescent="0.35">
      <c r="A145" t="s">
        <v>622</v>
      </c>
      <c r="B145">
        <v>2025</v>
      </c>
      <c r="C145" t="s">
        <v>623</v>
      </c>
      <c r="D145" t="s">
        <v>624</v>
      </c>
      <c r="E145" t="b">
        <v>1</v>
      </c>
      <c r="F145" t="s">
        <v>798</v>
      </c>
      <c r="G145" t="s">
        <v>181</v>
      </c>
      <c r="H145">
        <v>0.9</v>
      </c>
      <c r="I145" t="s">
        <v>112</v>
      </c>
      <c r="J145" t="s">
        <v>199</v>
      </c>
      <c r="K145" t="b">
        <v>1</v>
      </c>
    </row>
    <row r="146" spans="1:11" hidden="1" x14ac:dyDescent="0.35">
      <c r="A146" t="s">
        <v>625</v>
      </c>
      <c r="B146">
        <v>2025</v>
      </c>
      <c r="C146" t="s">
        <v>763</v>
      </c>
      <c r="D146" t="s">
        <v>764</v>
      </c>
      <c r="E146" t="b">
        <v>1</v>
      </c>
      <c r="F146" t="s">
        <v>858</v>
      </c>
      <c r="G146" t="s">
        <v>181</v>
      </c>
      <c r="H146">
        <v>0.9</v>
      </c>
      <c r="I146" t="s">
        <v>112</v>
      </c>
      <c r="J146" t="s">
        <v>199</v>
      </c>
      <c r="K146" t="b">
        <v>1</v>
      </c>
    </row>
    <row r="147" spans="1:11" hidden="1" x14ac:dyDescent="0.35">
      <c r="A147" t="s">
        <v>628</v>
      </c>
      <c r="B147">
        <v>2025</v>
      </c>
      <c r="C147" t="s">
        <v>629</v>
      </c>
      <c r="D147" t="s">
        <v>630</v>
      </c>
      <c r="E147" t="b">
        <v>1</v>
      </c>
      <c r="F147" t="s">
        <v>771</v>
      </c>
      <c r="G147" t="s">
        <v>205</v>
      </c>
      <c r="H147">
        <v>0.7</v>
      </c>
      <c r="I147" t="s">
        <v>112</v>
      </c>
      <c r="J147" t="s">
        <v>199</v>
      </c>
      <c r="K147" t="b">
        <v>1</v>
      </c>
    </row>
    <row r="148" spans="1:11" hidden="1" x14ac:dyDescent="0.35">
      <c r="A148" t="s">
        <v>634</v>
      </c>
      <c r="B148">
        <v>2025</v>
      </c>
      <c r="C148" t="s">
        <v>635</v>
      </c>
      <c r="D148" t="s">
        <v>765</v>
      </c>
      <c r="E148" t="b">
        <v>1</v>
      </c>
      <c r="F148" t="s">
        <v>702</v>
      </c>
      <c r="G148" t="s">
        <v>181</v>
      </c>
      <c r="H148">
        <v>0.9</v>
      </c>
      <c r="I148" t="s">
        <v>112</v>
      </c>
      <c r="J148" t="s">
        <v>199</v>
      </c>
      <c r="K148" t="b">
        <v>1</v>
      </c>
    </row>
    <row r="149" spans="1:11" hidden="1" x14ac:dyDescent="0.35">
      <c r="A149" t="s">
        <v>637</v>
      </c>
      <c r="B149">
        <v>2025</v>
      </c>
      <c r="C149" t="s">
        <v>638</v>
      </c>
      <c r="D149" t="s">
        <v>639</v>
      </c>
      <c r="E149" t="b">
        <v>1</v>
      </c>
      <c r="F149" t="s">
        <v>678</v>
      </c>
      <c r="G149" t="s">
        <v>181</v>
      </c>
      <c r="H149">
        <v>0.9</v>
      </c>
      <c r="I149" t="s">
        <v>112</v>
      </c>
      <c r="J149" t="s">
        <v>199</v>
      </c>
      <c r="K149" t="b">
        <v>1</v>
      </c>
    </row>
    <row r="150" spans="1:11" hidden="1" x14ac:dyDescent="0.35">
      <c r="A150" t="s">
        <v>640</v>
      </c>
      <c r="B150">
        <v>2025</v>
      </c>
      <c r="C150" t="s">
        <v>641</v>
      </c>
      <c r="D150" t="s">
        <v>766</v>
      </c>
      <c r="E150" t="b">
        <v>1</v>
      </c>
      <c r="F150" t="s">
        <v>859</v>
      </c>
      <c r="G150" t="s">
        <v>181</v>
      </c>
      <c r="H150">
        <v>0.9</v>
      </c>
      <c r="I150" t="s">
        <v>112</v>
      </c>
      <c r="J150" t="s">
        <v>199</v>
      </c>
      <c r="K150" t="b">
        <v>1</v>
      </c>
    </row>
    <row r="151" spans="1:11" hidden="1" x14ac:dyDescent="0.35">
      <c r="A151" t="s">
        <v>643</v>
      </c>
      <c r="B151">
        <v>2025</v>
      </c>
      <c r="C151" t="s">
        <v>644</v>
      </c>
      <c r="D151" t="s">
        <v>645</v>
      </c>
      <c r="E151" t="b">
        <v>1</v>
      </c>
      <c r="F151" t="s">
        <v>860</v>
      </c>
      <c r="G151" t="s">
        <v>181</v>
      </c>
      <c r="H151">
        <v>0.9</v>
      </c>
      <c r="I151" t="s">
        <v>112</v>
      </c>
      <c r="J151" t="s">
        <v>199</v>
      </c>
      <c r="K151" t="b">
        <v>1</v>
      </c>
    </row>
    <row r="152" spans="1:11" hidden="1" x14ac:dyDescent="0.35">
      <c r="A152" t="s">
        <v>646</v>
      </c>
      <c r="B152">
        <v>2025</v>
      </c>
      <c r="C152" t="s">
        <v>647</v>
      </c>
      <c r="D152" t="s">
        <v>767</v>
      </c>
      <c r="E152" t="b">
        <v>1</v>
      </c>
      <c r="F152" t="s">
        <v>861</v>
      </c>
      <c r="G152" t="s">
        <v>181</v>
      </c>
      <c r="H152">
        <v>0.9</v>
      </c>
      <c r="I152" t="s">
        <v>112</v>
      </c>
      <c r="J152" t="s">
        <v>199</v>
      </c>
      <c r="K152" t="b">
        <v>1</v>
      </c>
    </row>
    <row r="153" spans="1:11" hidden="1" x14ac:dyDescent="0.35">
      <c r="A153" t="s">
        <v>658</v>
      </c>
      <c r="B153">
        <v>2025</v>
      </c>
      <c r="C153" t="s">
        <v>659</v>
      </c>
      <c r="D153" t="s">
        <v>660</v>
      </c>
      <c r="E153" t="b">
        <v>1</v>
      </c>
      <c r="F153" t="s">
        <v>771</v>
      </c>
      <c r="G153" t="s">
        <v>205</v>
      </c>
      <c r="H153">
        <v>0.7</v>
      </c>
      <c r="I153" t="s">
        <v>112</v>
      </c>
      <c r="J153" t="s">
        <v>199</v>
      </c>
      <c r="K153" t="b">
        <v>1</v>
      </c>
    </row>
    <row r="154" spans="1:11" hidden="1" x14ac:dyDescent="0.35">
      <c r="A154" t="s">
        <v>661</v>
      </c>
      <c r="B154">
        <v>2025</v>
      </c>
      <c r="C154" t="s">
        <v>662</v>
      </c>
      <c r="D154" t="s">
        <v>768</v>
      </c>
      <c r="E154" t="b">
        <v>1</v>
      </c>
      <c r="F154" t="s">
        <v>677</v>
      </c>
      <c r="G154" t="s">
        <v>181</v>
      </c>
      <c r="H154">
        <v>0.9</v>
      </c>
      <c r="I154" t="s">
        <v>112</v>
      </c>
      <c r="J154" t="s">
        <v>199</v>
      </c>
      <c r="K154" t="b">
        <v>1</v>
      </c>
    </row>
  </sheetData>
  <autoFilter ref="A1:K154" xr:uid="{1235A4A9-643F-403F-8F39-91437DA8F632}">
    <filterColumn colId="4">
      <filters>
        <filter val="FALSE"/>
      </filters>
    </filterColumn>
    <filterColumn colId="8">
      <filters>
        <filter val="Include"/>
      </filters>
    </filterColumn>
  </autoFilter>
  <conditionalFormatting sqref="I1:I57 J36:J57">
    <cfRule type="containsText" dxfId="11" priority="3" operator="containsText" text="Exclude">
      <formula>NOT(ISERROR(SEARCH("Exclude",I1)))</formula>
    </cfRule>
    <cfRule type="containsText" dxfId="10" priority="4" operator="containsText" text="Include">
      <formula>NOT(ISERROR(SEARCH("Include",I1)))</formula>
    </cfRule>
  </conditionalFormatting>
  <conditionalFormatting sqref="I58:J154">
    <cfRule type="containsText" dxfId="9" priority="1" operator="containsText" text="Exclude">
      <formula>NOT(ISERROR(SEARCH("Exclude",I58)))</formula>
    </cfRule>
    <cfRule type="containsText" dxfId="8" priority="2" operator="containsText" text="Include">
      <formula>NOT(ISERROR(SEARCH("Include",I58)))</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BCB-4710-4D9A-A38E-921B487297AE}">
  <dimension ref="A1:K23"/>
  <sheetViews>
    <sheetView tabSelected="1" topLeftCell="A15" workbookViewId="0">
      <selection activeCell="B22" sqref="B22"/>
    </sheetView>
  </sheetViews>
  <sheetFormatPr defaultRowHeight="14.5" x14ac:dyDescent="0.35"/>
  <cols>
    <col min="1" max="1" width="14.453125" bestFit="1" customWidth="1"/>
  </cols>
  <sheetData>
    <row r="1" spans="1:11" x14ac:dyDescent="0.35">
      <c r="A1" t="s">
        <v>165</v>
      </c>
    </row>
    <row r="2" spans="1:11" x14ac:dyDescent="0.35">
      <c r="B2" t="s">
        <v>163</v>
      </c>
      <c r="C2" t="s">
        <v>164</v>
      </c>
    </row>
    <row r="3" spans="1:11" x14ac:dyDescent="0.35">
      <c r="A3" t="s">
        <v>161</v>
      </c>
      <c r="B3">
        <f>COUNTIFS('Merged results table'!$E:$E,TRUE,'Merged results table'!$K:$K,TRUE)</f>
        <v>133</v>
      </c>
      <c r="C3">
        <f>COUNTIFS('Merged results table'!$E:$E,TRUE,'Merged results table'!$K:$K,FALSE)</f>
        <v>0</v>
      </c>
    </row>
    <row r="4" spans="1:11" x14ac:dyDescent="0.35">
      <c r="A4" t="s">
        <v>162</v>
      </c>
      <c r="B4">
        <f>COUNTIFS('Merged results table'!$E:$E,FALSE,'Merged results table'!$K:$K,TRUE)</f>
        <v>7</v>
      </c>
      <c r="C4">
        <f>COUNTIFS('Merged results table'!$E:$E,FALSE,'Merged results table'!$K:$K,FALSE)</f>
        <v>13</v>
      </c>
    </row>
    <row r="6" spans="1:11" x14ac:dyDescent="0.35">
      <c r="A6" t="s">
        <v>168</v>
      </c>
      <c r="B6">
        <f>B3</f>
        <v>133</v>
      </c>
    </row>
    <row r="7" spans="1:11" x14ac:dyDescent="0.35">
      <c r="A7" t="s">
        <v>169</v>
      </c>
      <c r="B7">
        <f>C4</f>
        <v>13</v>
      </c>
    </row>
    <row r="8" spans="1:11" x14ac:dyDescent="0.35">
      <c r="A8" t="s">
        <v>170</v>
      </c>
      <c r="B8">
        <f>C3</f>
        <v>0</v>
      </c>
    </row>
    <row r="9" spans="1:11" x14ac:dyDescent="0.35">
      <c r="A9" t="s">
        <v>171</v>
      </c>
      <c r="B9">
        <f>B4</f>
        <v>7</v>
      </c>
    </row>
    <row r="11" spans="1:11" x14ac:dyDescent="0.35">
      <c r="A11" t="s">
        <v>166</v>
      </c>
      <c r="B11">
        <f>(B3+C4)/(B3+B4+C3+C4)</f>
        <v>0.95424836601307195</v>
      </c>
    </row>
    <row r="12" spans="1:11" x14ac:dyDescent="0.35">
      <c r="A12" t="s">
        <v>167</v>
      </c>
      <c r="B12">
        <f>B3/(B3+B4)</f>
        <v>0.95</v>
      </c>
    </row>
    <row r="14" spans="1:11" x14ac:dyDescent="0.35">
      <c r="A14" t="s">
        <v>172</v>
      </c>
    </row>
    <row r="15" spans="1:11" x14ac:dyDescent="0.35">
      <c r="A15" t="s">
        <v>862</v>
      </c>
    </row>
    <row r="16" spans="1:11" ht="15" thickBot="1" x14ac:dyDescent="0.4">
      <c r="A16" t="s">
        <v>0</v>
      </c>
      <c r="B16" t="s">
        <v>1</v>
      </c>
      <c r="C16" t="s">
        <v>2</v>
      </c>
      <c r="D16" t="s">
        <v>3</v>
      </c>
      <c r="E16" t="s">
        <v>176</v>
      </c>
      <c r="F16" t="s">
        <v>177</v>
      </c>
      <c r="G16" t="s">
        <v>178</v>
      </c>
      <c r="H16" t="s">
        <v>179</v>
      </c>
      <c r="I16" s="3" t="s">
        <v>109</v>
      </c>
      <c r="J16" s="4" t="s">
        <v>110</v>
      </c>
      <c r="K16" t="s">
        <v>863</v>
      </c>
    </row>
    <row r="17" spans="1:11" x14ac:dyDescent="0.35">
      <c r="A17" t="s">
        <v>66</v>
      </c>
      <c r="B17">
        <v>2019</v>
      </c>
      <c r="C17" t="s">
        <v>67</v>
      </c>
      <c r="D17" t="s">
        <v>68</v>
      </c>
      <c r="E17" t="b">
        <v>0</v>
      </c>
      <c r="F17" t="s">
        <v>786</v>
      </c>
      <c r="G17" t="s">
        <v>190</v>
      </c>
      <c r="H17">
        <v>0.9</v>
      </c>
      <c r="I17" t="s">
        <v>112</v>
      </c>
      <c r="J17" t="s">
        <v>199</v>
      </c>
      <c r="K17" t="b">
        <v>1</v>
      </c>
    </row>
    <row r="18" spans="1:11" x14ac:dyDescent="0.35">
      <c r="A18" t="s">
        <v>380</v>
      </c>
      <c r="B18">
        <v>2021</v>
      </c>
      <c r="C18" t="s">
        <v>381</v>
      </c>
      <c r="D18" t="s">
        <v>699</v>
      </c>
      <c r="E18" t="b">
        <v>0</v>
      </c>
      <c r="F18" t="s">
        <v>815</v>
      </c>
      <c r="G18" t="s">
        <v>190</v>
      </c>
      <c r="H18">
        <v>0.9</v>
      </c>
      <c r="I18" t="s">
        <v>112</v>
      </c>
      <c r="J18" t="s">
        <v>199</v>
      </c>
      <c r="K18" t="b">
        <v>1</v>
      </c>
    </row>
    <row r="19" spans="1:11" x14ac:dyDescent="0.35">
      <c r="A19" t="s">
        <v>479</v>
      </c>
      <c r="B19">
        <v>2021</v>
      </c>
      <c r="C19" t="s">
        <v>727</v>
      </c>
      <c r="D19" t="s">
        <v>728</v>
      </c>
      <c r="E19" t="b">
        <v>0</v>
      </c>
      <c r="F19" t="s">
        <v>834</v>
      </c>
      <c r="G19" t="s">
        <v>190</v>
      </c>
      <c r="H19">
        <v>0.8</v>
      </c>
      <c r="I19" t="s">
        <v>112</v>
      </c>
      <c r="J19" t="s">
        <v>199</v>
      </c>
      <c r="K19" t="b">
        <v>1</v>
      </c>
    </row>
    <row r="20" spans="1:11" x14ac:dyDescent="0.35">
      <c r="A20" t="s">
        <v>482</v>
      </c>
      <c r="B20">
        <v>2021</v>
      </c>
      <c r="C20" t="s">
        <v>483</v>
      </c>
      <c r="D20" t="s">
        <v>729</v>
      </c>
      <c r="E20" t="b">
        <v>0</v>
      </c>
      <c r="F20" t="s">
        <v>835</v>
      </c>
      <c r="G20" t="s">
        <v>192</v>
      </c>
      <c r="H20">
        <v>0.9</v>
      </c>
      <c r="I20" t="s">
        <v>112</v>
      </c>
      <c r="J20" t="s">
        <v>199</v>
      </c>
      <c r="K20" t="b">
        <v>1</v>
      </c>
    </row>
    <row r="21" spans="1:11" x14ac:dyDescent="0.35">
      <c r="A21" t="s">
        <v>523</v>
      </c>
      <c r="B21">
        <v>2021</v>
      </c>
      <c r="C21" t="s">
        <v>524</v>
      </c>
      <c r="D21" t="s">
        <v>738</v>
      </c>
      <c r="E21" t="b">
        <v>0</v>
      </c>
      <c r="F21" t="s">
        <v>842</v>
      </c>
      <c r="G21" t="s">
        <v>192</v>
      </c>
      <c r="H21">
        <v>0.9</v>
      </c>
      <c r="I21" t="s">
        <v>112</v>
      </c>
      <c r="J21" t="s">
        <v>199</v>
      </c>
      <c r="K21" t="b">
        <v>1</v>
      </c>
    </row>
    <row r="22" spans="1:11" ht="409.5" x14ac:dyDescent="0.35">
      <c r="A22" t="s">
        <v>571</v>
      </c>
      <c r="B22">
        <v>2021</v>
      </c>
      <c r="C22" t="s">
        <v>572</v>
      </c>
      <c r="D22" s="1" t="s">
        <v>573</v>
      </c>
      <c r="E22" t="b">
        <v>0</v>
      </c>
      <c r="F22" t="s">
        <v>850</v>
      </c>
      <c r="G22" t="s">
        <v>192</v>
      </c>
      <c r="H22">
        <v>0.9</v>
      </c>
      <c r="I22" t="s">
        <v>112</v>
      </c>
      <c r="J22" t="s">
        <v>199</v>
      </c>
      <c r="K22" t="b">
        <v>1</v>
      </c>
    </row>
    <row r="23" spans="1:11" x14ac:dyDescent="0.35">
      <c r="A23" t="s">
        <v>613</v>
      </c>
      <c r="B23">
        <v>2025</v>
      </c>
      <c r="C23" t="s">
        <v>614</v>
      </c>
      <c r="D23" t="s">
        <v>762</v>
      </c>
      <c r="E23" t="b">
        <v>0</v>
      </c>
      <c r="F23" t="s">
        <v>856</v>
      </c>
      <c r="G23" t="s">
        <v>181</v>
      </c>
      <c r="H23">
        <v>0.9</v>
      </c>
      <c r="I23" t="s">
        <v>112</v>
      </c>
      <c r="J23" t="s">
        <v>199</v>
      </c>
      <c r="K23" t="b">
        <v>1</v>
      </c>
    </row>
  </sheetData>
  <conditionalFormatting sqref="I24:J24">
    <cfRule type="containsText" dxfId="7" priority="7" operator="containsText" text="Exclude">
      <formula>NOT(ISERROR(SEARCH("Exclude",I24)))</formula>
    </cfRule>
    <cfRule type="containsText" dxfId="6" priority="8" operator="containsText" text="Include">
      <formula>NOT(ISERROR(SEARCH("Include",I24)))</formula>
    </cfRule>
  </conditionalFormatting>
  <conditionalFormatting sqref="I25:J47">
    <cfRule type="containsText" dxfId="5" priority="5" operator="containsText" text="Exclude">
      <formula>NOT(ISERROR(SEARCH("Exclude",I25)))</formula>
    </cfRule>
    <cfRule type="containsText" dxfId="4" priority="6" operator="containsText" text="Include">
      <formula>NOT(ISERROR(SEARCH("Include",I25)))</formula>
    </cfRule>
  </conditionalFormatting>
  <conditionalFormatting sqref="I16:I17">
    <cfRule type="containsText" dxfId="3" priority="3" operator="containsText" text="Exclude">
      <formula>NOT(ISERROR(SEARCH("Exclude",I16)))</formula>
    </cfRule>
    <cfRule type="containsText" dxfId="2" priority="4" operator="containsText" text="Include">
      <formula>NOT(ISERROR(SEARCH("Include",I16)))</formula>
    </cfRule>
  </conditionalFormatting>
  <conditionalFormatting sqref="I18:J23">
    <cfRule type="containsText" dxfId="1" priority="1" operator="containsText" text="Exclude">
      <formula>NOT(ISERROR(SEARCH("Exclude",I18)))</formula>
    </cfRule>
    <cfRule type="containsText" dxfId="0" priority="2" operator="containsText" text="Include">
      <formula>NOT(ISERROR(SEARCH("Include",I18)))</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Stage_4_API_200</vt:lpstr>
      <vt:lpstr>ID_Lookup</vt:lpstr>
      <vt:lpstr>Stage_4_FF_200</vt:lpstr>
      <vt:lpstr>Merged results table</vt:lpstr>
      <vt:lpstr>Evaluating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cp:lastPrinted>2025-09-08T10:46:52Z</cp:lastPrinted>
  <dcterms:created xsi:type="dcterms:W3CDTF">2025-09-03T10:40:47Z</dcterms:created>
  <dcterms:modified xsi:type="dcterms:W3CDTF">2025-09-08T14:49:09Z</dcterms:modified>
</cp:coreProperties>
</file>